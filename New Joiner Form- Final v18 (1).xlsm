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aura\Desktop\dOC SOC\"/>
    </mc:Choice>
  </mc:AlternateContent>
  <bookViews>
    <workbookView xWindow="-120" yWindow="-120" windowWidth="20736" windowHeight="11160" tabRatio="916" firstSheet="2" activeTab="2"/>
  </bookViews>
  <sheets>
    <sheet name="HR Reports" sheetId="20" state="veryHidden" r:id="rId1"/>
    <sheet name="List" sheetId="4" state="veryHidden" r:id="rId2"/>
    <sheet name="START" sheetId="5" r:id="rId3"/>
    <sheet name="Instructions" sheetId="19" state="veryHidden" r:id="rId4"/>
    <sheet name="Personal Information" sheetId="2" state="veryHidden" r:id="rId5"/>
    <sheet name="Admin Form" sheetId="7" state="veryHidden" r:id="rId6"/>
    <sheet name="JF" sheetId="8" state="veryHidden" r:id="rId7"/>
    <sheet name="Request for membership" sheetId="17" state="veryHidden" r:id="rId8"/>
    <sheet name="Insurance" sheetId="11" state="veryHidden" r:id="rId9"/>
    <sheet name="PF" sheetId="12" state="veryHidden" r:id="rId10"/>
    <sheet name="Gratuity" sheetId="13" state="veryHidden" r:id="rId11"/>
    <sheet name="Form-11" sheetId="24" state="veryHidden" r:id="rId12"/>
    <sheet name="Form-1 (PW)" sheetId="15" state="veryHidden" r:id="rId13"/>
    <sheet name="Form-Q" sheetId="16" state="veryHidden" r:id="rId14"/>
    <sheet name="PF - Declaration Form" sheetId="21" state="veryHidden" r:id="rId15"/>
  </sheets>
  <externalReferences>
    <externalReference r:id="rId16"/>
    <externalReference r:id="rId17"/>
  </externalReferences>
  <definedNames>
    <definedName name="_xlnm._FilterDatabase" localSheetId="4" hidden="1">'Personal Information'!$O$1:$Q$150</definedName>
    <definedName name="Address">PF!$O$19</definedName>
    <definedName name="Adh_no">'Personal Information'!$D$121</definedName>
    <definedName name="Bangalore">List!$H$2:$H$13</definedName>
    <definedName name="Bank_Acc">'Personal Information'!$D$61 &amp; " &amp; " &amp; 'Personal Information'!$D$62</definedName>
    <definedName name="Bank_Acc1">'Personal Information'!$D$61 &amp; "  " &amp; 'Personal Information'!$D$62</definedName>
    <definedName name="Blood_Group">List!$C$2:$C$9</definedName>
    <definedName name="Chennai">List!$I$2:$I$3</definedName>
    <definedName name="Children_Check">'Personal Information'!$N$115</definedName>
    <definedName name="Cur_Add">'Personal Information'!$D$43:$D$51</definedName>
    <definedName name="Dependent">OFFSET([1]List!$F$2,0,0,COUNTA([1]List!$F$2:$F$8)-COUNTBLANK([1]List!$F$2:$F$8),1)</definedName>
    <definedName name="DOB">'Personal Information'!$D$19</definedName>
    <definedName name="DOE">'Personal Information'!$D$56</definedName>
    <definedName name="DOI">'Personal Information'!$D$57</definedName>
    <definedName name="DOJ">'Personal Information'!$D$18</definedName>
    <definedName name="DOJ_In">'Personal Information'!$D$18</definedName>
    <definedName name="Domcile">List!$K$2:$K$12</definedName>
    <definedName name="E_Name">'Personal Information'!$F$14</definedName>
    <definedName name="Email_I">'Personal Information'!$D$51</definedName>
    <definedName name="Empl_No">'Personal Information'!$D$17</definedName>
    <definedName name="F_Name">'Personal Information'!$D$10</definedName>
    <definedName name="Four_Wheeler">'Admin Form'!$K$11</definedName>
    <definedName name="Gender">List!$D$2:$D$4</definedName>
    <definedName name="Insurance_D">'HR Reports'!$C$4:$L$10</definedName>
    <definedName name="L_Name" localSheetId="2">'[2]Personal Information Form'!$D$13</definedName>
    <definedName name="L_Name">'Personal Information'!$D$12</definedName>
    <definedName name="Level">List!$B$2:$B$17</definedName>
    <definedName name="Loc_Det">'Personal Information'!$D$23</definedName>
    <definedName name="Location">List!$G$2:$G$3</definedName>
    <definedName name="LWD">'Personal Information'!$F$96</definedName>
    <definedName name="M_Name">'Personal Information'!$D$11</definedName>
    <definedName name="M_Status">'Personal Information'!$D$26</definedName>
    <definedName name="Martial_Status">List!$A$2:$A$6</definedName>
    <definedName name="Misc_Details">'HR Reports'!$B$21:$AK$21</definedName>
    <definedName name="Mobile_N">'Personal Information'!$D$50</definedName>
    <definedName name="N_D">'Personal Information'!$D$38</definedName>
    <definedName name="N_IN_Law">'Personal Information'!$F$140</definedName>
    <definedName name="N_InLaw">'Personal Information'!$F$138</definedName>
    <definedName name="N_S">'Personal Information'!$D$37</definedName>
    <definedName name="P_F_Name">'Personal Information'!$D$9</definedName>
    <definedName name="P_L_Name">'Personal Information'!$D$11</definedName>
    <definedName name="Pan_no">'Personal Information'!$D$64</definedName>
    <definedName name="Pass_No">'Personal Information'!$D$55</definedName>
    <definedName name="PER_ADD">'Personal Information'!$H$43:$H$51</definedName>
    <definedName name="PF_N">'Personal Information'!$D$115</definedName>
    <definedName name="_xlnm.Print_Area" localSheetId="12">'Form-1 (PW)'!$A$1:$H$49</definedName>
    <definedName name="_xlnm.Print_Area" localSheetId="13">'Form-Q'!$A$1:$F$49</definedName>
    <definedName name="_xlnm.Print_Area" localSheetId="10">Gratuity!$A$1:$I$56</definedName>
    <definedName name="_xlnm.Print_Area" localSheetId="3">Instructions!$A$1:$N$79</definedName>
    <definedName name="_xlnm.Print_Area" localSheetId="8">Insurance!$A$1:$L$76</definedName>
    <definedName name="_xlnm.Print_Area" localSheetId="4">'Personal Information'!$A$1:$J$148</definedName>
    <definedName name="_xlnm.Print_Area" localSheetId="9">PF!$A$1:$H$70</definedName>
    <definedName name="_xlnm.Print_Area" localSheetId="14">'PF - Declaration Form'!$B$1:$J$62</definedName>
    <definedName name="_xlnm.Print_Titles" localSheetId="4">'Personal Information'!$1:$6</definedName>
    <definedName name="Qualification">List!$E$2:$E$31</definedName>
    <definedName name="Recruit_Details">'HR Reports'!$B$28:$I$28</definedName>
    <definedName name="Relationship" localSheetId="2">[2]List!$D$2:$D$4</definedName>
    <definedName name="Relationship">List!$F$2:$F$7</definedName>
    <definedName name="Sex">'Personal Information'!$D$25</definedName>
    <definedName name="Stat_Details">'HR Reports'!$B$14:$M$14</definedName>
    <definedName name="T_OPT" localSheetId="6">JF!$D$15</definedName>
    <definedName name="T_OPT">'Admin Form'!$D$15</definedName>
    <definedName name="TOE">List!$J$2:$J$7</definedName>
    <definedName name="TOE_PI">'Personal Information'!$D$20</definedName>
    <definedName name="Two_Wheeler">'Admin Form'!$K$13:$K$14</definedName>
    <definedName name="UAN_N">'Personal Information'!$D$117</definedName>
    <definedName name="Validate_Admin">'Admin Form'!$N$15</definedName>
    <definedName name="Validate_Gratuity">Gratuity!$S$20</definedName>
    <definedName name="Validate_Insurance">Insurance!$T$26</definedName>
    <definedName name="Validate_PF">PF!$R$19</definedName>
    <definedName name="Validate_PI">'Personal Information'!$O$150</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6" i="7" l="1"/>
  <c r="I10" i="24" l="1"/>
  <c r="K34" i="24"/>
  <c r="E32" i="16" l="1"/>
  <c r="F6" i="12" l="1"/>
  <c r="F58" i="24"/>
  <c r="I21" i="24"/>
  <c r="I29" i="24" l="1"/>
  <c r="E38" i="24"/>
  <c r="E39" i="24"/>
  <c r="I16" i="24"/>
  <c r="I15" i="24"/>
  <c r="I31" i="24"/>
  <c r="I30" i="24"/>
  <c r="I20" i="24"/>
  <c r="I19" i="24"/>
  <c r="I14" i="24"/>
  <c r="I13" i="24"/>
  <c r="I12" i="24"/>
  <c r="H144" i="2" l="1"/>
  <c r="H143" i="2"/>
  <c r="P135" i="2"/>
  <c r="P134" i="2"/>
  <c r="P133" i="2"/>
  <c r="P132" i="2"/>
  <c r="P19" i="2"/>
  <c r="P113" i="2"/>
  <c r="P77" i="2"/>
  <c r="P70" i="2"/>
  <c r="P75" i="2"/>
  <c r="P68" i="2"/>
  <c r="P89" i="2" l="1"/>
  <c r="P85" i="2"/>
  <c r="P112" i="2"/>
  <c r="P52" i="2"/>
  <c r="P45" i="2"/>
  <c r="P50" i="2"/>
  <c r="P43" i="2"/>
  <c r="H10" i="12"/>
  <c r="P58" i="2"/>
  <c r="P56" i="2"/>
  <c r="P55" i="2"/>
  <c r="P54" i="2"/>
  <c r="P99" i="2"/>
  <c r="P130" i="2"/>
  <c r="P114" i="2"/>
  <c r="P94" i="2"/>
  <c r="B60" i="2"/>
  <c r="P62" i="2"/>
  <c r="F61" i="21"/>
  <c r="F47" i="21"/>
  <c r="I52" i="21" s="1"/>
  <c r="F40" i="21"/>
  <c r="F60" i="21"/>
  <c r="F58" i="21"/>
  <c r="D38" i="21"/>
  <c r="D36" i="21"/>
  <c r="F24" i="21"/>
  <c r="F22" i="21"/>
  <c r="F20" i="21"/>
  <c r="F16" i="21"/>
  <c r="F14" i="21"/>
  <c r="C9" i="20"/>
  <c r="C10" i="20"/>
  <c r="C5" i="20"/>
  <c r="C6" i="20"/>
  <c r="C7" i="20"/>
  <c r="C8" i="20"/>
  <c r="I28" i="20"/>
  <c r="H28" i="20"/>
  <c r="G28" i="20"/>
  <c r="F28" i="20"/>
  <c r="E28" i="20"/>
  <c r="D28" i="20"/>
  <c r="C28" i="20"/>
  <c r="AK21" i="20"/>
  <c r="AJ21" i="20"/>
  <c r="AI21" i="20"/>
  <c r="AH21" i="20"/>
  <c r="AG21" i="20"/>
  <c r="AF21" i="20"/>
  <c r="AD21" i="20"/>
  <c r="AC21" i="20"/>
  <c r="AB21" i="20"/>
  <c r="Z21" i="20"/>
  <c r="Y21" i="20"/>
  <c r="X21" i="20"/>
  <c r="W21" i="20"/>
  <c r="V21" i="20"/>
  <c r="U21" i="20"/>
  <c r="T21" i="20"/>
  <c r="S21" i="20"/>
  <c r="R21" i="20"/>
  <c r="Q21" i="20"/>
  <c r="P21" i="20"/>
  <c r="O21" i="20"/>
  <c r="M21" i="20"/>
  <c r="L21" i="20"/>
  <c r="K21" i="20"/>
  <c r="J21" i="20"/>
  <c r="I21" i="20"/>
  <c r="H21" i="20"/>
  <c r="G21" i="20"/>
  <c r="F21" i="20"/>
  <c r="E21" i="20"/>
  <c r="D21" i="20"/>
  <c r="C21" i="20"/>
  <c r="B21" i="20"/>
  <c r="M14" i="20"/>
  <c r="N21" i="20" s="1"/>
  <c r="K14" i="20"/>
  <c r="J14" i="20"/>
  <c r="I14" i="20"/>
  <c r="H14" i="20"/>
  <c r="G14" i="20"/>
  <c r="F14" i="20"/>
  <c r="D14" i="20"/>
  <c r="E14" i="20" s="1"/>
  <c r="B14" i="20"/>
  <c r="K4" i="20"/>
  <c r="J6" i="20"/>
  <c r="K6" i="20" s="1"/>
  <c r="J7" i="20"/>
  <c r="K7" i="20" s="1"/>
  <c r="J8" i="20"/>
  <c r="K8" i="20" s="1"/>
  <c r="J9" i="20"/>
  <c r="K9" i="20" s="1"/>
  <c r="J10" i="20"/>
  <c r="K10" i="20" s="1"/>
  <c r="J5" i="20"/>
  <c r="K5" i="20" s="1"/>
  <c r="I6" i="20"/>
  <c r="I7" i="20"/>
  <c r="I8" i="20"/>
  <c r="I9" i="20"/>
  <c r="I10" i="20"/>
  <c r="I5" i="20"/>
  <c r="I4" i="20"/>
  <c r="H5" i="20"/>
  <c r="H6" i="20"/>
  <c r="H7" i="20"/>
  <c r="H8" i="20"/>
  <c r="H9" i="20"/>
  <c r="H10" i="20"/>
  <c r="H4" i="20"/>
  <c r="F5" i="20"/>
  <c r="F6" i="20"/>
  <c r="F7" i="20"/>
  <c r="F8" i="20"/>
  <c r="F9" i="20"/>
  <c r="F10" i="20"/>
  <c r="F4" i="20"/>
  <c r="E5" i="20"/>
  <c r="E6" i="20"/>
  <c r="E7" i="20"/>
  <c r="E8" i="20"/>
  <c r="E9" i="20"/>
  <c r="E10" i="20"/>
  <c r="E4" i="20"/>
  <c r="C4" i="20"/>
  <c r="D7" i="20"/>
  <c r="D6" i="20"/>
  <c r="D5" i="20"/>
  <c r="D8" i="20"/>
  <c r="D9" i="20"/>
  <c r="D10" i="20"/>
  <c r="P9" i="19"/>
  <c r="P10" i="19" s="1"/>
  <c r="P12" i="19" s="1"/>
  <c r="T4" i="19"/>
  <c r="T6" i="19" s="1"/>
  <c r="S4" i="19"/>
  <c r="Q4" i="19"/>
  <c r="Q6" i="19" s="1"/>
  <c r="P5" i="19"/>
  <c r="U2" i="19"/>
  <c r="E53" i="21" l="1"/>
  <c r="I51" i="21"/>
  <c r="E54" i="21"/>
  <c r="P4" i="19"/>
  <c r="P6" i="19" s="1"/>
  <c r="P11" i="19"/>
  <c r="T5" i="19"/>
  <c r="U3" i="19"/>
  <c r="U5" i="19" s="1"/>
  <c r="Q5" i="19"/>
  <c r="U4" i="19" l="1"/>
  <c r="U6" i="19" s="1"/>
  <c r="T13" i="13"/>
  <c r="S13" i="13"/>
  <c r="S12" i="13"/>
  <c r="T11" i="13"/>
  <c r="S11" i="13"/>
  <c r="S10" i="13"/>
  <c r="T9" i="13"/>
  <c r="S9" i="13"/>
  <c r="U20" i="13"/>
  <c r="T19" i="12"/>
  <c r="S9" i="12"/>
  <c r="R9" i="12"/>
  <c r="S8" i="12"/>
  <c r="R8" i="12"/>
  <c r="V26" i="11"/>
  <c r="U17" i="11"/>
  <c r="U16" i="11"/>
  <c r="T16" i="11"/>
  <c r="U15" i="11"/>
  <c r="T15" i="11"/>
  <c r="U14" i="11"/>
  <c r="T14" i="11"/>
  <c r="T13" i="11"/>
  <c r="U13" i="11"/>
  <c r="U12" i="11"/>
  <c r="T12" i="11"/>
  <c r="U11" i="11"/>
  <c r="T11" i="11"/>
  <c r="P15" i="7"/>
  <c r="O13" i="7"/>
  <c r="O12" i="7"/>
  <c r="N13" i="7"/>
  <c r="N12" i="7"/>
  <c r="O11" i="7"/>
  <c r="O10" i="7"/>
  <c r="O8" i="7"/>
  <c r="N11" i="7"/>
  <c r="N10" i="7"/>
  <c r="N8" i="7"/>
  <c r="K21" i="7"/>
  <c r="O15" i="7" l="1"/>
  <c r="N15" i="7" s="1"/>
  <c r="T20" i="13"/>
  <c r="S20" i="13" s="1"/>
  <c r="N113" i="2" l="1"/>
  <c r="N112" i="2"/>
  <c r="Q150" i="2"/>
  <c r="E23" i="13"/>
  <c r="N115" i="2" l="1"/>
  <c r="P131" i="2" s="1"/>
  <c r="E31" i="16"/>
  <c r="E30" i="16"/>
  <c r="E29" i="16"/>
  <c r="C40" i="16" s="1"/>
  <c r="E28" i="16"/>
  <c r="E27" i="16"/>
  <c r="E25" i="16"/>
  <c r="E24" i="16"/>
  <c r="E23" i="16"/>
  <c r="E22" i="16"/>
  <c r="E20" i="16"/>
  <c r="E19" i="16"/>
  <c r="E18" i="16"/>
  <c r="E17" i="16"/>
  <c r="B24" i="15"/>
  <c r="B23" i="15"/>
  <c r="B22" i="15"/>
  <c r="B21" i="15"/>
  <c r="B20" i="15"/>
  <c r="B19" i="15"/>
  <c r="D13" i="15"/>
  <c r="D12" i="15"/>
  <c r="D11" i="15"/>
  <c r="D10" i="15"/>
  <c r="D9" i="15"/>
  <c r="D8" i="15"/>
  <c r="D7" i="15"/>
  <c r="D6" i="15"/>
  <c r="B56" i="12"/>
  <c r="B70" i="12" s="1"/>
  <c r="C44" i="13"/>
  <c r="C35" i="13"/>
  <c r="G33" i="13"/>
  <c r="E28" i="13"/>
  <c r="I28" i="13"/>
  <c r="H28" i="13"/>
  <c r="G28" i="13"/>
  <c r="F28" i="13"/>
  <c r="I27" i="13"/>
  <c r="H27" i="13"/>
  <c r="G27" i="13"/>
  <c r="F27" i="13"/>
  <c r="E27" i="13"/>
  <c r="I26" i="13"/>
  <c r="H26" i="13"/>
  <c r="G26" i="13"/>
  <c r="F26" i="13"/>
  <c r="E26" i="13"/>
  <c r="E25" i="13"/>
  <c r="C36" i="13" s="1"/>
  <c r="E24" i="13"/>
  <c r="E22" i="13"/>
  <c r="E21" i="13"/>
  <c r="E20" i="13"/>
  <c r="E14" i="13"/>
  <c r="E15" i="13"/>
  <c r="E13" i="13"/>
  <c r="E12" i="13"/>
  <c r="E11" i="13"/>
  <c r="E10" i="13"/>
  <c r="B15" i="13"/>
  <c r="F15" i="13" s="1"/>
  <c r="B14" i="13"/>
  <c r="B13" i="13"/>
  <c r="F13" i="13" s="1"/>
  <c r="B12" i="13"/>
  <c r="F12" i="13" s="1"/>
  <c r="B11" i="13"/>
  <c r="F11" i="13" s="1"/>
  <c r="B10" i="13"/>
  <c r="G23" i="15"/>
  <c r="G19" i="15"/>
  <c r="A28" i="12"/>
  <c r="A27" i="12"/>
  <c r="A26" i="12"/>
  <c r="A25" i="12"/>
  <c r="S12" i="12" s="1"/>
  <c r="A24" i="12"/>
  <c r="S11" i="12" s="1"/>
  <c r="A23" i="12"/>
  <c r="S10" i="12" s="1"/>
  <c r="B16" i="12"/>
  <c r="B15" i="12"/>
  <c r="B14" i="12"/>
  <c r="B13" i="12"/>
  <c r="F16" i="12"/>
  <c r="F15" i="12"/>
  <c r="F14" i="12"/>
  <c r="F13" i="12"/>
  <c r="E11" i="12"/>
  <c r="E10" i="12"/>
  <c r="C7" i="12"/>
  <c r="E53" i="11"/>
  <c r="J73" i="11"/>
  <c r="E73" i="11"/>
  <c r="J63" i="11"/>
  <c r="E63" i="11"/>
  <c r="J53" i="11"/>
  <c r="J71" i="11"/>
  <c r="J72" i="11" s="1"/>
  <c r="E71" i="11"/>
  <c r="E72" i="11" s="1"/>
  <c r="J61" i="11"/>
  <c r="J62" i="11" s="1"/>
  <c r="E61" i="11"/>
  <c r="E62" i="11" s="1"/>
  <c r="J51" i="11"/>
  <c r="J52" i="11" s="1"/>
  <c r="E51" i="11"/>
  <c r="E52" i="11" s="1"/>
  <c r="J70" i="11"/>
  <c r="E70" i="11"/>
  <c r="J60" i="11"/>
  <c r="E60" i="11"/>
  <c r="E50" i="11"/>
  <c r="J50" i="11"/>
  <c r="J69" i="11"/>
  <c r="U23" i="11" s="1"/>
  <c r="E69" i="11"/>
  <c r="U22" i="11" s="1"/>
  <c r="J59" i="11"/>
  <c r="U21" i="11" s="1"/>
  <c r="E59" i="11"/>
  <c r="U20" i="11" s="1"/>
  <c r="J49" i="11"/>
  <c r="U19" i="11" s="1"/>
  <c r="E49" i="11"/>
  <c r="U18" i="11" s="1"/>
  <c r="E42" i="11"/>
  <c r="E43" i="11" s="1"/>
  <c r="E41" i="11"/>
  <c r="E17" i="11"/>
  <c r="J32" i="11"/>
  <c r="C28" i="17"/>
  <c r="D30" i="8"/>
  <c r="D33" i="7"/>
  <c r="J21" i="11"/>
  <c r="H21" i="11"/>
  <c r="G20" i="11"/>
  <c r="G19" i="11"/>
  <c r="J16" i="11"/>
  <c r="J15" i="11"/>
  <c r="H16" i="11"/>
  <c r="E18" i="11"/>
  <c r="H15" i="11"/>
  <c r="D13" i="7"/>
  <c r="E16" i="11"/>
  <c r="E15" i="11"/>
  <c r="C27" i="17"/>
  <c r="G22" i="15"/>
  <c r="G21" i="15"/>
  <c r="G20" i="15"/>
  <c r="B26" i="8"/>
  <c r="D19" i="8"/>
  <c r="D12" i="8"/>
  <c r="D13" i="8"/>
  <c r="D14" i="8"/>
  <c r="D15" i="8"/>
  <c r="D16" i="8"/>
  <c r="D17" i="8"/>
  <c r="D18" i="8"/>
  <c r="D11" i="8"/>
  <c r="D12" i="7"/>
  <c r="D11" i="7"/>
  <c r="N106" i="2"/>
  <c r="P26" i="2"/>
  <c r="C14" i="13" l="1"/>
  <c r="F14" i="13"/>
  <c r="D10" i="13"/>
  <c r="F10" i="13"/>
  <c r="B47" i="12"/>
  <c r="S15" i="12"/>
  <c r="C28" i="12"/>
  <c r="D47" i="12" s="1"/>
  <c r="G27" i="12"/>
  <c r="F23" i="15" s="1"/>
  <c r="S14" i="12"/>
  <c r="C27" i="12"/>
  <c r="C23" i="15" s="1"/>
  <c r="G26" i="12"/>
  <c r="F22" i="15" s="1"/>
  <c r="S13" i="12"/>
  <c r="C26" i="12"/>
  <c r="C22" i="15" s="1"/>
  <c r="U26" i="11"/>
  <c r="T26" i="11" s="1"/>
  <c r="B45" i="12"/>
  <c r="C25" i="12"/>
  <c r="D45" i="12" s="1"/>
  <c r="B44" i="12"/>
  <c r="C24" i="12"/>
  <c r="D44" i="12" s="1"/>
  <c r="B43" i="12"/>
  <c r="C23" i="12"/>
  <c r="B46" i="12"/>
  <c r="D13" i="13"/>
  <c r="E28" i="12"/>
  <c r="H47" i="12" s="1"/>
  <c r="D11" i="13"/>
  <c r="E24" i="12"/>
  <c r="D20" i="15" s="1"/>
  <c r="C13" i="13"/>
  <c r="D12" i="13"/>
  <c r="D15" i="13"/>
  <c r="E27" i="12"/>
  <c r="D23" i="15" s="1"/>
  <c r="E23" i="12"/>
  <c r="D19" i="15" s="1"/>
  <c r="G23" i="12"/>
  <c r="F19" i="15" s="1"/>
  <c r="C12" i="13"/>
  <c r="F25" i="12"/>
  <c r="G25" i="12"/>
  <c r="F21" i="15" s="1"/>
  <c r="E26" i="12"/>
  <c r="F24" i="12"/>
  <c r="F28" i="12"/>
  <c r="G24" i="12"/>
  <c r="F20" i="15" s="1"/>
  <c r="G28" i="12"/>
  <c r="F24" i="15" s="1"/>
  <c r="C11" i="13"/>
  <c r="C15" i="13"/>
  <c r="D14" i="13"/>
  <c r="E25" i="12"/>
  <c r="D21" i="15" s="1"/>
  <c r="F23" i="12"/>
  <c r="F27" i="12"/>
  <c r="E23" i="15" s="1"/>
  <c r="C10" i="13"/>
  <c r="F26" i="12"/>
  <c r="H17" i="11"/>
  <c r="C55" i="13"/>
  <c r="C45" i="13"/>
  <c r="P116" i="2"/>
  <c r="P129" i="2"/>
  <c r="P92" i="2"/>
  <c r="P91" i="2"/>
  <c r="P90" i="2"/>
  <c r="P88" i="2"/>
  <c r="P87" i="2"/>
  <c r="P86" i="2"/>
  <c r="P83" i="2"/>
  <c r="P84" i="2"/>
  <c r="P81" i="2"/>
  <c r="P120" i="2"/>
  <c r="P16" i="2"/>
  <c r="P128" i="2"/>
  <c r="P127" i="2"/>
  <c r="P125" i="2"/>
  <c r="P124" i="2"/>
  <c r="P119" i="2"/>
  <c r="P111" i="2"/>
  <c r="P110" i="2"/>
  <c r="P108" i="2"/>
  <c r="P107" i="2"/>
  <c r="P105" i="2"/>
  <c r="P104" i="2"/>
  <c r="P115" i="2"/>
  <c r="N107" i="2"/>
  <c r="N108" i="2"/>
  <c r="N109" i="2"/>
  <c r="N110" i="2"/>
  <c r="N111" i="2"/>
  <c r="M107" i="2"/>
  <c r="M108" i="2"/>
  <c r="M109" i="2"/>
  <c r="M110" i="2"/>
  <c r="M111" i="2"/>
  <c r="M106" i="2"/>
  <c r="L106" i="2" s="1"/>
  <c r="P102" i="2"/>
  <c r="P101" i="2"/>
  <c r="P98" i="2"/>
  <c r="P96" i="2"/>
  <c r="P95" i="2"/>
  <c r="P93" i="2"/>
  <c r="P74" i="2"/>
  <c r="P73" i="2"/>
  <c r="P72" i="2"/>
  <c r="P71" i="2"/>
  <c r="P67" i="2"/>
  <c r="P66" i="2"/>
  <c r="P65" i="2"/>
  <c r="P64" i="2"/>
  <c r="P53" i="2"/>
  <c r="P49" i="2"/>
  <c r="P48" i="2"/>
  <c r="P47" i="2"/>
  <c r="P46" i="2"/>
  <c r="P42" i="2"/>
  <c r="P40" i="2"/>
  <c r="P39" i="2"/>
  <c r="P37" i="2"/>
  <c r="P38" i="2"/>
  <c r="P34" i="2"/>
  <c r="P33" i="2"/>
  <c r="P32" i="2"/>
  <c r="P31" i="2"/>
  <c r="P30" i="2"/>
  <c r="P29" i="2"/>
  <c r="P28" i="2"/>
  <c r="P27" i="2"/>
  <c r="P23" i="2"/>
  <c r="P25" i="2"/>
  <c r="O14" i="2"/>
  <c r="O16" i="2"/>
  <c r="O17" i="2"/>
  <c r="O18" i="2"/>
  <c r="O20" i="2"/>
  <c r="O21" i="2"/>
  <c r="O22" i="2"/>
  <c r="O23" i="2"/>
  <c r="O25" i="2"/>
  <c r="O26" i="2"/>
  <c r="O27" i="2"/>
  <c r="O28" i="2"/>
  <c r="O29" i="2"/>
  <c r="O31" i="2"/>
  <c r="O32" i="2"/>
  <c r="O33" i="2"/>
  <c r="O34" i="2"/>
  <c r="P12" i="2"/>
  <c r="O12" i="2"/>
  <c r="O11" i="2"/>
  <c r="P10" i="2"/>
  <c r="O10" i="2"/>
  <c r="P8" i="2"/>
  <c r="O8" i="2"/>
  <c r="D46" i="12" l="1"/>
  <c r="C24" i="15"/>
  <c r="S19" i="12"/>
  <c r="R19" i="12" s="1"/>
  <c r="L107" i="2"/>
  <c r="L108" i="2" s="1"/>
  <c r="L109" i="2" s="1"/>
  <c r="C21" i="15"/>
  <c r="D24" i="15"/>
  <c r="H46" i="12"/>
  <c r="D22" i="15"/>
  <c r="E21" i="15"/>
  <c r="G45" i="12"/>
  <c r="G44" i="12"/>
  <c r="E20" i="15"/>
  <c r="G46" i="12"/>
  <c r="E22" i="15"/>
  <c r="G43" i="12"/>
  <c r="E19" i="15"/>
  <c r="G47" i="12"/>
  <c r="E24" i="15"/>
  <c r="C20" i="15"/>
  <c r="D43" i="12"/>
  <c r="C19" i="15"/>
  <c r="B30" i="2"/>
  <c r="O30" i="2" s="1"/>
  <c r="F14" i="2"/>
  <c r="I9" i="24" s="1"/>
  <c r="F12" i="21" l="1"/>
  <c r="C14" i="20"/>
  <c r="B28" i="20"/>
  <c r="L9" i="20"/>
  <c r="D4" i="20"/>
  <c r="L8" i="20"/>
  <c r="L5" i="20"/>
  <c r="L7" i="20"/>
  <c r="L4" i="20"/>
  <c r="L6" i="20"/>
  <c r="L10" i="20"/>
  <c r="L110" i="2"/>
  <c r="L111" i="2" s="1"/>
  <c r="E15" i="16"/>
  <c r="C6" i="13"/>
  <c r="E19" i="13" s="1"/>
  <c r="E14" i="11"/>
  <c r="C26" i="17"/>
  <c r="D5" i="15"/>
  <c r="C61" i="12"/>
  <c r="E32" i="15"/>
  <c r="C38" i="15" s="1"/>
  <c r="E40" i="11"/>
  <c r="D10" i="8"/>
  <c r="D10" i="7"/>
  <c r="B19" i="7" l="1"/>
  <c r="M124" i="2"/>
  <c r="N124" i="2" s="1"/>
  <c r="M125" i="2"/>
  <c r="N125" i="2" s="1"/>
  <c r="M126" i="2"/>
  <c r="N126" i="2" s="1"/>
  <c r="M129" i="2"/>
  <c r="N129" i="2" s="1"/>
  <c r="M128" i="2"/>
  <c r="N128" i="2" s="1"/>
  <c r="M127" i="2"/>
  <c r="N127" i="2" s="1"/>
  <c r="D128" i="2" l="1"/>
  <c r="D126" i="2"/>
  <c r="H45" i="12" s="1"/>
  <c r="D124" i="2"/>
  <c r="D125" i="2"/>
  <c r="H44" i="12" s="1"/>
  <c r="D127" i="2"/>
  <c r="D129" i="2"/>
  <c r="H43" i="12"/>
  <c r="AE21" i="20"/>
  <c r="P82" i="2"/>
  <c r="AA21" i="20"/>
  <c r="P63" i="2"/>
  <c r="P57" i="2"/>
  <c r="P150" i="2" l="1"/>
  <c r="O150" i="2" s="1"/>
</calcChain>
</file>

<file path=xl/comments1.xml><?xml version="1.0" encoding="utf-8"?>
<comments xmlns="http://schemas.openxmlformats.org/spreadsheetml/2006/main">
  <authors>
    <author>vk</author>
  </authors>
  <commentList>
    <comment ref="B36" authorId="0" shapeId="0">
      <text>
        <r>
          <rPr>
            <b/>
            <sz val="8"/>
            <color indexed="81"/>
            <rFont val="Calibri"/>
            <family val="2"/>
            <scheme val="minor"/>
          </rPr>
          <t xml:space="preserve">Fill up : </t>
        </r>
        <r>
          <rPr>
            <sz val="8"/>
            <color indexed="81"/>
            <rFont val="Calibri"/>
            <family val="2"/>
            <scheme val="minor"/>
          </rPr>
          <t>Navigate to each schedule applicable Fill up data (Refer to sheet specific Help for more details)</t>
        </r>
      </text>
    </comment>
    <comment ref="B37" authorId="0" shapeId="0">
      <text>
        <r>
          <rPr>
            <b/>
            <sz val="8"/>
            <color indexed="81"/>
            <rFont val="Calibri"/>
            <family val="2"/>
            <scheme val="minor"/>
          </rPr>
          <t xml:space="preserve">Validate each sheet : </t>
        </r>
        <r>
          <rPr>
            <sz val="8"/>
            <color indexed="81"/>
            <rFont val="Calibri"/>
            <family val="2"/>
            <scheme val="minor"/>
          </rPr>
          <t>Click on the Validate Button on each filled sheet to ensure that the sheet has been properly filled. Also ensure that you have also followed instructions per sheet</t>
        </r>
      </text>
    </comment>
  </commentList>
</comments>
</file>

<file path=xl/comments2.xml><?xml version="1.0" encoding="utf-8"?>
<comments xmlns="http://schemas.openxmlformats.org/spreadsheetml/2006/main">
  <authors>
    <author>blrijm</author>
  </authors>
  <commentList>
    <comment ref="D32" authorId="0" shapeId="0">
      <text>
        <r>
          <rPr>
            <sz val="8"/>
            <color rgb="FF000000"/>
            <rFont val="Tahoma"/>
            <family val="2"/>
          </rPr>
          <t xml:space="preserve">"This is a statutory requirement which needs to be collated &amp; shared with Govt Authorities. Information will be kept confidential within HR "
</t>
        </r>
      </text>
    </comment>
  </commentList>
</comments>
</file>

<file path=xl/comments3.xml><?xml version="1.0" encoding="utf-8"?>
<comments xmlns="http://schemas.openxmlformats.org/spreadsheetml/2006/main">
  <authors>
    <author>hputtara082712</author>
  </authors>
  <commentList>
    <comment ref="C21" authorId="0" shapeId="0">
      <text>
        <r>
          <rPr>
            <b/>
            <sz val="8"/>
            <color indexed="81"/>
            <rFont val="Tahoma"/>
            <family val="2"/>
          </rPr>
          <t>hputtara082712:</t>
        </r>
        <r>
          <rPr>
            <sz val="8"/>
            <color indexed="81"/>
            <rFont val="Tahoma"/>
            <family val="2"/>
          </rPr>
          <t xml:space="preserve">
Please Refer to </t>
        </r>
        <r>
          <rPr>
            <b/>
            <sz val="8"/>
            <color indexed="81"/>
            <rFont val="Tahoma"/>
            <family val="2"/>
          </rPr>
          <t>"Coloum I "</t>
        </r>
        <r>
          <rPr>
            <sz val="8"/>
            <color indexed="81"/>
            <rFont val="Tahoma"/>
            <family val="2"/>
          </rPr>
          <t>to update the Address of Nominee</t>
        </r>
      </text>
    </comment>
  </commentList>
</comments>
</file>

<file path=xl/sharedStrings.xml><?xml version="1.0" encoding="utf-8"?>
<sst xmlns="http://schemas.openxmlformats.org/spreadsheetml/2006/main" count="1287" uniqueCount="836">
  <si>
    <t>Personal Information Form</t>
  </si>
  <si>
    <t>:</t>
  </si>
  <si>
    <t>x</t>
  </si>
  <si>
    <t>Middle Name</t>
  </si>
  <si>
    <t>Field Legends</t>
  </si>
  <si>
    <t>Automated Fields</t>
  </si>
  <si>
    <t>Fields to be Filled</t>
  </si>
  <si>
    <t>Dropdown Fields</t>
  </si>
  <si>
    <t>Date of Birth</t>
  </si>
  <si>
    <t>Gender</t>
  </si>
  <si>
    <t>No of Children</t>
  </si>
  <si>
    <t>Address Details</t>
  </si>
  <si>
    <t>Current Address</t>
  </si>
  <si>
    <t>Permanent  Address</t>
  </si>
  <si>
    <t>Current Address [Cont.]</t>
  </si>
  <si>
    <t>Permanent  Address [Cont.]</t>
  </si>
  <si>
    <t>Educational Qualification - (Highest to Lowest)</t>
  </si>
  <si>
    <t>Qualification</t>
  </si>
  <si>
    <t>Relationship</t>
  </si>
  <si>
    <t>Address [Cont.]</t>
  </si>
  <si>
    <t>Passport Details</t>
  </si>
  <si>
    <t xml:space="preserve">Employee No </t>
  </si>
  <si>
    <t>Level</t>
  </si>
  <si>
    <t>Designation</t>
  </si>
  <si>
    <t>Martial Status</t>
  </si>
  <si>
    <t>Blood Group</t>
  </si>
  <si>
    <t>Unmarried</t>
  </si>
  <si>
    <t>Associate - 9A</t>
  </si>
  <si>
    <t>Male</t>
  </si>
  <si>
    <t>Married</t>
  </si>
  <si>
    <t>Associate - 9B</t>
  </si>
  <si>
    <t>Female</t>
  </si>
  <si>
    <t>Widow</t>
  </si>
  <si>
    <t>Sr. Associate - 8A</t>
  </si>
  <si>
    <t>Widower</t>
  </si>
  <si>
    <t>Sr. Associate - 8B</t>
  </si>
  <si>
    <t>Divorcee</t>
  </si>
  <si>
    <t>Manager - 7A</t>
  </si>
  <si>
    <t>Manager - 7B</t>
  </si>
  <si>
    <t>Sr. Manager - 6A</t>
  </si>
  <si>
    <t>Sr. Manager - 6B</t>
  </si>
  <si>
    <t>AVP - 5A</t>
  </si>
  <si>
    <t>AVP - 5B</t>
  </si>
  <si>
    <t>Employee Name [Expanded Name to be Maintained in Company Records]</t>
  </si>
  <si>
    <t>Details of atleast two people who can be contacted in case of Emergency:</t>
  </si>
  <si>
    <t>Emergency Contact 1</t>
  </si>
  <si>
    <t>Emergency Contact 2</t>
  </si>
  <si>
    <t>Educational Qualification &amp; Experience Details</t>
  </si>
  <si>
    <t>Percentage</t>
  </si>
  <si>
    <t>B.A</t>
  </si>
  <si>
    <t>B.Com</t>
  </si>
  <si>
    <t>B.E/ B.Tech</t>
  </si>
  <si>
    <t>B.Sc</t>
  </si>
  <si>
    <t>B.Ed</t>
  </si>
  <si>
    <t>BBA</t>
  </si>
  <si>
    <t>BBM</t>
  </si>
  <si>
    <t>BCS</t>
  </si>
  <si>
    <t>BCA</t>
  </si>
  <si>
    <t>BHM</t>
  </si>
  <si>
    <t>Diploma</t>
  </si>
  <si>
    <t>MA</t>
  </si>
  <si>
    <t>MBA</t>
  </si>
  <si>
    <t>MCA</t>
  </si>
  <si>
    <t>ME</t>
  </si>
  <si>
    <t>MSc</t>
  </si>
  <si>
    <t>MS</t>
  </si>
  <si>
    <t>MCM</t>
  </si>
  <si>
    <t>Mcom</t>
  </si>
  <si>
    <t>PGDBA</t>
  </si>
  <si>
    <t>PGDBM</t>
  </si>
  <si>
    <t>PGDHRM</t>
  </si>
  <si>
    <t>PGDIM</t>
  </si>
  <si>
    <t>PGDM</t>
  </si>
  <si>
    <t>PGDIT</t>
  </si>
  <si>
    <t xml:space="preserve">12th </t>
  </si>
  <si>
    <t>10th</t>
  </si>
  <si>
    <t>Univ./Board</t>
  </si>
  <si>
    <t>Year of Passing</t>
  </si>
  <si>
    <t>Employer, Location</t>
  </si>
  <si>
    <t>Work Experience: (Reverse Chronological order - Start from the current company)</t>
  </si>
  <si>
    <t>Start Date</t>
  </si>
  <si>
    <t>End date</t>
  </si>
  <si>
    <t>Position/Designation</t>
  </si>
  <si>
    <t>Dependents Data</t>
  </si>
  <si>
    <t>Name of Dependents</t>
  </si>
  <si>
    <t>Relationship with 
Member</t>
  </si>
  <si>
    <t>Nomination 
for PF % of Share</t>
  </si>
  <si>
    <t>Father</t>
  </si>
  <si>
    <t>Mother</t>
  </si>
  <si>
    <t>Wife</t>
  </si>
  <si>
    <t>Husband</t>
  </si>
  <si>
    <t>Son</t>
  </si>
  <si>
    <t>Daughter</t>
  </si>
  <si>
    <t>PF &amp; Gratuity Nomination</t>
  </si>
  <si>
    <t>Nomination 
for Gratuity % of Share</t>
  </si>
  <si>
    <t>Coverage for Insurance</t>
  </si>
  <si>
    <t>You must enable macros before using this workbook</t>
  </si>
  <si>
    <t>Please follow the steps as given below:</t>
  </si>
  <si>
    <t>Step 1:  Click on "Options" Button, you will get a Dialog box as give below:</t>
  </si>
  <si>
    <t>Step 2:  Click on "Enable this Content"</t>
  </si>
  <si>
    <t>Location</t>
  </si>
  <si>
    <t>Bangalore</t>
  </si>
  <si>
    <t>Chennai</t>
  </si>
  <si>
    <t>Voyager - 6</t>
  </si>
  <si>
    <t>Voyager - 7</t>
  </si>
  <si>
    <t>Voyager - 8</t>
  </si>
  <si>
    <t>Voyager - 9</t>
  </si>
  <si>
    <t>Voyager - 10</t>
  </si>
  <si>
    <t>Voyager - 11</t>
  </si>
  <si>
    <t>Voyager - 12</t>
  </si>
  <si>
    <t>Voyager - 14</t>
  </si>
  <si>
    <t>Pritech - 3</t>
  </si>
  <si>
    <t>Pritech - 7</t>
  </si>
  <si>
    <t>Pritech - 8</t>
  </si>
  <si>
    <t>A+</t>
  </si>
  <si>
    <t>A-</t>
  </si>
  <si>
    <t>B+</t>
  </si>
  <si>
    <t>B-</t>
  </si>
  <si>
    <t>AB+</t>
  </si>
  <si>
    <t>AB-</t>
  </si>
  <si>
    <t>O+</t>
  </si>
  <si>
    <t>Type of Employment</t>
  </si>
  <si>
    <t>TOE</t>
  </si>
  <si>
    <t>Employee</t>
  </si>
  <si>
    <t>Contractor</t>
  </si>
  <si>
    <t>Expat</t>
  </si>
  <si>
    <t>General Instructions — If Married -&gt; Mandatory to allocate minimum 50% to spouse, balance can be given to anybody in the family.</t>
  </si>
  <si>
    <t>Date of Joining (DD/MMM/YY)</t>
  </si>
  <si>
    <t>VP - 4</t>
  </si>
  <si>
    <t>SVP - 3</t>
  </si>
  <si>
    <t>Director - 2</t>
  </si>
  <si>
    <r>
      <t>First Name</t>
    </r>
    <r>
      <rPr>
        <sz val="11"/>
        <color rgb="FFFF0000"/>
        <rFont val="Calibri"/>
        <family val="2"/>
        <scheme val="minor"/>
      </rPr>
      <t>*</t>
    </r>
  </si>
  <si>
    <r>
      <t>Last Name</t>
    </r>
    <r>
      <rPr>
        <sz val="11"/>
        <color rgb="FFFF0000"/>
        <rFont val="Calibri"/>
        <family val="2"/>
        <scheme val="minor"/>
      </rPr>
      <t>*</t>
    </r>
  </si>
  <si>
    <r>
      <t>Father's Name</t>
    </r>
    <r>
      <rPr>
        <sz val="11"/>
        <color rgb="FFFF0000"/>
        <rFont val="Calibri"/>
        <family val="2"/>
        <scheme val="minor"/>
      </rPr>
      <t>*</t>
    </r>
  </si>
  <si>
    <r>
      <t>Date of Birth</t>
    </r>
    <r>
      <rPr>
        <sz val="11"/>
        <color rgb="FFFF0000"/>
        <rFont val="Calibri"/>
        <family val="2"/>
        <scheme val="minor"/>
      </rPr>
      <t>*</t>
    </r>
  </si>
  <si>
    <r>
      <t>Joining Location</t>
    </r>
    <r>
      <rPr>
        <sz val="11"/>
        <color rgb="FFFF0000"/>
        <rFont val="Calibri"/>
        <family val="2"/>
        <scheme val="minor"/>
      </rPr>
      <t>*</t>
    </r>
  </si>
  <si>
    <r>
      <t>Gender</t>
    </r>
    <r>
      <rPr>
        <sz val="11"/>
        <color rgb="FFFF0000"/>
        <rFont val="Calibri"/>
        <family val="2"/>
        <scheme val="minor"/>
      </rPr>
      <t>*</t>
    </r>
  </si>
  <si>
    <r>
      <t>Marital Status</t>
    </r>
    <r>
      <rPr>
        <sz val="11"/>
        <color rgb="FFFF0000"/>
        <rFont val="Calibri"/>
        <family val="2"/>
        <scheme val="minor"/>
      </rPr>
      <t>*</t>
    </r>
  </si>
  <si>
    <r>
      <t>Blood Group</t>
    </r>
    <r>
      <rPr>
        <sz val="11"/>
        <color rgb="FFFF0000"/>
        <rFont val="Calibri"/>
        <family val="2"/>
        <scheme val="minor"/>
      </rPr>
      <t>*</t>
    </r>
  </si>
  <si>
    <r>
      <t>Nationality</t>
    </r>
    <r>
      <rPr>
        <sz val="11"/>
        <color rgb="FFFF0000"/>
        <rFont val="Calibri"/>
        <family val="2"/>
        <scheme val="minor"/>
      </rPr>
      <t>*</t>
    </r>
  </si>
  <si>
    <r>
      <t>Kannadiga/Non-Kannadiga</t>
    </r>
    <r>
      <rPr>
        <sz val="11"/>
        <color rgb="FFFF0000"/>
        <rFont val="Calibri"/>
        <family val="2"/>
        <scheme val="minor"/>
      </rPr>
      <t>*</t>
    </r>
  </si>
  <si>
    <r>
      <t>Religion</t>
    </r>
    <r>
      <rPr>
        <sz val="11"/>
        <color rgb="FFFF0000"/>
        <rFont val="Calibri"/>
        <family val="2"/>
        <scheme val="minor"/>
      </rPr>
      <t>*</t>
    </r>
  </si>
  <si>
    <r>
      <t>Caste</t>
    </r>
    <r>
      <rPr>
        <sz val="11"/>
        <color rgb="FFFF0000"/>
        <rFont val="Calibri"/>
        <family val="2"/>
        <scheme val="minor"/>
      </rPr>
      <t>*</t>
    </r>
  </si>
  <si>
    <r>
      <t>Are you physically disabled?</t>
    </r>
    <r>
      <rPr>
        <sz val="11"/>
        <color rgb="FFFF0000"/>
        <rFont val="Calibri"/>
        <family val="2"/>
        <scheme val="minor"/>
      </rPr>
      <t>*</t>
    </r>
  </si>
  <si>
    <r>
      <t>Son(s)</t>
    </r>
    <r>
      <rPr>
        <sz val="11"/>
        <color rgb="FFFF0000"/>
        <rFont val="Calibri"/>
        <family val="2"/>
        <scheme val="minor"/>
      </rPr>
      <t>*</t>
    </r>
  </si>
  <si>
    <r>
      <t>Current Address</t>
    </r>
    <r>
      <rPr>
        <sz val="11"/>
        <color rgb="FFFF0000"/>
        <rFont val="Calibri"/>
        <family val="2"/>
        <scheme val="minor"/>
      </rPr>
      <t>*</t>
    </r>
  </si>
  <si>
    <r>
      <t>City</t>
    </r>
    <r>
      <rPr>
        <sz val="11"/>
        <color rgb="FFFF0000"/>
        <rFont val="Calibri"/>
        <family val="2"/>
        <scheme val="minor"/>
      </rPr>
      <t>*</t>
    </r>
  </si>
  <si>
    <r>
      <t>State</t>
    </r>
    <r>
      <rPr>
        <sz val="11"/>
        <color rgb="FFFF0000"/>
        <rFont val="Calibri"/>
        <family val="2"/>
        <scheme val="minor"/>
      </rPr>
      <t>*</t>
    </r>
  </si>
  <si>
    <r>
      <t>Pincode</t>
    </r>
    <r>
      <rPr>
        <sz val="11"/>
        <color rgb="FFFF0000"/>
        <rFont val="Calibri"/>
        <family val="2"/>
        <scheme val="minor"/>
      </rPr>
      <t>*</t>
    </r>
  </si>
  <si>
    <r>
      <t>Mobile No</t>
    </r>
    <r>
      <rPr>
        <sz val="11"/>
        <color rgb="FFFF0000"/>
        <rFont val="Calibri"/>
        <family val="2"/>
        <scheme val="minor"/>
      </rPr>
      <t>*</t>
    </r>
  </si>
  <si>
    <r>
      <t>Email ID</t>
    </r>
    <r>
      <rPr>
        <sz val="11"/>
        <color rgb="FFFF0000"/>
        <rFont val="Calibri"/>
        <family val="2"/>
        <scheme val="minor"/>
      </rPr>
      <t>*</t>
    </r>
  </si>
  <si>
    <r>
      <t>Permanent  Address</t>
    </r>
    <r>
      <rPr>
        <sz val="11"/>
        <color rgb="FFFF0000"/>
        <rFont val="Calibri"/>
        <family val="2"/>
        <scheme val="minor"/>
      </rPr>
      <t>*</t>
    </r>
  </si>
  <si>
    <r>
      <t>Full Name as in Passport</t>
    </r>
    <r>
      <rPr>
        <sz val="11"/>
        <color rgb="FFFF0000"/>
        <rFont val="Calibri"/>
        <family val="2"/>
        <scheme val="minor"/>
      </rPr>
      <t>*</t>
    </r>
  </si>
  <si>
    <r>
      <t>Passport No.</t>
    </r>
    <r>
      <rPr>
        <sz val="11"/>
        <color rgb="FFFF0000"/>
        <rFont val="Calibri"/>
        <family val="2"/>
        <scheme val="minor"/>
      </rPr>
      <t>*</t>
    </r>
  </si>
  <si>
    <r>
      <t>Date of Issue</t>
    </r>
    <r>
      <rPr>
        <sz val="11"/>
        <color rgb="FFFF0000"/>
        <rFont val="Calibri"/>
        <family val="2"/>
        <scheme val="minor"/>
      </rPr>
      <t>*</t>
    </r>
  </si>
  <si>
    <r>
      <t>Date of Expiry</t>
    </r>
    <r>
      <rPr>
        <sz val="11"/>
        <color rgb="FFFF0000"/>
        <rFont val="Calibri"/>
        <family val="2"/>
        <scheme val="minor"/>
      </rPr>
      <t>*</t>
    </r>
  </si>
  <si>
    <r>
      <t>Place of Issue</t>
    </r>
    <r>
      <rPr>
        <sz val="11"/>
        <color rgb="FFFF0000"/>
        <rFont val="Calibri"/>
        <family val="2"/>
        <scheme val="minor"/>
      </rPr>
      <t>*</t>
    </r>
  </si>
  <si>
    <r>
      <t>Income Tax PAN</t>
    </r>
    <r>
      <rPr>
        <sz val="11"/>
        <color rgb="FFFF0000"/>
        <rFont val="Calibri"/>
        <family val="2"/>
        <scheme val="minor"/>
      </rPr>
      <t>*</t>
    </r>
  </si>
  <si>
    <r>
      <t>Name</t>
    </r>
    <r>
      <rPr>
        <sz val="11"/>
        <color rgb="FFFF0000"/>
        <rFont val="Calibri"/>
        <family val="2"/>
        <scheme val="minor"/>
      </rPr>
      <t>*</t>
    </r>
  </si>
  <si>
    <r>
      <t>Address</t>
    </r>
    <r>
      <rPr>
        <sz val="11"/>
        <color rgb="FFFF0000"/>
        <rFont val="Calibri"/>
        <family val="2"/>
        <scheme val="minor"/>
      </rPr>
      <t>*</t>
    </r>
  </si>
  <si>
    <r>
      <t>UAN Number</t>
    </r>
    <r>
      <rPr>
        <sz val="11"/>
        <color rgb="FFFF0000"/>
        <rFont val="Calibri"/>
        <family val="2"/>
        <scheme val="minor"/>
      </rPr>
      <t>*</t>
    </r>
  </si>
  <si>
    <t>0-1 Year</t>
  </si>
  <si>
    <t>1-2 Years</t>
  </si>
  <si>
    <t>2-3 Years</t>
  </si>
  <si>
    <t>3-4 Years</t>
  </si>
  <si>
    <t>4-5 Years</t>
  </si>
  <si>
    <t>5-6 Years</t>
  </si>
  <si>
    <t>6-7 Years</t>
  </si>
  <si>
    <t>7-8 Years</t>
  </si>
  <si>
    <t>8-9 Years</t>
  </si>
  <si>
    <t>9-10 Years</t>
  </si>
  <si>
    <t>More than 10 Years</t>
  </si>
  <si>
    <r>
      <t>If Yes, Please Specify</t>
    </r>
    <r>
      <rPr>
        <sz val="11"/>
        <color rgb="FFFF0000"/>
        <rFont val="Calibri"/>
        <family val="2"/>
        <scheme val="minor"/>
      </rPr>
      <t>*</t>
    </r>
  </si>
  <si>
    <t>PF Number Format</t>
  </si>
  <si>
    <t>Fields Name</t>
  </si>
  <si>
    <t>Validation</t>
  </si>
  <si>
    <t>Mandatory</t>
  </si>
  <si>
    <r>
      <t xml:space="preserve">Employee Name which will be dispalyed in Company Record - as per - </t>
    </r>
    <r>
      <rPr>
        <b/>
        <sz val="11"/>
        <color rgb="FFFF0000"/>
        <rFont val="Calibri"/>
        <family val="2"/>
      </rPr>
      <t>*</t>
    </r>
  </si>
  <si>
    <t>PF Number - PY/KRP/35111/111</t>
  </si>
  <si>
    <t>Son(s)*</t>
  </si>
  <si>
    <t>C.A. - City*</t>
  </si>
  <si>
    <t>C.A. - State*</t>
  </si>
  <si>
    <t>C.A. - Pincode*</t>
  </si>
  <si>
    <t>C.A. - Mobile No*</t>
  </si>
  <si>
    <t>C.A. - Email ID*</t>
  </si>
  <si>
    <t>P.A. - City*</t>
  </si>
  <si>
    <t>P.A. - State*</t>
  </si>
  <si>
    <t>P.A. - Pincode*</t>
  </si>
  <si>
    <t>P.A. - Mobile No*</t>
  </si>
  <si>
    <t>P.A. - Email ID*</t>
  </si>
  <si>
    <t>Full Name as in Passport*</t>
  </si>
  <si>
    <t>Passport No.*</t>
  </si>
  <si>
    <t>Date of Issue*</t>
  </si>
  <si>
    <t>Date of Expiry*</t>
  </si>
  <si>
    <t>Place of Issue*</t>
  </si>
  <si>
    <t>HDFC Bank A/c*</t>
  </si>
  <si>
    <t>IFSC Code*</t>
  </si>
  <si>
    <t>Branch Details, State*</t>
  </si>
  <si>
    <t>Income Tax PAN*</t>
  </si>
  <si>
    <t>EC1  - Name*</t>
  </si>
  <si>
    <t>EC1  - Address*</t>
  </si>
  <si>
    <t>EC1  - City*</t>
  </si>
  <si>
    <t>EC1  - State*</t>
  </si>
  <si>
    <t>EC1  - Pincode*</t>
  </si>
  <si>
    <t>EC1  - Mobile No*</t>
  </si>
  <si>
    <t>EC2  - Address*</t>
  </si>
  <si>
    <t>EC2  - City*</t>
  </si>
  <si>
    <t>EC2  - State*</t>
  </si>
  <si>
    <t>EC2  - Pincode*</t>
  </si>
  <si>
    <t>Education Qualification 2</t>
  </si>
  <si>
    <t>Education Qualification 3</t>
  </si>
  <si>
    <t>Education Qualification 1</t>
  </si>
  <si>
    <t>Education Qualification-Minimum 3</t>
  </si>
  <si>
    <t>Employer, Location - If Campus - NA</t>
  </si>
  <si>
    <t>Dependent - 1 - Name</t>
  </si>
  <si>
    <t>Dependent - 2 - Name</t>
  </si>
  <si>
    <t>Dependent - 1 - Relationship</t>
  </si>
  <si>
    <t>Dependent - 1 - Date of Birth</t>
  </si>
  <si>
    <t>Dependent - 2 - Relationship</t>
  </si>
  <si>
    <t>Dependent - 3 - Relationship</t>
  </si>
  <si>
    <t>Dependent - 2 - Date of Birth</t>
  </si>
  <si>
    <t>Dependent - 3 - Name</t>
  </si>
  <si>
    <t>Dependent - 3 - Date of Birth</t>
  </si>
  <si>
    <t>UAN Number*</t>
  </si>
  <si>
    <t>DON'T DELETE THESE COLUMNS</t>
  </si>
  <si>
    <t>Dependent - 1 - % PF Share</t>
  </si>
  <si>
    <t>Dependent - 1 - % Gratuity Share</t>
  </si>
  <si>
    <t>Dependent - 4 - Name</t>
  </si>
  <si>
    <t>Dependent - 4 - Relationship</t>
  </si>
  <si>
    <t>Dependent - 4 - Date of Birth</t>
  </si>
  <si>
    <t>Dependent - 5 - Name</t>
  </si>
  <si>
    <t>Dependent - 5 - Relationship</t>
  </si>
  <si>
    <t>Dependent - 5 - Date of Birth</t>
  </si>
  <si>
    <t>Dependent - 6 - Name</t>
  </si>
  <si>
    <t>Dependent - 6 - Relationship</t>
  </si>
  <si>
    <t>Dependent - 6 - Date of Birth</t>
  </si>
  <si>
    <t>Dependent - 2 - % PF Share</t>
  </si>
  <si>
    <t>Dependent - 2 - % Gratuity Share</t>
  </si>
  <si>
    <t>Dependent - 3 - % PF Share</t>
  </si>
  <si>
    <t>Dependent - 3 - % Gratuity Share</t>
  </si>
  <si>
    <t>Dependent - 4 - % PF Share</t>
  </si>
  <si>
    <t>Dependent - 4 - % Gratuity Share</t>
  </si>
  <si>
    <t>Education Qualification 1 - University</t>
  </si>
  <si>
    <t>Education Qualification 1 - Year of Pass</t>
  </si>
  <si>
    <t>Education Qualification 1 - Percentage</t>
  </si>
  <si>
    <t>Education Qualification 2 - University</t>
  </si>
  <si>
    <t>Education Qualification 2 - Year of Pass</t>
  </si>
  <si>
    <t>Education Qualification 2 - Percentage</t>
  </si>
  <si>
    <t>Education Qualification 3 - University</t>
  </si>
  <si>
    <t>Education Qualification 3 - Year of Pass</t>
  </si>
  <si>
    <t>Education Qualification 3 - Percentage</t>
  </si>
  <si>
    <t>EC2  - Name* - Should Not be Same as EC1</t>
  </si>
  <si>
    <t>EC2  - Mobile No*  - Should Not be Same as EC1</t>
  </si>
  <si>
    <t>ESI Number, If any</t>
  </si>
  <si>
    <t>Previous Employment PF Number</t>
  </si>
  <si>
    <t>Telephone Number</t>
  </si>
  <si>
    <r>
      <t>Top-Up Facility - Group Mediclaim Insurance [Sum Insured]</t>
    </r>
    <r>
      <rPr>
        <sz val="11"/>
        <color rgb="FFFF0000"/>
        <rFont val="Calibri"/>
        <family val="2"/>
        <scheme val="minor"/>
      </rPr>
      <t>*</t>
    </r>
  </si>
  <si>
    <t>Top-Up Facility - Group Mediclaim Insurance [Sum Insured]*</t>
  </si>
  <si>
    <t>Click Here, if Current Address &amp; Permanent Address are same</t>
  </si>
  <si>
    <t>Unique Check</t>
  </si>
  <si>
    <t>Click Here, to Edit &amp; Clear 
Permanent Address</t>
  </si>
  <si>
    <t>Employee Name (with expanded initials)</t>
  </si>
  <si>
    <t>Project</t>
  </si>
  <si>
    <t>Admin Requirements Form</t>
  </si>
  <si>
    <t>Employee Details</t>
  </si>
  <si>
    <t xml:space="preserve">Vehicle Parking Pass Declaration: </t>
  </si>
  <si>
    <t xml:space="preserve">Vehicle Details: </t>
  </si>
  <si>
    <t>Registration Number</t>
  </si>
  <si>
    <t>Make &amp; Colour</t>
  </si>
  <si>
    <t>Please note:</t>
  </si>
  <si>
    <t>*If you join in the middle of the month then the parking pass will be provided from the next month only.</t>
  </si>
  <si>
    <t>Transportation opted (Mode of Transportation)</t>
  </si>
  <si>
    <t>Signature:</t>
  </si>
  <si>
    <t>Signature</t>
  </si>
  <si>
    <t>Date</t>
  </si>
  <si>
    <t>Validation by HR</t>
  </si>
  <si>
    <t>For admin use only:</t>
  </si>
  <si>
    <t>Description</t>
  </si>
  <si>
    <t>Date of issuance</t>
  </si>
  <si>
    <t>Employee Sign</t>
  </si>
  <si>
    <t>Access Card</t>
  </si>
  <si>
    <t>Parking Pass/Bus pass</t>
  </si>
  <si>
    <t>Sodexho coupons</t>
  </si>
  <si>
    <t>JOINING REPORT FORM</t>
  </si>
  <si>
    <t>Address</t>
  </si>
  <si>
    <t>City</t>
  </si>
  <si>
    <t>State</t>
  </si>
  <si>
    <t>Pincode</t>
  </si>
  <si>
    <t>Mobile No</t>
  </si>
  <si>
    <t>To</t>
  </si>
  <si>
    <t>HR Department</t>
  </si>
  <si>
    <t>Societe Generale Global Solution Centre Pvt. Ltd.</t>
  </si>
  <si>
    <t>Bangalore - 560 066</t>
  </si>
  <si>
    <t>National Insurance (Medi Assit)</t>
  </si>
  <si>
    <t>Membership Enrolment Form</t>
  </si>
  <si>
    <t>General Instructions:</t>
  </si>
  <si>
    <t>Medical Claims will NOT be processed without this form or with an incomplete form.</t>
  </si>
  <si>
    <t>Each, Box, wherever provided, should contain only one character (alphabet/number/punctuation sign, etc.) leaving a blank box after each word.</t>
  </si>
  <si>
    <t>Please check your eligibility with your HR Department before filling up the form</t>
  </si>
  <si>
    <t xml:space="preserve">Name of the Employee/Member: </t>
  </si>
  <si>
    <t>Employee ID:</t>
  </si>
  <si>
    <t>Dept:</t>
  </si>
  <si>
    <t>Location :</t>
  </si>
  <si>
    <t>Designation:</t>
  </si>
  <si>
    <t>Ph No:</t>
  </si>
  <si>
    <t>Email ID:</t>
  </si>
  <si>
    <t>Date of Birth:</t>
  </si>
  <si>
    <t>Age:</t>
  </si>
  <si>
    <t>Blood Group:</t>
  </si>
  <si>
    <t>Identification Marks:</t>
  </si>
  <si>
    <t>Residential Address:</t>
  </si>
  <si>
    <t>City:</t>
  </si>
  <si>
    <t>State:</t>
  </si>
  <si>
    <t>Name of your family Physician</t>
  </si>
  <si>
    <t>E-mail and Phone No</t>
  </si>
  <si>
    <t>Details of any existing Indian Medical Insurance cover:</t>
  </si>
  <si>
    <t>Issued by</t>
  </si>
  <si>
    <t>Expiry Date</t>
  </si>
  <si>
    <t>I hereby declare and confirm that the above information furnished by me is true to the best of my knowledge and belief</t>
  </si>
  <si>
    <t>If, after the insurance is affected, it is found that the statement, answers or particulars are incorrect or untrue in any respect, the company shall have no liability under this Insurance in respect of those proposed for this Insurance.</t>
  </si>
  <si>
    <t>I accept complete responsibility for all the disallowed / non-medical expenses incurred by me and/or by the dependents and also if the hospitalization expenses exceed the Insurance coverage. These expenses can be billed directly to me and Medi Assist will not be liable to pay the same.</t>
  </si>
  <si>
    <t>Signature of the Employee:</t>
  </si>
  <si>
    <t>Date:</t>
  </si>
  <si>
    <t>Name &amp; Signature of Authorized Signatory</t>
  </si>
  <si>
    <t>Member &amp; Dependent  Details</t>
  </si>
  <si>
    <t xml:space="preserve">FORM – 2 (revised) </t>
  </si>
  <si>
    <t>Employees' Provident Fund Organisation</t>
  </si>
  <si>
    <t xml:space="preserve">Nomination And Declaration Form </t>
  </si>
  <si>
    <t>For Unexempted/Exempted Establishments</t>
  </si>
  <si>
    <t xml:space="preserve">Declaration and Nomination Form under the Employees’ Provident Funds and Employees’ Pension Scheme.
(Paragraph 33 and 61 of the Employees’ Provident Fund Scheme, 1952 &amp; Paragraph 18 of the Employees’ Pension Scheme, 1995)
</t>
  </si>
  <si>
    <t>Name (in Block Letters)</t>
  </si>
  <si>
    <t xml:space="preserve">Emp Id </t>
  </si>
  <si>
    <t>Father's/Husband's Name:</t>
  </si>
  <si>
    <t>(in case of married Women)</t>
  </si>
  <si>
    <t>5  Marital Status</t>
  </si>
  <si>
    <t>Sex</t>
  </si>
  <si>
    <t xml:space="preserve">6  Account No </t>
  </si>
  <si>
    <t xml:space="preserve"> PY/KRP/0035048/</t>
  </si>
  <si>
    <t>Permanent Address</t>
  </si>
  <si>
    <t>Temporary Address</t>
  </si>
  <si>
    <t>PART-A (EPF)</t>
  </si>
  <si>
    <t>I hereby nominate the person (s)/cancel the nomination made by me previously and nominate the person(s), mentioned below to receive the amount standing to my credit in the Employees' Provident Fund, in the event of my death:</t>
  </si>
  <si>
    <t>Name of Nominee/ Nominees</t>
  </si>
  <si>
    <t>Address of 
Nominee</t>
  </si>
  <si>
    <t>Nominee’s
Relationship with the Member</t>
  </si>
  <si>
    <t>Date of
Birth</t>
  </si>
  <si>
    <t>Total amount or share of accumulation in Provident Fund to be paid to each nominee</t>
  </si>
  <si>
    <t>If the nominee is a minor, name relationship and address of the guardian who may receive the amount during the minority of nominee</t>
  </si>
  <si>
    <t xml:space="preserve">Please Select which Address has to be Updated for 
Address of Nominee: </t>
  </si>
  <si>
    <t>If Other, Please Enter
the Address of Relevant Nominee</t>
  </si>
  <si>
    <t>1. *Certified that I have no family as defined in para 1(g) of the Employees' Provident Fund Scheme, 1952 and should I acquire a family hereafter the above nomination should be deemed as cancelled.</t>
  </si>
  <si>
    <t>2.  *Certified that my father/mother is/are dependent upon me.</t>
  </si>
  <si>
    <t>*Strike out whichever is not applicable.</t>
  </si>
  <si>
    <t>Signature/or thumb impression of the subscriber</t>
  </si>
  <si>
    <t>FOR OFFICE USE ONLY</t>
  </si>
  <si>
    <t>Dt. of Joining E.P.F</t>
  </si>
  <si>
    <t>ENTRIES VERIFIED</t>
  </si>
  <si>
    <t xml:space="preserve">Past Service </t>
  </si>
  <si>
    <t>Years</t>
  </si>
  <si>
    <t>Date of Joining EPS</t>
  </si>
  <si>
    <t>D.A________ S.S _______ A.A.O</t>
  </si>
  <si>
    <t>PART – B (EPS) Para 18</t>
  </si>
  <si>
    <t>I hereby furnish below particulars of the members of my family who would be eligible to receive widow/widower/children Pension in event of my death.</t>
  </si>
  <si>
    <t>SI. No.</t>
  </si>
  <si>
    <t>Name of the family member</t>
  </si>
  <si>
    <t>Relationship with member</t>
  </si>
  <si>
    <t>**Certified that I have no family, as defined in para 2(vii) of Employees’ Pension Scheme, 1995 and should I acquire a family hereafter I shall furnish particulars thereon in the above form.</t>
  </si>
  <si>
    <t>I hereby nominate the following person for receiving the monthly pension (admissible under para 16 (2) (a) (i) &amp; (ii) the event of my death without leaving any eligible family member for receiving pension.</t>
  </si>
  <si>
    <t>Name &amp; Address of the nominee</t>
  </si>
  <si>
    <t>Certificate by Employer</t>
  </si>
  <si>
    <t xml:space="preserve">Certified that the above declaration and nomination has been signed / thumb impressed before me by </t>
  </si>
  <si>
    <t xml:space="preserve">Shri/Smt./Kum </t>
  </si>
  <si>
    <t xml:space="preserve">employed in my establishment </t>
  </si>
  <si>
    <t>after he/she has read the entries/entries have been read over to him/her by me and got confirmed by him/her.</t>
  </si>
  <si>
    <t>Signature of the Employer or other authorised Officers of the Establishment</t>
  </si>
  <si>
    <r>
      <t>for</t>
    </r>
    <r>
      <rPr>
        <b/>
        <sz val="8"/>
        <rFont val="Arial"/>
        <family val="2"/>
      </rPr>
      <t xml:space="preserve"> Societe Generale Global Solution Centre Pvt Ltd.</t>
    </r>
  </si>
  <si>
    <t>Authorised Signatory</t>
  </si>
  <si>
    <t>Name &amp; Address of the Factory/Establishment or Rubber Stamp thereof.</t>
  </si>
  <si>
    <t xml:space="preserve">
Societe Generale Global Solution Centre Pvt Ltd.
"Voyager” Building, 10th Floor, Ascendas ITPB SEZ,
International Tech Park,
Whitefield Road, 
Bangalore 560 066</t>
  </si>
  <si>
    <t>FORM 'F'</t>
  </si>
  <si>
    <t>[See sub-rule (1) of rule 6]</t>
  </si>
  <si>
    <t>NOMINATION</t>
  </si>
  <si>
    <t>To
Societe Generale Global Solution Center Pvt. Ltd.
10th Floor, "Voyager" Building, 
ITPL, Whitefield Road
Bangalore 560 066, India</t>
  </si>
  <si>
    <t xml:space="preserve">I Shri/Shrimati/Kumari </t>
  </si>
  <si>
    <t>whose particulars are given in the statement below,</t>
  </si>
  <si>
    <t>hereby nominate the person(s) mentioned below to receive the gratuity payable after my death as also the gratuity standing to my credit in the event of my death before that amount has become payable, or having become payable has not been paid and direct that the said amount of gratuity shall be paid in proportion indicated against the name(s)  of the nominee(s).
2.  I hereby certify that the person(s) mentioned is a/are member(s) of my family within the meaning of clause (h) of section (2) of the Payment of gratuity Act, 1972.
3.  I hereby declare that I have no family within the meaning of clause (h) of section (2) of the said act.
4.  (a)  My father/mother/parents is/are not dependent on me.
     (b) My husband's father/mother/parents is/are not dependent on my husband.
5.  I have excluded my husband from my family by a notice dated the ________________ to the Controlling Authority in terms of the proviso to clause (h) of section 2 of the said Act.
6.  Nomination made herein invalidates my previous nomination.</t>
  </si>
  <si>
    <t>Nominee(s)</t>
  </si>
  <si>
    <t>Name in full with full address of nominee(s)</t>
  </si>
  <si>
    <t>Relationship with 
the employee</t>
  </si>
  <si>
    <t>Age of Nominee</t>
  </si>
  <si>
    <t>Proportion by which 
the gratuity will be shared</t>
  </si>
  <si>
    <t>So on</t>
  </si>
  <si>
    <t>Statement</t>
  </si>
  <si>
    <t xml:space="preserve">Name of employee in full </t>
  </si>
  <si>
    <t>Religion</t>
  </si>
  <si>
    <t xml:space="preserve">Whether unmarried/married/widow/widower  </t>
  </si>
  <si>
    <t>Department /Branch/Section where employed</t>
  </si>
  <si>
    <t>Post held with Ticket or Serial No., if any.</t>
  </si>
  <si>
    <t>Date of appointment</t>
  </si>
  <si>
    <t>Village:</t>
  </si>
  <si>
    <t>Thana:</t>
  </si>
  <si>
    <t>Sub-division :</t>
  </si>
  <si>
    <t xml:space="preserve">Post office: </t>
  </si>
  <si>
    <t>District:</t>
  </si>
  <si>
    <t xml:space="preserve">Place : </t>
  </si>
  <si>
    <t>Date  :</t>
  </si>
  <si>
    <t>Signature/Thumb-impression of the employee</t>
  </si>
  <si>
    <t>Declaration by witnesses</t>
  </si>
  <si>
    <t>Nomination signed / thumb impressed before me.</t>
  </si>
  <si>
    <t>Name in full and full address of witnesses</t>
  </si>
  <si>
    <t>Signature of witnesses</t>
  </si>
  <si>
    <t>Certificate by the employer</t>
  </si>
  <si>
    <t>Certified that the particulars of the above nomination have been verified and recorded in this establishment.</t>
  </si>
  <si>
    <t>Employer's reference No., if any.</t>
  </si>
  <si>
    <t>for Societe Generale</t>
  </si>
  <si>
    <t>Global Solution Centre Pvt. Ltd.,</t>
  </si>
  <si>
    <t>Name &amp; Address of the establishment or Rubber-stamp thereof</t>
  </si>
  <si>
    <t>Signature of the employer/ officer authorised</t>
  </si>
  <si>
    <t>Acknowledgment by the employee</t>
  </si>
  <si>
    <t>Received the duplicate copy of nomination in Form `F' filed by me and duly certified by the employer.</t>
  </si>
  <si>
    <t xml:space="preserve">Note : Strike out the words/paragraphs not applicable. </t>
  </si>
  <si>
    <t>to</t>
  </si>
  <si>
    <t>FORM-I</t>
  </si>
  <si>
    <t xml:space="preserve">                  NOMINATION AND DECLARATION FORM</t>
  </si>
  <si>
    <t>[See rule 3]</t>
  </si>
  <si>
    <t>Name of person making nomination 
(in block letters)</t>
  </si>
  <si>
    <t>Father's/Husband's Name</t>
  </si>
  <si>
    <t>Marital Status</t>
  </si>
  <si>
    <t xml:space="preserve">Temporary Address </t>
  </si>
  <si>
    <t>I hereby nominate the person(s)/cancel the nomination made by me previously and nominate the person(s) mentioned below to receive any amount due to me from the employer, in the event to my death.</t>
  </si>
  <si>
    <t>Name of the nominee/nominees</t>
  </si>
  <si>
    <t>Nominee's relationship with the member</t>
  </si>
  <si>
    <t>Total amount of share of accumulations in credit to be paid to each nominee</t>
  </si>
  <si>
    <t>If the nominee is minor, name, relationship and address of the guardian who may receive the amount during the minority of nominee.</t>
  </si>
  <si>
    <t>(1)</t>
  </si>
  <si>
    <t>(2)</t>
  </si>
  <si>
    <t>(3)</t>
  </si>
  <si>
    <t>(4)</t>
  </si>
  <si>
    <t>(5)</t>
  </si>
  <si>
    <t>(6)</t>
  </si>
  <si>
    <t>Certified that I have no family and should I acquire a family hereafter, the above nomination shall be deemed as cancelled.</t>
  </si>
  <si>
    <t>*Certified that my father/mother is/are dependent upon me.</t>
  </si>
  <si>
    <t xml:space="preserve">           Signature or the thumb impression of the employed person</t>
  </si>
  <si>
    <t xml:space="preserve">                       CERTIFICATE BY EMPLOYER</t>
  </si>
  <si>
    <t xml:space="preserve">Certified that the above declaration and nomination has been signed/thumb impressed before me by  </t>
  </si>
  <si>
    <t>Shri/Smt./Kum</t>
  </si>
  <si>
    <t xml:space="preserve"> employed in my establishment after he/she has read the</t>
  </si>
  <si>
    <t xml:space="preserve">entry/entries have been read over to him/her by me and got confirmed </t>
  </si>
  <si>
    <t>for Societe Generale Global Solution Centre Pvt Ltd.</t>
  </si>
  <si>
    <t>Societe Generale Global Solution Centre Pvt Ltd.</t>
  </si>
  <si>
    <t>Voyager” Building, 10th Floor, Ascendas ITPB SEZ,</t>
  </si>
  <si>
    <t>International Tech Park, Whitefield Road, Bangalore 560 066</t>
  </si>
  <si>
    <t xml:space="preserve">Statutory requirement </t>
  </si>
  <si>
    <t>FORM `Q'</t>
  </si>
  <si>
    <t>(See Rule 24 (9A)</t>
  </si>
  <si>
    <t>Appointment Order</t>
  </si>
  <si>
    <t>Name and Address of the Establishment</t>
  </si>
  <si>
    <t>Name and Address of the Employer</t>
  </si>
  <si>
    <t>Societe Generale Global Solution Center Pvt. Ltd.
"Voyager" Building, 10th Floor
Ascendas ITPB SEZ
ITPL,Whitefield Road
Bangalore - 560 066, India</t>
  </si>
  <si>
    <t>Name of the Employee</t>
  </si>
  <si>
    <t>His / Her Postal Address</t>
  </si>
  <si>
    <t>His / Her Permanent Address</t>
  </si>
  <si>
    <t>Father's / Husband's Name</t>
  </si>
  <si>
    <t>Date of His / Her entry in to employment</t>
  </si>
  <si>
    <t>Nature of work entrusted to him</t>
  </si>
  <si>
    <t>His / Her serial number in the Register
of Employment (Muster Roll) (Emp id)</t>
  </si>
  <si>
    <t>Rates of wages payable to him / her</t>
  </si>
  <si>
    <t>i)</t>
  </si>
  <si>
    <t>Basic</t>
  </si>
  <si>
    <t>ii)</t>
  </si>
  <si>
    <t>VDA</t>
  </si>
  <si>
    <t>Refer To Appointment Letter Annexure</t>
  </si>
  <si>
    <t>iii)</t>
  </si>
  <si>
    <t>Other Allowances if any</t>
  </si>
  <si>
    <t>Total</t>
  </si>
  <si>
    <t>Place :</t>
  </si>
  <si>
    <t>Acknowledgement by employee
with date and Signature</t>
  </si>
  <si>
    <t>International Tech Park, Whitefield Road
Bangalore 560 066</t>
  </si>
  <si>
    <t>Human Resource Dept.</t>
  </si>
  <si>
    <t xml:space="preserve">Societe Generale Global Solution Centre Private Limited </t>
  </si>
  <si>
    <t>Voyager Building, 10th Floor</t>
  </si>
  <si>
    <t>Ascendas ITPB SEZ, ITPL</t>
  </si>
  <si>
    <t>Whitefield Road</t>
  </si>
  <si>
    <r>
      <t xml:space="preserve">Sub: Membership of </t>
    </r>
    <r>
      <rPr>
        <b/>
        <sz val="11"/>
        <color theme="1"/>
        <rFont val="Calibri"/>
        <family val="2"/>
        <scheme val="minor"/>
      </rPr>
      <t>‘Employee Club’</t>
    </r>
  </si>
  <si>
    <t>Thanking you</t>
  </si>
  <si>
    <t>Name:</t>
  </si>
  <si>
    <t xml:space="preserve">Employee ID:  </t>
  </si>
  <si>
    <r>
      <t xml:space="preserve">I have read and made myself familiar with the objectives for which the </t>
    </r>
    <r>
      <rPr>
        <b/>
        <sz val="11"/>
        <color theme="1"/>
        <rFont val="Calibri"/>
        <family val="2"/>
        <scheme val="minor"/>
      </rPr>
      <t xml:space="preserve">‘Employee Club’ </t>
    </r>
    <r>
      <rPr>
        <sz val="11"/>
        <color theme="1"/>
        <rFont val="Calibri"/>
        <family val="2"/>
        <scheme val="minor"/>
      </rPr>
      <t xml:space="preserve">has been formed at 
</t>
    </r>
    <r>
      <rPr>
        <b/>
        <sz val="11"/>
        <color theme="1"/>
        <rFont val="Calibri"/>
        <family val="2"/>
        <scheme val="minor"/>
      </rPr>
      <t>Societe Generale Global Solution Centre Private Limited</t>
    </r>
    <r>
      <rPr>
        <sz val="11"/>
        <color theme="1"/>
        <rFont val="Calibri"/>
        <family val="2"/>
        <scheme val="minor"/>
      </rPr>
      <t xml:space="preserve">, Bangalore and I wish to become a member of the
</t>
    </r>
    <r>
      <rPr>
        <b/>
        <sz val="11"/>
        <color theme="1"/>
        <rFont val="Calibri"/>
        <family val="2"/>
        <scheme val="minor"/>
      </rPr>
      <t>‘Employee Club’</t>
    </r>
    <r>
      <rPr>
        <sz val="11"/>
        <color theme="1"/>
        <rFont val="Calibri"/>
        <family val="2"/>
        <scheme val="minor"/>
      </rPr>
      <t xml:space="preserve">.
I agree to contribute Rs. 50/- every month towards membership of </t>
    </r>
    <r>
      <rPr>
        <b/>
        <sz val="11"/>
        <color theme="1"/>
        <rFont val="Calibri"/>
        <family val="2"/>
        <scheme val="minor"/>
      </rPr>
      <t>‘Employee Club’</t>
    </r>
    <r>
      <rPr>
        <sz val="11"/>
        <color theme="1"/>
        <rFont val="Calibri"/>
        <family val="2"/>
        <scheme val="minor"/>
      </rPr>
      <t xml:space="preserve"> by way of deduction from my salary until further intimation. I understand and appreciate the fact that an equal contribution would be made every month by the Company to the </t>
    </r>
    <r>
      <rPr>
        <b/>
        <sz val="11"/>
        <color theme="1"/>
        <rFont val="Calibri"/>
        <family val="2"/>
        <scheme val="minor"/>
      </rPr>
      <t>‘Employee Club’</t>
    </r>
    <r>
      <rPr>
        <sz val="11"/>
        <color theme="1"/>
        <rFont val="Calibri"/>
        <family val="2"/>
        <scheme val="minor"/>
      </rPr>
      <t>.</t>
    </r>
  </si>
  <si>
    <t xml:space="preserve">Name of Member: </t>
  </si>
  <si>
    <t xml:space="preserve">Gender: </t>
  </si>
  <si>
    <t xml:space="preserve">Date of Birth: </t>
  </si>
  <si>
    <t xml:space="preserve">Age: </t>
  </si>
  <si>
    <t xml:space="preserve">Health Status: </t>
  </si>
  <si>
    <t>Member Details</t>
  </si>
  <si>
    <t>Dependent 1 Details</t>
  </si>
  <si>
    <t xml:space="preserve">Name of Dependent: </t>
  </si>
  <si>
    <t>Dependent 2 Details</t>
  </si>
  <si>
    <t>Dependent 3 Details</t>
  </si>
  <si>
    <t>Dependent 4 Details</t>
  </si>
  <si>
    <t>Dependent 5 Details</t>
  </si>
  <si>
    <t>Dependent 6 Details</t>
  </si>
  <si>
    <t>Relationship:</t>
  </si>
  <si>
    <t>N_D</t>
  </si>
  <si>
    <t>N_S</t>
  </si>
  <si>
    <t>No of Children is not matching with Dependent Details</t>
  </si>
  <si>
    <t>UAN # - 1000000231537</t>
  </si>
  <si>
    <t>Open Parking</t>
  </si>
  <si>
    <t>Two Wheeler/Four Wheeler</t>
  </si>
  <si>
    <t>Parking</t>
  </si>
  <si>
    <t>Four_Wheeler</t>
  </si>
  <si>
    <t>Covered Parking</t>
  </si>
  <si>
    <t>Two_Wheeler</t>
  </si>
  <si>
    <t>Member - Health Status</t>
  </si>
  <si>
    <t>Dependent 1 - Health Status</t>
  </si>
  <si>
    <t>Dependent 2 - Health Status</t>
  </si>
  <si>
    <t>Dependent 3 - Health Status</t>
  </si>
  <si>
    <t>Dependent 4 - Health Status</t>
  </si>
  <si>
    <t>Dependent 5 - Health Status</t>
  </si>
  <si>
    <t>Dependent 6 - Health Status</t>
  </si>
  <si>
    <t>Nomination 1 - Address of Nominee</t>
  </si>
  <si>
    <t>Nomination 2 - Address of Nominee</t>
  </si>
  <si>
    <t>Nomination 3 - Address of Nominee</t>
  </si>
  <si>
    <t>Nomination 4 - Address of Nominee</t>
  </si>
  <si>
    <t>Nomination 5 - Address of Nominee</t>
  </si>
  <si>
    <t>Nomination 6 - Address of Nominee</t>
  </si>
  <si>
    <t>Beneficiary Nomination Form</t>
  </si>
  <si>
    <t>Directorship Declaration Form</t>
  </si>
  <si>
    <t>Declaration of Personal account</t>
  </si>
  <si>
    <t>Fields Filled</t>
  </si>
  <si>
    <t>Fields to be filled</t>
  </si>
  <si>
    <t>New Hire Form(HR Only)</t>
  </si>
  <si>
    <t>Print Form</t>
  </si>
  <si>
    <t>Reporting Venue</t>
  </si>
  <si>
    <t>Validate</t>
  </si>
  <si>
    <t>Help</t>
  </si>
  <si>
    <t>Previous</t>
  </si>
  <si>
    <t>Next</t>
  </si>
  <si>
    <t>Instructions to Fill Personal Information Form</t>
  </si>
  <si>
    <t>A) 4 Steps to Fill the Personal Information Form</t>
  </si>
  <si>
    <t>1. Enable the Macros</t>
  </si>
  <si>
    <t>2. Fill up the Excel form.</t>
  </si>
  <si>
    <t>3. Validate the each sheets from the form by clicking on the "Validate" button.</t>
  </si>
  <si>
    <t xml:space="preserve">4. Correct the reported errors. </t>
  </si>
  <si>
    <t>B) How to use this Personal Information Form</t>
  </si>
  <si>
    <t>Overview</t>
  </si>
  <si>
    <t>Before you begin</t>
  </si>
  <si>
    <t>Structure of the Personal Information Form</t>
  </si>
  <si>
    <t>Filling up the sections of the form</t>
  </si>
  <si>
    <t>Validating the sheets</t>
  </si>
  <si>
    <t>Printing</t>
  </si>
  <si>
    <t>Fill up applicable Data</t>
  </si>
  <si>
    <t>Validate each sheet</t>
  </si>
  <si>
    <t>Read the general instructions for filling up the form.</t>
  </si>
  <si>
    <t>The Excel Workbook consists of 9 Worksheets.</t>
  </si>
  <si>
    <t>Structure of the utility for Personal Information Form</t>
  </si>
  <si>
    <t>Various sheets and schedules per sheet form part Personal Information Form.</t>
  </si>
  <si>
    <t>The name of each sheet displays in the tab at the bottom of the workbook.</t>
  </si>
  <si>
    <t xml:space="preserve">Each sheet includes a number of distinct, titled sections / schedules. </t>
  </si>
  <si>
    <t xml:space="preserve">Each sheet is identified by the sheet tabs located at the bottom of the Excel window. These tabs are labeled with the schedules </t>
  </si>
  <si>
    <t>of the sheet.</t>
  </si>
  <si>
    <t>Filling up the sections of the form using the Personal Information Form.</t>
  </si>
  <si>
    <t>1.  Every section / schedule is color coded to facilitate the user to enter data.</t>
  </si>
  <si>
    <t>2.  There are following different types of cells in the sheet.</t>
  </si>
  <si>
    <t xml:space="preserve">a)   Data entry cells have a black font and a light green background color as provided for this cell. </t>
  </si>
  <si>
    <t xml:space="preserve">   Certain fields are mandatory under specific conditions. </t>
  </si>
  <si>
    <t>b)  Data entry cells which have a dropdown are highlighted in black font and orange background color as provided for this cell.</t>
  </si>
  <si>
    <t xml:space="preserve">c)  Fields whose values are automatically calculated / filled have a black font and the Olive Green background color </t>
  </si>
  <si>
    <t xml:space="preserve">     as provided for this cell. </t>
  </si>
  <si>
    <t xml:space="preserve">3.  Date: While typing date follow the format of DD/MMM/YY </t>
  </si>
  <si>
    <t xml:space="preserve">4. Please expand all the Initials and abbreviations </t>
  </si>
  <si>
    <t>5. Emp ID and Dept/Project name will be given to you at the time of joining.</t>
  </si>
  <si>
    <t>7. Please put "NA" for irrelevant fields which are not applicable like Spouse name, Children name etc</t>
  </si>
  <si>
    <t xml:space="preserve">8. Please note each tab form requiring your read-through will be delivered to you on the first day of joining </t>
  </si>
  <si>
    <t>for signing in the presence of HR .</t>
  </si>
  <si>
    <t>10. Navigation : Refer to the navigation buttons shown on the left for Next, Previous.</t>
  </si>
  <si>
    <t xml:space="preserve">The user can navigate between the sheets by either clicking on next or previous buttons as required.  </t>
  </si>
  <si>
    <t>11. Moving through the cells : Use Tab Keys to move from one data entry cell to another on the selected sheet.</t>
  </si>
  <si>
    <t>Validating the sheets :</t>
  </si>
  <si>
    <t>Validate the filled up sheet using the "Validate" button in each sheet. Correct errors identified by the validate feature.</t>
  </si>
  <si>
    <t>Printing:</t>
  </si>
  <si>
    <t xml:space="preserve">The print button provides the option to the user to print the sheets after previewing the same. </t>
  </si>
  <si>
    <t xml:space="preserve">On clicking "Print", the user can click on OK for print preview option, preview the pages which will be printed, </t>
  </si>
  <si>
    <t>and Click on the "Print.." button on the menu of the preview pages to print.</t>
  </si>
  <si>
    <t>Voyager Building, 10th Floor, Ascendas ITPB SEZ, ITPL</t>
  </si>
  <si>
    <t>Whitefield Road, Bangalore - 560 066</t>
  </si>
  <si>
    <t xml:space="preserve"> (e.g. Your date of joining can be typed as : 06/DEC/14, then it will automatically change the date format as 6-December-2014)</t>
  </si>
  <si>
    <t>6. Rename file name by Suffix your name Eg: Joining_Form-John SMITH.xls</t>
  </si>
  <si>
    <r>
      <t>9. Prior to your joining date, you will receive email communication from</t>
    </r>
    <r>
      <rPr>
        <u/>
        <sz val="10"/>
        <color theme="1"/>
        <rFont val="Calibri"/>
        <family val="2"/>
      </rPr>
      <t xml:space="preserve"> </t>
    </r>
    <r>
      <rPr>
        <u/>
        <sz val="10"/>
        <color rgb="FF0000FF"/>
        <rFont val="Calibri"/>
        <family val="2"/>
      </rPr>
      <t>_________@socgen.com</t>
    </r>
    <r>
      <rPr>
        <sz val="11"/>
        <color theme="1"/>
        <rFont val="Calibri"/>
        <family val="2"/>
        <scheme val="minor"/>
      </rPr>
      <t>.</t>
    </r>
  </si>
  <si>
    <t>Details</t>
  </si>
  <si>
    <t>Emp No.</t>
  </si>
  <si>
    <t>CardHolder Name</t>
  </si>
  <si>
    <t>DOJ</t>
  </si>
  <si>
    <t xml:space="preserve">Corporate Level (CARE) </t>
  </si>
  <si>
    <t>Sub-Level (CARE)</t>
  </si>
  <si>
    <t>Designtation</t>
  </si>
  <si>
    <t>Date Of Birth</t>
  </si>
  <si>
    <t>Employee Name</t>
  </si>
  <si>
    <t>Self</t>
  </si>
  <si>
    <t>Dependent 1</t>
  </si>
  <si>
    <t>Dependent 2</t>
  </si>
  <si>
    <t>Dependent 3</t>
  </si>
  <si>
    <t>Dependent 4</t>
  </si>
  <si>
    <t>Dependent 5</t>
  </si>
  <si>
    <t>Dependent 6</t>
  </si>
  <si>
    <t>Emp No</t>
  </si>
  <si>
    <t>Name</t>
  </si>
  <si>
    <t>DOJ- Month</t>
  </si>
  <si>
    <t xml:space="preserve">Ethnicity </t>
  </si>
  <si>
    <t>Caste</t>
  </si>
  <si>
    <t>Country</t>
  </si>
  <si>
    <t>Email - ID</t>
  </si>
  <si>
    <t>Education</t>
  </si>
  <si>
    <t>Active/Non Active</t>
  </si>
  <si>
    <t>Nationality</t>
  </si>
  <si>
    <t>Insurance</t>
  </si>
  <si>
    <t>Statutory File-Religion &amp; Caste</t>
  </si>
  <si>
    <t>Personal Information</t>
  </si>
  <si>
    <t>Employment information</t>
  </si>
  <si>
    <t>Personal information</t>
  </si>
  <si>
    <t>Address &amp; contact details</t>
  </si>
  <si>
    <t>Passport Detail</t>
  </si>
  <si>
    <t>PAN details</t>
  </si>
  <si>
    <r>
      <t>First Name</t>
    </r>
    <r>
      <rPr>
        <b/>
        <sz val="11"/>
        <color rgb="FFFF0000"/>
        <rFont val="Calibri"/>
        <family val="2"/>
        <scheme val="minor"/>
      </rPr>
      <t>*</t>
    </r>
  </si>
  <si>
    <r>
      <t>Last Name</t>
    </r>
    <r>
      <rPr>
        <b/>
        <sz val="11"/>
        <color rgb="FFFF0000"/>
        <rFont val="Calibri"/>
        <family val="2"/>
        <scheme val="minor"/>
      </rPr>
      <t>*</t>
    </r>
  </si>
  <si>
    <r>
      <t>Date of Birth</t>
    </r>
    <r>
      <rPr>
        <b/>
        <sz val="11"/>
        <color rgb="FFFF0000"/>
        <rFont val="Calibri"/>
        <family val="2"/>
        <scheme val="minor"/>
      </rPr>
      <t>*</t>
    </r>
  </si>
  <si>
    <r>
      <t>Joining Location</t>
    </r>
    <r>
      <rPr>
        <b/>
        <sz val="11"/>
        <color rgb="FFFF0000"/>
        <rFont val="Calibri"/>
        <family val="2"/>
        <scheme val="minor"/>
      </rPr>
      <t>*</t>
    </r>
  </si>
  <si>
    <r>
      <t>Gender</t>
    </r>
    <r>
      <rPr>
        <b/>
        <sz val="11"/>
        <color rgb="FFFF0000"/>
        <rFont val="Calibri"/>
        <family val="2"/>
        <scheme val="minor"/>
      </rPr>
      <t>*</t>
    </r>
  </si>
  <si>
    <r>
      <t>Marital Status</t>
    </r>
    <r>
      <rPr>
        <b/>
        <sz val="11"/>
        <color rgb="FFFF0000"/>
        <rFont val="Calibri"/>
        <family val="2"/>
        <scheme val="minor"/>
      </rPr>
      <t>*</t>
    </r>
  </si>
  <si>
    <r>
      <t>Blood Group</t>
    </r>
    <r>
      <rPr>
        <b/>
        <sz val="11"/>
        <color rgb="FFFF0000"/>
        <rFont val="Calibri"/>
        <family val="2"/>
        <scheme val="minor"/>
      </rPr>
      <t>*</t>
    </r>
  </si>
  <si>
    <r>
      <t>Nationality</t>
    </r>
    <r>
      <rPr>
        <b/>
        <sz val="11"/>
        <color rgb="FFFF0000"/>
        <rFont val="Calibri"/>
        <family val="2"/>
        <scheme val="minor"/>
      </rPr>
      <t>*</t>
    </r>
  </si>
  <si>
    <r>
      <t>Current Address</t>
    </r>
    <r>
      <rPr>
        <b/>
        <sz val="11"/>
        <color rgb="FFFF0000"/>
        <rFont val="Calibri"/>
        <family val="2"/>
        <scheme val="minor"/>
      </rPr>
      <t>*</t>
    </r>
  </si>
  <si>
    <r>
      <t>City</t>
    </r>
    <r>
      <rPr>
        <b/>
        <sz val="11"/>
        <color rgb="FFFF0000"/>
        <rFont val="Calibri"/>
        <family val="2"/>
        <scheme val="minor"/>
      </rPr>
      <t>*</t>
    </r>
  </si>
  <si>
    <r>
      <t>State</t>
    </r>
    <r>
      <rPr>
        <b/>
        <sz val="11"/>
        <color rgb="FFFF0000"/>
        <rFont val="Calibri"/>
        <family val="2"/>
        <scheme val="minor"/>
      </rPr>
      <t>*</t>
    </r>
  </si>
  <si>
    <r>
      <t>Pincode</t>
    </r>
    <r>
      <rPr>
        <b/>
        <sz val="11"/>
        <color rgb="FFFF0000"/>
        <rFont val="Calibri"/>
        <family val="2"/>
        <scheme val="minor"/>
      </rPr>
      <t>*</t>
    </r>
  </si>
  <si>
    <r>
      <t>Telephone Number</t>
    </r>
    <r>
      <rPr>
        <b/>
        <sz val="11"/>
        <color rgb="FFFF0000"/>
        <rFont val="Calibri"/>
        <family val="2"/>
        <scheme val="minor"/>
      </rPr>
      <t>*</t>
    </r>
  </si>
  <si>
    <r>
      <t>Mobile No</t>
    </r>
    <r>
      <rPr>
        <b/>
        <sz val="11"/>
        <color rgb="FFFF0000"/>
        <rFont val="Calibri"/>
        <family val="2"/>
        <scheme val="minor"/>
      </rPr>
      <t>*</t>
    </r>
  </si>
  <si>
    <r>
      <t>Email ID</t>
    </r>
    <r>
      <rPr>
        <b/>
        <sz val="11"/>
        <color rgb="FFFF0000"/>
        <rFont val="Calibri"/>
        <family val="2"/>
        <scheme val="minor"/>
      </rPr>
      <t>*</t>
    </r>
  </si>
  <si>
    <r>
      <t>Full Name as in Passport</t>
    </r>
    <r>
      <rPr>
        <b/>
        <sz val="11"/>
        <color rgb="FFFF0000"/>
        <rFont val="Calibri"/>
        <family val="2"/>
        <scheme val="minor"/>
      </rPr>
      <t>*</t>
    </r>
  </si>
  <si>
    <r>
      <t>Passport No.</t>
    </r>
    <r>
      <rPr>
        <b/>
        <sz val="11"/>
        <color rgb="FFFF0000"/>
        <rFont val="Calibri"/>
        <family val="2"/>
        <scheme val="minor"/>
      </rPr>
      <t>*</t>
    </r>
  </si>
  <si>
    <r>
      <t>Date of Issue</t>
    </r>
    <r>
      <rPr>
        <b/>
        <sz val="11"/>
        <color rgb="FFFF0000"/>
        <rFont val="Calibri"/>
        <family val="2"/>
        <scheme val="minor"/>
      </rPr>
      <t>*</t>
    </r>
  </si>
  <si>
    <r>
      <t>Date of Expiry</t>
    </r>
    <r>
      <rPr>
        <b/>
        <sz val="11"/>
        <color rgb="FFFF0000"/>
        <rFont val="Calibri"/>
        <family val="2"/>
        <scheme val="minor"/>
      </rPr>
      <t>*</t>
    </r>
  </si>
  <si>
    <r>
      <t>Place of Issue</t>
    </r>
    <r>
      <rPr>
        <b/>
        <sz val="11"/>
        <color rgb="FFFF0000"/>
        <rFont val="Calibri"/>
        <family val="2"/>
        <scheme val="minor"/>
      </rPr>
      <t>*</t>
    </r>
  </si>
  <si>
    <r>
      <t>Income Tax PAN</t>
    </r>
    <r>
      <rPr>
        <b/>
        <sz val="11"/>
        <color rgb="FFFF0000"/>
        <rFont val="Calibri"/>
        <family val="2"/>
        <scheme val="minor"/>
      </rPr>
      <t>*</t>
    </r>
  </si>
  <si>
    <t>Father's Name</t>
  </si>
  <si>
    <t>Joining Location</t>
  </si>
  <si>
    <t>Income Tax PAN</t>
  </si>
  <si>
    <t>NJF Details</t>
  </si>
  <si>
    <t>THE EMPLOYEES’ PROVIDENT FUNDS SCHEME, 1952 (PARAGRAPH-34 &amp; 57)</t>
  </si>
  <si>
    <t>OR</t>
  </si>
  <si>
    <t>&amp;</t>
  </si>
  <si>
    <t>THE EMPLOYEES’ PENSION SCHEME, 1995 (PARAGRAPH-24)</t>
  </si>
  <si>
    <t>DECLARATION BY A PERSON TAKING UP EMPLOYMENT IN AN ESTABLISHMENT ON WHICH EMPLOYEES’ PROVIDENT FUND SCHEME, 1952 AND/OR EMPLOYEES’ PENSION SCHEME, 1995 IS APPLICABLE.</t>
  </si>
  <si>
    <r>
      <rPr>
        <b/>
        <sz val="14"/>
        <rFont val="Tahoma"/>
        <family val="2"/>
      </rPr>
      <t>Declaration Form</t>
    </r>
    <r>
      <rPr>
        <b/>
        <sz val="10"/>
        <rFont val="Tahoma"/>
        <family val="2"/>
      </rPr>
      <t xml:space="preserve">
</t>
    </r>
    <r>
      <rPr>
        <sz val="10"/>
        <rFont val="Tahoma"/>
        <family val="2"/>
      </rPr>
      <t>(To be retained by the Employer for future reference)</t>
    </r>
  </si>
  <si>
    <t>(PLEASE GO THROUGH THE INSTRUCTIONS)</t>
  </si>
  <si>
    <t>1)</t>
  </si>
  <si>
    <t>NAME (TITLE)</t>
  </si>
  <si>
    <t>2)</t>
  </si>
  <si>
    <t>DATE OF BIRTH</t>
  </si>
  <si>
    <t>3)</t>
  </si>
  <si>
    <t>FATHER’S/ HUSBAND’S NAME</t>
  </si>
  <si>
    <t>4)</t>
  </si>
  <si>
    <t>RELATIONSHIP IN RESPECT OF (3) ABOVE</t>
  </si>
  <si>
    <t>5)</t>
  </si>
  <si>
    <t>GENDER</t>
  </si>
  <si>
    <t>6)</t>
  </si>
  <si>
    <t>MOBILE NUMBER (IF ANY)</t>
  </si>
  <si>
    <t>EMAIL ID (IF ANY)</t>
  </si>
  <si>
    <t>7)</t>
  </si>
  <si>
    <t>8)</t>
  </si>
  <si>
    <t>WHETHER EARLIER A MEMBER OF THE EMPLOYEES’ PROVIDENT FUND SCHEME, 1952 ?</t>
  </si>
  <si>
    <t>9)</t>
  </si>
  <si>
    <t>WHETHER EARLIER A MEMBER OF THE EMPLOYEES’ PENSION SCHEME, 1995?</t>
  </si>
  <si>
    <t>IF RESPONSE TO ANY OR BOTH OF (8) &amp; (9) ABOVE IS YES, THEN MANDATORILY FILL UP THE PREVIOUS EMPLOYMENT DETAILS AT (10,11&amp;12):</t>
  </si>
  <si>
    <t>A. PREVIOUS EMPLOYMENT DETAILS</t>
  </si>
  <si>
    <t>10)</t>
  </si>
  <si>
    <t>THE DETAILS OF THE UNIVERSAL ACCOUNT NUMBER (UAN) OR PREVIOUS PF MEMBER ID:</t>
  </si>
  <si>
    <t>UAN</t>
  </si>
  <si>
    <t>PREVIOUS PF MEMBER ID</t>
  </si>
  <si>
    <t>DATE OF EXIT FOR PREVIOUS MEMBER ID (DD/MM/YYYY)</t>
  </si>
  <si>
    <t>11)</t>
  </si>
  <si>
    <t>12)</t>
  </si>
  <si>
    <t>(A) IF SCHEME CERTIFICATE ISSUED FOR PREVIOUS EMPLOYMENT, THEN SCHEME CERTIFICATE NUMBER:</t>
  </si>
  <si>
    <t>(B) IF PENSION PAYMENT ORDER (PPO) ISSUED FOR PREVIOUS EMPLOYMENT, THEN PPO NUMBER:</t>
  </si>
  <si>
    <t>B. PREVIOUS EMPLOYMENT DETAILS</t>
  </si>
  <si>
    <t>13)</t>
  </si>
  <si>
    <t>INTERNATIONAL WORKER</t>
  </si>
  <si>
    <t>IF THE REPLY TO (13) ABOVE IS YES, THEN ENTER THE DETAILS IN 13(A), 13(B) &amp; 13(C):</t>
  </si>
  <si>
    <t>(A) COUNTRY OF ORIGIN - OTHER THAN INDIA (IF YES, PLEASE MENTION NAME OF THE COUNTRY)</t>
  </si>
  <si>
    <t>(B) PASSPORT NUMBER</t>
  </si>
  <si>
    <t>(C) PASSPORT VALID FROM</t>
  </si>
  <si>
    <t>(C) PASSPORT VALID TO</t>
  </si>
  <si>
    <t>14)</t>
  </si>
  <si>
    <t>EDUCATIONAL QUALIFICATION</t>
  </si>
  <si>
    <t>15)</t>
  </si>
  <si>
    <t>MARITAL STATUS</t>
  </si>
  <si>
    <t>16)</t>
  </si>
  <si>
    <t>SPECIALLY ABLED</t>
  </si>
  <si>
    <t>IF YES,</t>
  </si>
  <si>
    <t xml:space="preserve">Top-up is an optional facility over and above the existing Mediclaim coverage available to all employees to cover their dependents. </t>
  </si>
  <si>
    <t>The additional premium will need to be borne by the employee which will be prorated and deducted in the first month payroll</t>
  </si>
  <si>
    <t>The additional premium will need to be borne by the employee which will be prorated and deducted in the first month payroll.</t>
  </si>
  <si>
    <t>O-</t>
  </si>
  <si>
    <t>Passport - Date of Issue &gt; Date of Expiry</t>
  </si>
  <si>
    <r>
      <t>Daughter(s)</t>
    </r>
    <r>
      <rPr>
        <sz val="11"/>
        <color rgb="FFFF0000"/>
        <rFont val="Calibri"/>
        <family val="2"/>
        <scheme val="minor"/>
      </rPr>
      <t>*</t>
    </r>
  </si>
  <si>
    <t>Daughter(s)*</t>
  </si>
  <si>
    <t>Please ensure that total share of PF% and Gratuity% allocated for each is 100% .</t>
  </si>
  <si>
    <t>Intern</t>
  </si>
  <si>
    <t>CEO/MD</t>
  </si>
  <si>
    <t>CA</t>
  </si>
  <si>
    <t>ICWAI</t>
  </si>
  <si>
    <t>Others</t>
  </si>
  <si>
    <t>VIE</t>
  </si>
  <si>
    <t>AADHAR Number</t>
  </si>
  <si>
    <t>Single Parent-In-Law / Both Parents-In-Law*</t>
  </si>
  <si>
    <r>
      <t>Single Parent-In-Law / Both Parents-In-Law</t>
    </r>
    <r>
      <rPr>
        <sz val="11"/>
        <color rgb="FFFF0000"/>
        <rFont val="Calibri"/>
        <family val="2"/>
        <scheme val="minor"/>
      </rPr>
      <t>*</t>
    </r>
  </si>
  <si>
    <t>Name of Parent-In-Law</t>
  </si>
  <si>
    <t>Employee has the option to cover Parents-in-law by paying an additional premium. This is a separate policy apart from the regular employee policy.</t>
  </si>
  <si>
    <r>
      <t>Medical Insurance Coverage of Parents-In-Law [Sum Insured]</t>
    </r>
    <r>
      <rPr>
        <sz val="11"/>
        <color rgb="FFFF0000"/>
        <rFont val="Calibri"/>
        <family val="2"/>
        <scheme val="minor"/>
      </rPr>
      <t>*</t>
    </r>
  </si>
  <si>
    <t>Date of Birth* - Should be Greater than 18 Yrs</t>
  </si>
  <si>
    <t>Medical Insurance Coverage of Parents-In-Law [Sum Insured]*</t>
  </si>
  <si>
    <t>Name of Parent-In-Law 1</t>
  </si>
  <si>
    <t>Name of Parent-In-Law 2</t>
  </si>
  <si>
    <t>Not Availing</t>
  </si>
  <si>
    <t>Transgender</t>
  </si>
  <si>
    <t>Signature of Employer with Seal of Establishment</t>
  </si>
  <si>
    <t xml:space="preserve">              As the DSC of establishment are not registered with the EPFO,the member has been informed to file physical claim(Form-
              13) for transfer of funds from his previous establishment.</t>
  </si>
  <si>
    <t xml:space="preserve">              The KYC details of the above member in the UAN database have been approved with Digital Signature Certificate and 
              transfer request has been generated on portal.</t>
  </si>
  <si>
    <r>
      <t xml:space="preserve">                       •      </t>
    </r>
    <r>
      <rPr>
        <b/>
        <sz val="11"/>
        <color theme="1"/>
        <rFont val="Calibri"/>
        <family val="2"/>
        <scheme val="minor"/>
      </rPr>
      <t>Please Tick the Appropriate Option:-</t>
    </r>
  </si>
  <si>
    <t xml:space="preserve">                       •     The above PF Account number/UAN of the member as mentioned in (A) above has been tagged with his/her UAN/Previous 
                               Member ID as declared by member.</t>
  </si>
  <si>
    <t xml:space="preserve">      C.       In case the person was earlier a member of EPF Scheme,1952 and EPS,1995:</t>
  </si>
  <si>
    <t xml:space="preserve">            Have been uploaded and approved with DSC</t>
  </si>
  <si>
    <t xml:space="preserve">            Have been uploaded but not approved</t>
  </si>
  <si>
    <t xml:space="preserve">            Have not been uploaded</t>
  </si>
  <si>
    <t xml:space="preserve">          The KYC details of the above member in the UAN database</t>
  </si>
  <si>
    <r>
      <t xml:space="preserve">                      •  </t>
    </r>
    <r>
      <rPr>
        <b/>
        <sz val="11"/>
        <color theme="1"/>
        <rFont val="Calibri"/>
        <family val="2"/>
        <scheme val="minor"/>
      </rPr>
      <t>Please Tick the Appropriate Option:</t>
    </r>
  </si>
  <si>
    <r>
      <t xml:space="preserve">                    •  </t>
    </r>
    <r>
      <rPr>
        <b/>
        <sz val="11"/>
        <color theme="1"/>
        <rFont val="Calibri"/>
        <family val="2"/>
        <scheme val="minor"/>
      </rPr>
      <t>(Post allotment of UAN)</t>
    </r>
    <r>
      <rPr>
        <sz val="11"/>
        <color theme="1"/>
        <rFont val="Calibri"/>
        <family val="2"/>
        <scheme val="minor"/>
      </rPr>
      <t xml:space="preserve"> The UAN allotted for the member is …………………….</t>
    </r>
  </si>
  <si>
    <t xml:space="preserve">     B.          In case the person was earlier not a member of EPF Scheme, 1952 and EPS, 1995:</t>
  </si>
  <si>
    <t xml:space="preserve">     A.         The member Mr./Ms./Mrs.  ………………………………………………… has joined on …………………………………. and has been allotted PF Number
                   ……………………………………………………..</t>
  </si>
  <si>
    <r>
      <rPr>
        <b/>
        <u/>
        <sz val="14"/>
        <color theme="1"/>
        <rFont val="Calibri"/>
        <family val="2"/>
        <scheme val="minor"/>
      </rPr>
      <t>D</t>
    </r>
    <r>
      <rPr>
        <b/>
        <u/>
        <sz val="11"/>
        <color theme="1"/>
        <rFont val="Calibri"/>
        <family val="2"/>
        <scheme val="minor"/>
      </rPr>
      <t>ECLARATION BY PRESENT EMPLOYER</t>
    </r>
  </si>
  <si>
    <t>Signature of the Member</t>
  </si>
  <si>
    <t>Place:</t>
  </si>
  <si>
    <t>4) In Case of changes in the above details, the same will be intimated to employer at the earliest.</t>
  </si>
  <si>
    <t>3) Kindly transfer the funds and service details,if applicable,from the previous PF account as declared above to the present P.F. Account.
(The transfer would be possible only if the identified KYC detail approved by the previous employer has been verified by present employer
using his Digital Signature Certificate)</t>
  </si>
  <si>
    <t>1) Certified that the particulars are true to the best of my knowledge.</t>
  </si>
  <si>
    <r>
      <rPr>
        <b/>
        <u/>
        <sz val="15"/>
        <color theme="1"/>
        <rFont val="Calibri"/>
        <family val="2"/>
        <scheme val="minor"/>
      </rPr>
      <t>U</t>
    </r>
    <r>
      <rPr>
        <b/>
        <u/>
        <sz val="12"/>
        <color theme="1"/>
        <rFont val="Calibri"/>
        <family val="2"/>
        <scheme val="minor"/>
      </rPr>
      <t>NDERTAKING</t>
    </r>
  </si>
  <si>
    <t>c) Permanent Account Number(PAN), if available</t>
  </si>
  <si>
    <t>b) AADHAR Number</t>
  </si>
  <si>
    <t>a) Bank Account No. &amp; IFS Code</t>
  </si>
  <si>
    <r>
      <rPr>
        <b/>
        <sz val="11"/>
        <color theme="1"/>
        <rFont val="Calibri"/>
        <family val="2"/>
        <scheme val="minor"/>
      </rPr>
      <t>KYC Details</t>
    </r>
    <r>
      <rPr>
        <sz val="11"/>
        <color theme="1"/>
        <rFont val="Calibri"/>
        <family val="2"/>
        <scheme val="minor"/>
      </rPr>
      <t>: (attach self attested copies of following KYCs)</t>
    </r>
  </si>
  <si>
    <r>
      <t xml:space="preserve">d) Validity of passport [(DD/MM/YYYY) </t>
    </r>
    <r>
      <rPr>
        <b/>
        <sz val="11"/>
        <color theme="1"/>
        <rFont val="Calibri"/>
        <family val="2"/>
        <scheme val="minor"/>
      </rPr>
      <t xml:space="preserve">to </t>
    </r>
    <r>
      <rPr>
        <sz val="11"/>
        <color theme="1"/>
        <rFont val="Calibri"/>
        <family val="2"/>
        <scheme val="minor"/>
      </rPr>
      <t>(DD/MM/YYYY)]</t>
    </r>
  </si>
  <si>
    <t>c) Passport No.</t>
  </si>
  <si>
    <t>b) If yes, state country of origin (India/Name of other country)</t>
  </si>
  <si>
    <t>Yes/No</t>
  </si>
  <si>
    <t>a) International Worker:</t>
  </si>
  <si>
    <t>e) Pension Payment Order(PPO) No. (if issued)</t>
  </si>
  <si>
    <t>d) Scheme Certificate No. (if issued)</t>
  </si>
  <si>
    <t>c) Date of exit from previous employment: (DD/MM/YYYY)</t>
  </si>
  <si>
    <t>b) Previous PF Account Number:</t>
  </si>
  <si>
    <r>
      <rPr>
        <b/>
        <sz val="11"/>
        <color theme="1"/>
        <rFont val="Calibri"/>
        <family val="2"/>
        <scheme val="minor"/>
      </rPr>
      <t xml:space="preserve">Previous Employment details: [if Yes to 7 AND / OR 8 above]
</t>
    </r>
    <r>
      <rPr>
        <sz val="11"/>
        <color theme="1"/>
        <rFont val="Calibri"/>
        <family val="2"/>
        <scheme val="minor"/>
      </rPr>
      <t>a) Universal Account Number:</t>
    </r>
  </si>
  <si>
    <t>Yes / No</t>
  </si>
  <si>
    <t>Whether earlier a member of Employees' Pension Scheme, 1995</t>
  </si>
  <si>
    <t>Whether earlier a member of Employees' Provident Fund Scheme, 1952</t>
  </si>
  <si>
    <t>(a)  Email ID:
(b)  Mobile No:</t>
  </si>
  <si>
    <t>Marital Status: (Married/Unmarried/Widow/Widower/Divorcee)</t>
  </si>
  <si>
    <t>Gender: (Male/Female/Transgender)</t>
  </si>
  <si>
    <r>
      <t xml:space="preserve">Date Of Birth: </t>
    </r>
    <r>
      <rPr>
        <b/>
        <sz val="11"/>
        <color theme="1"/>
        <rFont val="Calibri"/>
        <family val="2"/>
        <scheme val="minor"/>
      </rPr>
      <t>(DD / MM / YYYY)</t>
    </r>
  </si>
  <si>
    <t>Father's Name          Spouse's Name
 (Please tick whichever is applicable)</t>
  </si>
  <si>
    <t>Name of the member</t>
  </si>
  <si>
    <t>(Declaration by a person taking up employment in any establishment on which EPF Scheme,1952 and/or EPS,1995 is applicable)</t>
  </si>
  <si>
    <t>Employees' Provident Fund Scheme, 1952 (Paragraph 34 &amp;57) &amp; 
Employees' Pension Scheme, 1995 (Paragraph 24)</t>
  </si>
  <si>
    <t xml:space="preserve">                EMPLOYEES' PROVIDENT FUND ORGANISATION</t>
  </si>
  <si>
    <r>
      <t xml:space="preserve">            (</t>
    </r>
    <r>
      <rPr>
        <i/>
        <sz val="11"/>
        <color theme="1"/>
        <rFont val="Calibri"/>
        <family val="2"/>
        <scheme val="minor"/>
      </rPr>
      <t>To be retained by the employer for future reference)</t>
    </r>
  </si>
  <si>
    <t xml:space="preserve">                                New Form No:-11-Declaration Form</t>
  </si>
  <si>
    <t>2) I authorize EPFO to use my Aadhar for the verification/authentication/eKYC purpose for the service delivery.</t>
  </si>
  <si>
    <t>Victor-2</t>
  </si>
  <si>
    <t>DLF-10</t>
  </si>
  <si>
    <t>TRIL-2</t>
  </si>
  <si>
    <r>
      <t>AADHAR Number</t>
    </r>
    <r>
      <rPr>
        <sz val="11"/>
        <color rgb="FFFF0000"/>
        <rFont val="Calibri"/>
        <family val="2"/>
        <scheme val="minor"/>
      </rPr>
      <t>*</t>
    </r>
  </si>
  <si>
    <r>
      <t>Name as per AADHAR</t>
    </r>
    <r>
      <rPr>
        <sz val="11"/>
        <color rgb="FFFF0000"/>
        <rFont val="Calibri"/>
        <family val="2"/>
        <scheme val="minor"/>
      </rPr>
      <t>*</t>
    </r>
  </si>
  <si>
    <t>Short Term Assignment</t>
  </si>
  <si>
    <t>Domicile</t>
  </si>
  <si>
    <t>Single</t>
  </si>
  <si>
    <t>Permenant</t>
  </si>
  <si>
    <t>Other</t>
  </si>
  <si>
    <t>Passport</t>
  </si>
  <si>
    <t>HDFC Bank A/c</t>
  </si>
  <si>
    <t>IFSC Code</t>
  </si>
  <si>
    <t>Branch Details, State</t>
  </si>
  <si>
    <t>Bangalore - 560066</t>
  </si>
  <si>
    <t>Gaurav</t>
  </si>
  <si>
    <t>Singh</t>
  </si>
  <si>
    <t>Siyaram Singh</t>
  </si>
  <si>
    <t>MALE</t>
  </si>
  <si>
    <t>UNMARRIED</t>
  </si>
  <si>
    <t>INDIA</t>
  </si>
  <si>
    <t>Non-Kannadiga</t>
  </si>
  <si>
    <t>Hindu</t>
  </si>
  <si>
    <t>Jatav</t>
  </si>
  <si>
    <t>No</t>
  </si>
  <si>
    <t>Flat 201 Sree Hanuma's Srivatsa Residency</t>
  </si>
  <si>
    <t>Serilinghampally</t>
  </si>
  <si>
    <t>Hyderabad</t>
  </si>
  <si>
    <t>Telangana</t>
  </si>
  <si>
    <t>gaurav.mail125@gmail.com</t>
  </si>
  <si>
    <t>GAURAV SINGH</t>
  </si>
  <si>
    <t>N4692959</t>
  </si>
  <si>
    <t>RAIPUR</t>
  </si>
  <si>
    <t>Saurabh Singh</t>
  </si>
  <si>
    <t xml:space="preserve">VAN PARIKSHETRA ADHIKARI NIVAS </t>
  </si>
  <si>
    <t>CHARAMA</t>
  </si>
  <si>
    <t>KANKER</t>
  </si>
  <si>
    <t>CHHATTISGARH</t>
  </si>
  <si>
    <t>101014131776</t>
  </si>
  <si>
    <t>833365502563</t>
  </si>
  <si>
    <t>CHHATTISGARH SWAMI VIVEKANAND TECHNICAL UNIVERSITY</t>
  </si>
  <si>
    <t>PT RAVISHANKAR SHUKLA UNIVERSITY</t>
  </si>
  <si>
    <t>CHHATTISGARH STATE BOARD</t>
  </si>
  <si>
    <t>DBS BANK HYDERABAD</t>
  </si>
  <si>
    <t>FIDELITY NATIONAL FINANCIAL BANGALORE</t>
  </si>
  <si>
    <t>SOFTWARE DEVELOPMENT ENGINEER</t>
  </si>
  <si>
    <t>ASSOCIATE QUALITY ENGINEER</t>
  </si>
  <si>
    <t>Rajkumari Singh</t>
  </si>
  <si>
    <t>FATHER</t>
  </si>
  <si>
    <t>MOTHER</t>
  </si>
  <si>
    <t>EFIPS5903D</t>
  </si>
  <si>
    <t>Own Transport</t>
  </si>
  <si>
    <t>Four Wheeler</t>
  </si>
  <si>
    <t>TS07HF3209</t>
  </si>
  <si>
    <t>GOLDEN BROWN SEDAN</t>
  </si>
  <si>
    <t>Currently in Good Health</t>
  </si>
  <si>
    <t>NA</t>
  </si>
  <si>
    <t>FDH 133 ANNPURNAPARA</t>
  </si>
  <si>
    <t>APHYD14812170011099</t>
  </si>
  <si>
    <t>KANKER - 494334</t>
  </si>
  <si>
    <t>SIYARAM SINGH</t>
  </si>
  <si>
    <t>POST GRADUATE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</si>
</sst>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 #,##0.00_);_(* \(#,##0.00\);_(* &quot;-&quot;??_);_(@_)"/>
    <numFmt numFmtId="165" formatCode="[$-409]d\-mmmm\-yyyy;@"/>
    <numFmt numFmtId="166" formatCode="**\-***-0000000\-000\-0000000"/>
    <numFmt numFmtId="167" formatCode="dd\-mmm\-yyyy"/>
    <numFmt numFmtId="168" formatCode="[$-409]d\-mmm\-yy;@"/>
    <numFmt numFmtId="169" formatCode="0.00&quot;%&quot;"/>
    <numFmt numFmtId="170" formatCode="0.0&quot;%&quot;"/>
    <numFmt numFmtId="171" formatCode="dd\-mmm\-yyyy;@"/>
    <numFmt numFmtId="172" formatCode="d\-mmm\-yyyy"/>
    <numFmt numFmtId="173" formatCode="0&quot;%&quot;"/>
    <numFmt numFmtId="174" formatCode="[$-409]d\-mmm\-yyyy;@"/>
    <numFmt numFmtId="175" formatCode="0.0%"/>
  </numFmts>
  <fonts count="101" x14ac:knownFonts="1">
    <font>
      <sz val="11"/>
      <color theme="1"/>
      <name val="Calibri"/>
      <family val="2"/>
      <scheme val="minor"/>
    </font>
    <font>
      <b/>
      <sz val="10"/>
      <color theme="1"/>
      <name val="Calibri"/>
      <family val="2"/>
    </font>
    <font>
      <u/>
      <sz val="10"/>
      <color theme="10"/>
      <name val="Calibri"/>
      <family val="2"/>
    </font>
    <font>
      <sz val="10"/>
      <name val="Calibri"/>
      <family val="2"/>
      <scheme val="minor"/>
    </font>
    <font>
      <sz val="10"/>
      <color theme="1"/>
      <name val="Calibri"/>
      <family val="2"/>
      <scheme val="minor"/>
    </font>
    <font>
      <sz val="11"/>
      <name val="Calibri"/>
      <family val="2"/>
      <scheme val="minor"/>
    </font>
    <font>
      <b/>
      <sz val="18"/>
      <color theme="1"/>
      <name val="Calibri"/>
      <family val="2"/>
    </font>
    <font>
      <b/>
      <sz val="11"/>
      <color theme="1"/>
      <name val="Calibri"/>
      <family val="2"/>
    </font>
    <font>
      <sz val="11"/>
      <color theme="1"/>
      <name val="Calibri"/>
      <family val="2"/>
    </font>
    <font>
      <b/>
      <sz val="10"/>
      <name val="Calibri"/>
      <family val="2"/>
      <scheme val="minor"/>
    </font>
    <font>
      <sz val="8"/>
      <color indexed="81"/>
      <name val="Tahoma"/>
      <family val="2"/>
    </font>
    <font>
      <sz val="11"/>
      <name val="Calibri"/>
      <family val="2"/>
    </font>
    <font>
      <u/>
      <sz val="11"/>
      <color theme="10"/>
      <name val="Calibri"/>
      <family val="2"/>
    </font>
    <font>
      <sz val="11"/>
      <color theme="1"/>
      <name val="Calibri"/>
      <family val="2"/>
      <scheme val="minor"/>
    </font>
    <font>
      <sz val="10"/>
      <color theme="1"/>
      <name val="Arial"/>
      <family val="2"/>
    </font>
    <font>
      <sz val="12"/>
      <name val="Calibri"/>
      <family val="2"/>
      <scheme val="minor"/>
    </font>
    <font>
      <sz val="10"/>
      <color theme="1"/>
      <name val="Calibri"/>
      <family val="2"/>
    </font>
    <font>
      <sz val="10"/>
      <name val="Calibri"/>
      <family val="2"/>
    </font>
    <font>
      <b/>
      <sz val="22"/>
      <color rgb="FFFF0000"/>
      <name val="Calibri"/>
      <family val="2"/>
      <scheme val="minor"/>
    </font>
    <font>
      <b/>
      <sz val="14"/>
      <name val="Calibri"/>
      <family val="2"/>
      <scheme val="minor"/>
    </font>
    <font>
      <sz val="14"/>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theme="1"/>
      <name val="Calibri"/>
      <family val="2"/>
      <scheme val="minor"/>
    </font>
    <font>
      <sz val="11"/>
      <color rgb="FFFF0000"/>
      <name val="Calibri"/>
      <family val="2"/>
      <scheme val="minor"/>
    </font>
    <font>
      <b/>
      <sz val="11"/>
      <color rgb="FFFF0000"/>
      <name val="Calibri"/>
      <family val="2"/>
      <scheme val="minor"/>
    </font>
    <font>
      <b/>
      <sz val="11"/>
      <color rgb="FFFF0000"/>
      <name val="Calibri"/>
      <family val="2"/>
    </font>
    <font>
      <sz val="20"/>
      <color rgb="FFFF0000"/>
      <name val="Calibri"/>
      <family val="2"/>
      <scheme val="minor"/>
    </font>
    <font>
      <b/>
      <sz val="10"/>
      <color rgb="FF008F00"/>
      <name val="Calibri"/>
      <family val="2"/>
      <scheme val="minor"/>
    </font>
    <font>
      <sz val="10"/>
      <color rgb="FF008F00"/>
      <name val="Calibri"/>
      <family val="2"/>
      <scheme val="minor"/>
    </font>
    <font>
      <b/>
      <sz val="11"/>
      <color theme="1"/>
      <name val="Calibri"/>
      <family val="2"/>
      <scheme val="minor"/>
    </font>
    <font>
      <b/>
      <sz val="18"/>
      <color theme="1"/>
      <name val="Calibri"/>
      <family val="2"/>
      <scheme val="minor"/>
    </font>
    <font>
      <sz val="8"/>
      <name val="Arial"/>
      <family val="2"/>
    </font>
    <font>
      <b/>
      <sz val="12"/>
      <name val="Arial"/>
      <family val="2"/>
    </font>
    <font>
      <sz val="9.5"/>
      <name val="Arial"/>
      <family val="2"/>
    </font>
    <font>
      <b/>
      <sz val="9.5"/>
      <name val="Arial"/>
      <family val="2"/>
    </font>
    <font>
      <u/>
      <sz val="10"/>
      <color indexed="12"/>
      <name val="Arial"/>
      <family val="2"/>
    </font>
    <font>
      <b/>
      <sz val="8"/>
      <name val="Arial"/>
      <family val="2"/>
    </font>
    <font>
      <sz val="9"/>
      <name val="Arial"/>
      <family val="2"/>
    </font>
    <font>
      <sz val="8"/>
      <color indexed="51"/>
      <name val="Arial"/>
      <family val="2"/>
    </font>
    <font>
      <b/>
      <sz val="10"/>
      <name val="Arial"/>
      <family val="2"/>
    </font>
    <font>
      <b/>
      <sz val="10"/>
      <color indexed="10"/>
      <name val="Arial"/>
      <family val="2"/>
    </font>
    <font>
      <sz val="10"/>
      <color indexed="10"/>
      <name val="Arial"/>
      <family val="2"/>
    </font>
    <font>
      <b/>
      <sz val="8"/>
      <color indexed="81"/>
      <name val="Tahoma"/>
      <family val="2"/>
    </font>
    <font>
      <sz val="10"/>
      <color theme="0"/>
      <name val="Arial"/>
      <family val="2"/>
    </font>
    <font>
      <b/>
      <i/>
      <sz val="11"/>
      <color theme="1"/>
      <name val="Calibri"/>
      <family val="2"/>
      <scheme val="minor"/>
    </font>
    <font>
      <b/>
      <sz val="12"/>
      <name val="Calibri"/>
      <family val="2"/>
      <scheme val="minor"/>
    </font>
    <font>
      <sz val="12"/>
      <color theme="1"/>
      <name val="Calibri"/>
      <family val="2"/>
      <scheme val="minor"/>
    </font>
    <font>
      <u/>
      <sz val="12"/>
      <color indexed="12"/>
      <name val="Calibri"/>
      <family val="2"/>
      <scheme val="minor"/>
    </font>
    <font>
      <b/>
      <sz val="12"/>
      <color theme="1"/>
      <name val="Calibri"/>
      <family val="2"/>
      <scheme val="minor"/>
    </font>
    <font>
      <b/>
      <sz val="15"/>
      <name val="Calibri"/>
      <family val="2"/>
      <scheme val="minor"/>
    </font>
    <font>
      <sz val="15"/>
      <name val="Calibri"/>
      <family val="2"/>
      <scheme val="minor"/>
    </font>
    <font>
      <u/>
      <sz val="12"/>
      <name val="Calibri"/>
      <family val="2"/>
      <scheme val="minor"/>
    </font>
    <font>
      <u/>
      <sz val="10"/>
      <color theme="1"/>
      <name val="Calibri"/>
      <family val="2"/>
    </font>
    <font>
      <u/>
      <sz val="10"/>
      <color rgb="FF0000FF"/>
      <name val="Calibri"/>
      <family val="2"/>
    </font>
    <font>
      <b/>
      <sz val="8"/>
      <color indexed="81"/>
      <name val="Calibri"/>
      <family val="2"/>
      <scheme val="minor"/>
    </font>
    <font>
      <sz val="8"/>
      <color indexed="81"/>
      <name val="Calibri"/>
      <family val="2"/>
      <scheme val="minor"/>
    </font>
    <font>
      <b/>
      <sz val="10"/>
      <color theme="1"/>
      <name val="Verdana"/>
      <family val="2"/>
    </font>
    <font>
      <sz val="10"/>
      <color theme="1"/>
      <name val="Verdana"/>
      <family val="2"/>
    </font>
    <font>
      <b/>
      <sz val="11"/>
      <name val="Calibri"/>
      <family val="2"/>
      <scheme val="minor"/>
    </font>
    <font>
      <sz val="9.5"/>
      <name val="Tahoma"/>
      <family val="2"/>
    </font>
    <font>
      <sz val="10"/>
      <name val="Tahoma"/>
      <family val="2"/>
    </font>
    <font>
      <b/>
      <sz val="10"/>
      <name val="Tahoma"/>
      <family val="2"/>
    </font>
    <font>
      <sz val="11"/>
      <color theme="1"/>
      <name val="Tahoma"/>
      <family val="2"/>
    </font>
    <font>
      <sz val="18"/>
      <name val="Tahoma"/>
      <family val="2"/>
    </font>
    <font>
      <b/>
      <sz val="20"/>
      <name val="Tahoma"/>
      <family val="2"/>
    </font>
    <font>
      <b/>
      <sz val="9.5"/>
      <name val="Tahoma"/>
      <family val="2"/>
    </font>
    <font>
      <sz val="8"/>
      <name val="Tahoma"/>
      <family val="2"/>
    </font>
    <font>
      <b/>
      <sz val="12"/>
      <name val="Tahoma"/>
      <family val="2"/>
    </font>
    <font>
      <b/>
      <sz val="14"/>
      <name val="Tahoma"/>
      <family val="2"/>
    </font>
    <font>
      <sz val="11"/>
      <name val="Tahoma"/>
      <family val="2"/>
    </font>
    <font>
      <b/>
      <sz val="11"/>
      <name val="Tahoma"/>
      <family val="2"/>
    </font>
    <font>
      <b/>
      <i/>
      <sz val="9.5"/>
      <name val="Tahoma"/>
      <family val="2"/>
    </font>
    <font>
      <sz val="9.5"/>
      <name val="Calibri"/>
      <family val="2"/>
      <scheme val="minor"/>
    </font>
    <font>
      <sz val="9.5"/>
      <color indexed="10"/>
      <name val="Tahoma"/>
      <family val="2"/>
    </font>
    <font>
      <sz val="9.5"/>
      <color theme="1"/>
      <name val="Tahoma"/>
      <family val="2"/>
    </font>
    <font>
      <b/>
      <sz val="9.5"/>
      <color theme="1"/>
      <name val="Tahoma"/>
      <family val="2"/>
    </font>
    <font>
      <b/>
      <i/>
      <sz val="9.5"/>
      <color theme="1"/>
      <name val="Tahoma"/>
      <family val="2"/>
    </font>
    <font>
      <b/>
      <u/>
      <sz val="11"/>
      <color theme="1"/>
      <name val="Calibri"/>
      <family val="2"/>
      <scheme val="minor"/>
    </font>
    <font>
      <b/>
      <u/>
      <sz val="14"/>
      <color theme="1"/>
      <name val="Calibri"/>
      <family val="2"/>
      <scheme val="minor"/>
    </font>
    <font>
      <b/>
      <u/>
      <sz val="12"/>
      <color theme="1"/>
      <name val="Calibri"/>
      <family val="2"/>
      <scheme val="minor"/>
    </font>
    <font>
      <b/>
      <u/>
      <sz val="15"/>
      <color theme="1"/>
      <name val="Calibri"/>
      <family val="2"/>
      <scheme val="minor"/>
    </font>
    <font>
      <b/>
      <sz val="12.5"/>
      <color theme="1"/>
      <name val="Calibri"/>
      <family val="2"/>
      <scheme val="minor"/>
    </font>
    <font>
      <i/>
      <sz val="11"/>
      <color theme="1"/>
      <name val="Calibri"/>
      <family val="2"/>
      <scheme val="minor"/>
    </font>
    <font>
      <sz val="8"/>
      <color rgb="FF000000"/>
      <name val="Tahoma"/>
      <family val="2"/>
    </font>
  </fonts>
  <fills count="40">
    <fill>
      <patternFill patternType="none"/>
    </fill>
    <fill>
      <patternFill patternType="gray125"/>
    </fill>
    <fill>
      <patternFill patternType="solid">
        <fgColor rgb="FFF37771"/>
        <bgColor indexed="64"/>
      </patternFill>
    </fill>
    <fill>
      <patternFill patternType="solid">
        <fgColor theme="6" tint="0.79998168889431442"/>
        <bgColor indexed="64"/>
      </patternFill>
    </fill>
    <fill>
      <patternFill patternType="solid">
        <fgColor rgb="FFE0EB8D"/>
        <bgColor indexed="64"/>
      </patternFill>
    </fill>
    <fill>
      <patternFill patternType="solid">
        <fgColor theme="9" tint="0.59999389629810485"/>
        <bgColor indexed="64"/>
      </patternFill>
    </fill>
    <fill>
      <patternFill patternType="solid">
        <fgColor indexed="9"/>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59996337778862885"/>
        <bgColor indexed="64"/>
      </patternFill>
    </fill>
    <fill>
      <patternFill patternType="solid">
        <fgColor rgb="FFFFFF00"/>
        <bgColor indexed="64"/>
      </patternFill>
    </fill>
    <fill>
      <patternFill patternType="solid">
        <fgColor theme="0"/>
        <bgColor indexed="64"/>
      </patternFill>
    </fill>
    <fill>
      <patternFill patternType="solid">
        <fgColor theme="6" tint="0.59999389629810485"/>
        <bgColor indexed="64"/>
      </patternFill>
    </fill>
    <fill>
      <patternFill patternType="solid">
        <fgColor rgb="FF92D050"/>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6" tint="0.59996337778862885"/>
        <bgColor indexed="64"/>
      </patternFill>
    </fill>
    <fill>
      <patternFill patternType="solid">
        <fgColor theme="0" tint="-0.249977111117893"/>
        <bgColor indexed="64"/>
      </patternFill>
    </fill>
  </fills>
  <borders count="108">
    <border>
      <left/>
      <right/>
      <top/>
      <bottom/>
      <diagonal/>
    </border>
    <border>
      <left style="medium">
        <color auto="1"/>
      </left>
      <right/>
      <top style="medium">
        <color auto="1"/>
      </top>
      <bottom/>
      <diagonal/>
    </border>
    <border>
      <left/>
      <right/>
      <top style="medium">
        <color indexed="64"/>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6" tint="-0.499984740745262"/>
      </left>
      <right/>
      <top style="thin">
        <color theme="6" tint="-0.499984740745262"/>
      </top>
      <bottom/>
      <diagonal/>
    </border>
    <border>
      <left/>
      <right style="thin">
        <color theme="6" tint="-0.499984740745262"/>
      </right>
      <top style="thin">
        <color theme="6" tint="-0.499984740745262"/>
      </top>
      <bottom/>
      <diagonal/>
    </border>
    <border>
      <left style="thin">
        <color theme="6" tint="-0.499984740745262"/>
      </left>
      <right/>
      <top style="thin">
        <color theme="6" tint="-0.499984740745262"/>
      </top>
      <bottom style="thin">
        <color theme="6" tint="-0.499984740745262"/>
      </bottom>
      <diagonal/>
    </border>
    <border>
      <left/>
      <right style="thin">
        <color theme="6" tint="-0.499984740745262"/>
      </right>
      <top style="thin">
        <color theme="6" tint="-0.499984740745262"/>
      </top>
      <bottom style="thin">
        <color theme="6"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6" tint="-0.499984740745262"/>
      </top>
      <bottom style="thin">
        <color theme="6" tint="-0.499984740745262"/>
      </bottom>
      <diagonal/>
    </border>
    <border>
      <left style="medium">
        <color theme="6" tint="-0.499984740745262"/>
      </left>
      <right/>
      <top style="medium">
        <color theme="6" tint="-0.499984740745262"/>
      </top>
      <bottom/>
      <diagonal/>
    </border>
    <border>
      <left/>
      <right/>
      <top style="medium">
        <color theme="6" tint="-0.499984740745262"/>
      </top>
      <bottom/>
      <diagonal/>
    </border>
    <border>
      <left/>
      <right style="medium">
        <color theme="6" tint="-0.499984740745262"/>
      </right>
      <top style="medium">
        <color theme="6" tint="-0.499984740745262"/>
      </top>
      <bottom/>
      <diagonal/>
    </border>
    <border>
      <left style="medium">
        <color theme="6" tint="-0.499984740745262"/>
      </left>
      <right/>
      <top/>
      <bottom/>
      <diagonal/>
    </border>
    <border>
      <left/>
      <right style="medium">
        <color theme="6" tint="-0.499984740745262"/>
      </right>
      <top/>
      <bottom/>
      <diagonal/>
    </border>
    <border>
      <left style="medium">
        <color theme="6" tint="-0.499984740745262"/>
      </left>
      <right/>
      <top/>
      <bottom style="medium">
        <color theme="6" tint="-0.499984740745262"/>
      </bottom>
      <diagonal/>
    </border>
    <border>
      <left/>
      <right/>
      <top/>
      <bottom style="medium">
        <color theme="6" tint="-0.499984740745262"/>
      </bottom>
      <diagonal/>
    </border>
    <border>
      <left/>
      <right style="medium">
        <color theme="6" tint="-0.499984740745262"/>
      </right>
      <top/>
      <bottom style="medium">
        <color theme="6"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theme="6" tint="-0.499984740745262"/>
      </top>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style="thin">
        <color theme="0" tint="-0.499984740745262"/>
      </left>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22"/>
      </bottom>
      <diagonal/>
    </border>
    <border>
      <left style="thin">
        <color indexed="64"/>
      </left>
      <right style="thin">
        <color indexed="64"/>
      </right>
      <top style="thin">
        <color indexed="22"/>
      </top>
      <bottom style="thin">
        <color indexed="22"/>
      </bottom>
      <diagonal/>
    </border>
    <border>
      <left style="thin">
        <color indexed="64"/>
      </left>
      <right style="thin">
        <color indexed="64"/>
      </right>
      <top style="thin">
        <color indexed="22"/>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22"/>
      </top>
      <bottom style="thin">
        <color indexed="22"/>
      </bottom>
      <diagonal/>
    </border>
    <border>
      <left/>
      <right style="thin">
        <color indexed="64"/>
      </right>
      <top style="thin">
        <color indexed="22"/>
      </top>
      <bottom style="thin">
        <color indexed="22"/>
      </bottom>
      <diagonal/>
    </border>
    <border>
      <left style="thin">
        <color indexed="64"/>
      </left>
      <right/>
      <top style="thin">
        <color indexed="22"/>
      </top>
      <bottom style="thin">
        <color indexed="64"/>
      </bottom>
      <diagonal/>
    </border>
    <border>
      <left style="thin">
        <color indexed="64"/>
      </left>
      <right/>
      <top style="thin">
        <color indexed="22"/>
      </top>
      <bottom/>
      <diagonal/>
    </border>
    <border>
      <left style="thin">
        <color indexed="64"/>
      </left>
      <right style="thin">
        <color indexed="64"/>
      </right>
      <top style="thin">
        <color indexed="22"/>
      </top>
      <bottom/>
      <diagonal/>
    </border>
    <border>
      <left/>
      <right/>
      <top style="thin">
        <color indexed="22"/>
      </top>
      <bottom style="thin">
        <color indexed="22"/>
      </bottom>
      <diagonal/>
    </border>
    <border>
      <left/>
      <right/>
      <top style="thin">
        <color indexed="22"/>
      </top>
      <bottom style="thin">
        <color indexed="64"/>
      </bottom>
      <diagonal/>
    </border>
    <border>
      <left/>
      <right style="thin">
        <color indexed="64"/>
      </right>
      <top style="thin">
        <color indexed="22"/>
      </top>
      <bottom style="thin">
        <color indexed="64"/>
      </bottom>
      <diagonal/>
    </border>
    <border>
      <left/>
      <right style="thin">
        <color indexed="64"/>
      </right>
      <top style="thin">
        <color indexed="64"/>
      </top>
      <bottom style="thin">
        <color indexed="22"/>
      </bottom>
      <diagonal/>
    </border>
    <border>
      <left style="thin">
        <color indexed="64"/>
      </left>
      <right/>
      <top style="thin">
        <color indexed="64"/>
      </top>
      <bottom style="thin">
        <color indexed="22"/>
      </bottom>
      <diagonal/>
    </border>
    <border>
      <left/>
      <right/>
      <top/>
      <bottom style="hair">
        <color indexed="64"/>
      </bottom>
      <diagonal/>
    </border>
    <border>
      <left style="thin">
        <color indexed="64"/>
      </left>
      <right/>
      <top style="thin">
        <color theme="0" tint="-0.34998626667073579"/>
      </top>
      <bottom style="thin">
        <color theme="0" tint="-0.34998626667073579"/>
      </bottom>
      <diagonal/>
    </border>
    <border>
      <left style="thin">
        <color indexed="64"/>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right style="thin">
        <color indexed="64"/>
      </right>
      <top style="thin">
        <color theme="0" tint="-0.34998626667073579"/>
      </top>
      <bottom style="thin">
        <color theme="0" tint="-0.34998626667073579"/>
      </bottom>
      <diagonal/>
    </border>
    <border>
      <left style="thin">
        <color indexed="64"/>
      </left>
      <right/>
      <top style="thin">
        <color indexed="64"/>
      </top>
      <bottom style="thin">
        <color theme="0" tint="-0.34998626667073579"/>
      </bottom>
      <diagonal/>
    </border>
    <border>
      <left/>
      <right style="thin">
        <color indexed="64"/>
      </right>
      <top style="thin">
        <color indexed="64"/>
      </top>
      <bottom style="thin">
        <color theme="0" tint="-0.34998626667073579"/>
      </bottom>
      <diagonal/>
    </border>
    <border>
      <left style="thin">
        <color indexed="64"/>
      </left>
      <right/>
      <top/>
      <bottom style="thin">
        <color indexed="22"/>
      </bottom>
      <diagonal/>
    </border>
    <border>
      <left/>
      <right style="thin">
        <color indexed="64"/>
      </right>
      <top/>
      <bottom style="thin">
        <color indexed="22"/>
      </bottom>
      <diagonal/>
    </border>
    <border>
      <left style="thin">
        <color indexed="64"/>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right/>
      <top style="thin">
        <color theme="0" tint="-0.499984740745262"/>
      </top>
      <bottom style="thin">
        <color theme="6" tint="-0.499984740745262"/>
      </bottom>
      <diagonal/>
    </border>
    <border>
      <left style="thin">
        <color theme="5" tint="-0.499984740745262"/>
      </left>
      <right style="thin">
        <color theme="5" tint="-0.499984740745262"/>
      </right>
      <top style="thin">
        <color theme="5" tint="-0.499984740745262"/>
      </top>
      <bottom style="thin">
        <color theme="5" tint="-0.499984740745262"/>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top/>
      <bottom style="thin">
        <color theme="0" tint="-0.499984740745262"/>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thin">
        <color theme="6" tint="-0.499984740745262"/>
      </left>
      <right/>
      <top/>
      <bottom style="thin">
        <color theme="6" tint="-0.499984740745262"/>
      </bottom>
      <diagonal/>
    </border>
    <border>
      <left/>
      <right/>
      <top/>
      <bottom style="thin">
        <color theme="6" tint="-0.499984740745262"/>
      </bottom>
      <diagonal/>
    </border>
    <border>
      <left/>
      <right style="thin">
        <color theme="6" tint="-0.499984740745262"/>
      </right>
      <top/>
      <bottom style="thin">
        <color theme="6" tint="-0.499984740745262"/>
      </bottom>
      <diagonal/>
    </border>
  </borders>
  <cellStyleXfs count="55">
    <xf numFmtId="0" fontId="0" fillId="0" borderId="0"/>
    <xf numFmtId="0" fontId="2" fillId="0" borderId="0" applyNumberFormat="0" applyFill="0" applyBorder="0" applyAlignment="0" applyProtection="0">
      <alignment vertical="top"/>
      <protection locked="0"/>
    </xf>
    <xf numFmtId="0" fontId="14" fillId="0" borderId="0"/>
    <xf numFmtId="0" fontId="16" fillId="0" borderId="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0" borderId="0" applyNumberFormat="0" applyBorder="0" applyAlignment="0" applyProtection="0"/>
    <xf numFmtId="0" fontId="21" fillId="13"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4" borderId="0" applyNumberFormat="0" applyBorder="0" applyAlignment="0" applyProtection="0"/>
    <xf numFmtId="0" fontId="23" fillId="8" borderId="0" applyNumberFormat="0" applyBorder="0" applyAlignment="0" applyProtection="0"/>
    <xf numFmtId="0" fontId="24" fillId="25" borderId="30" applyNumberFormat="0" applyAlignment="0" applyProtection="0"/>
    <xf numFmtId="0" fontId="25" fillId="26" borderId="31" applyNumberFormat="0" applyAlignment="0" applyProtection="0"/>
    <xf numFmtId="164" fontId="26" fillId="0" borderId="0" applyFont="0" applyFill="0" applyBorder="0" applyAlignment="0" applyProtection="0"/>
    <xf numFmtId="0" fontId="27" fillId="0" borderId="0" applyNumberFormat="0" applyFill="0" applyBorder="0" applyAlignment="0" applyProtection="0"/>
    <xf numFmtId="0" fontId="28" fillId="9" borderId="0" applyNumberFormat="0" applyBorder="0" applyAlignment="0" applyProtection="0"/>
    <xf numFmtId="0" fontId="29" fillId="0" borderId="32" applyNumberFormat="0" applyFill="0" applyAlignment="0" applyProtection="0"/>
    <xf numFmtId="0" fontId="30" fillId="0" borderId="33" applyNumberFormat="0" applyFill="0" applyAlignment="0" applyProtection="0"/>
    <xf numFmtId="0" fontId="31" fillId="0" borderId="34" applyNumberFormat="0" applyFill="0" applyAlignment="0" applyProtection="0"/>
    <xf numFmtId="0" fontId="31" fillId="0" borderId="0" applyNumberFormat="0" applyFill="0" applyBorder="0" applyAlignment="0" applyProtection="0"/>
    <xf numFmtId="0" fontId="32" fillId="12" borderId="30" applyNumberFormat="0" applyAlignment="0" applyProtection="0"/>
    <xf numFmtId="0" fontId="33" fillId="0" borderId="35" applyNumberFormat="0" applyFill="0" applyAlignment="0" applyProtection="0"/>
    <xf numFmtId="0" fontId="34" fillId="27" borderId="0" applyNumberFormat="0" applyBorder="0" applyAlignment="0" applyProtection="0"/>
    <xf numFmtId="0" fontId="13" fillId="0" borderId="0"/>
    <xf numFmtId="0" fontId="26" fillId="0" borderId="0"/>
    <xf numFmtId="0" fontId="26" fillId="0" borderId="0"/>
    <xf numFmtId="0" fontId="13" fillId="0" borderId="0"/>
    <xf numFmtId="0" fontId="26" fillId="0" borderId="0"/>
    <xf numFmtId="0" fontId="26" fillId="0" borderId="0"/>
    <xf numFmtId="0" fontId="26" fillId="28" borderId="36" applyNumberFormat="0" applyFont="0" applyAlignment="0" applyProtection="0"/>
    <xf numFmtId="0" fontId="35" fillId="25" borderId="37" applyNumberFormat="0" applyAlignment="0" applyProtection="0"/>
    <xf numFmtId="0" fontId="36" fillId="0" borderId="0" applyNumberFormat="0" applyFill="0" applyBorder="0" applyAlignment="0" applyProtection="0"/>
    <xf numFmtId="0" fontId="37" fillId="0" borderId="38" applyNumberFormat="0" applyFill="0" applyAlignment="0" applyProtection="0"/>
    <xf numFmtId="0" fontId="38" fillId="0" borderId="0" applyNumberFormat="0" applyFill="0" applyBorder="0" applyAlignment="0" applyProtection="0"/>
    <xf numFmtId="0" fontId="52" fillId="0" borderId="0" applyNumberFormat="0" applyFill="0" applyBorder="0" applyAlignment="0" applyProtection="0">
      <alignment vertical="top"/>
      <protection locked="0"/>
    </xf>
    <xf numFmtId="0" fontId="13" fillId="0" borderId="0"/>
    <xf numFmtId="0" fontId="26" fillId="0" borderId="0"/>
  </cellStyleXfs>
  <cellXfs count="1008">
    <xf numFmtId="0" fontId="0" fillId="0" borderId="0" xfId="0"/>
    <xf numFmtId="0" fontId="0" fillId="0" borderId="2" xfId="0" applyBorder="1" applyAlignment="1" applyProtection="1">
      <alignment vertical="center"/>
      <protection hidden="1"/>
    </xf>
    <xf numFmtId="0" fontId="0" fillId="0" borderId="2" xfId="0" applyBorder="1" applyAlignment="1" applyProtection="1">
      <alignment horizontal="center" vertical="center"/>
      <protection hidden="1"/>
    </xf>
    <xf numFmtId="0" fontId="0" fillId="0" borderId="3" xfId="0" applyBorder="1" applyAlignment="1" applyProtection="1">
      <alignment vertical="center"/>
      <protection hidden="1"/>
    </xf>
    <xf numFmtId="0" fontId="0" fillId="0" borderId="0" xfId="0" applyBorder="1" applyAlignment="1" applyProtection="1">
      <alignment vertical="center"/>
      <protection hidden="1"/>
    </xf>
    <xf numFmtId="0" fontId="0" fillId="0" borderId="0" xfId="0" applyAlignment="1" applyProtection="1">
      <alignment vertical="center"/>
      <protection hidden="1"/>
    </xf>
    <xf numFmtId="0" fontId="0" fillId="0" borderId="0" xfId="0" applyFont="1" applyBorder="1" applyAlignment="1" applyProtection="1">
      <alignment vertical="center"/>
      <protection hidden="1"/>
    </xf>
    <xf numFmtId="0" fontId="0" fillId="0" borderId="4" xfId="0" applyBorder="1" applyAlignment="1" applyProtection="1">
      <alignment vertical="center"/>
      <protection hidden="1"/>
    </xf>
    <xf numFmtId="0" fontId="0" fillId="0" borderId="0" xfId="0" applyBorder="1" applyAlignment="1" applyProtection="1">
      <alignment horizontal="center" vertical="center"/>
      <protection hidden="1"/>
    </xf>
    <xf numFmtId="0" fontId="0" fillId="0" borderId="0" xfId="0" applyFill="1" applyBorder="1" applyAlignment="1" applyProtection="1">
      <alignment horizontal="center" vertical="center"/>
      <protection hidden="1"/>
    </xf>
    <xf numFmtId="0" fontId="0" fillId="0" borderId="5" xfId="0" applyBorder="1" applyAlignment="1" applyProtection="1">
      <alignment vertical="center"/>
      <protection hidden="1"/>
    </xf>
    <xf numFmtId="0" fontId="0" fillId="0" borderId="0" xfId="0" applyBorder="1" applyAlignment="1" applyProtection="1">
      <alignment horizontal="left" vertical="center" indent="1"/>
      <protection hidden="1"/>
    </xf>
    <xf numFmtId="0" fontId="0" fillId="0" borderId="11" xfId="0" applyBorder="1" applyAlignment="1" applyProtection="1">
      <alignment vertical="center"/>
      <protection hidden="1"/>
    </xf>
    <xf numFmtId="0" fontId="0" fillId="3" borderId="11" xfId="0" applyFont="1" applyFill="1" applyBorder="1" applyAlignment="1" applyProtection="1">
      <alignment horizontal="center" vertical="center"/>
      <protection hidden="1"/>
    </xf>
    <xf numFmtId="0" fontId="0" fillId="5" borderId="11" xfId="0" applyFont="1" applyFill="1" applyBorder="1" applyAlignment="1" applyProtection="1">
      <alignment horizontal="center" vertical="center"/>
      <protection hidden="1"/>
    </xf>
    <xf numFmtId="0" fontId="0" fillId="4" borderId="11" xfId="0" applyFill="1" applyBorder="1" applyAlignment="1" applyProtection="1">
      <alignment horizontal="left"/>
      <protection locked="0"/>
    </xf>
    <xf numFmtId="0" fontId="0" fillId="0" borderId="6" xfId="0" applyBorder="1" applyAlignment="1" applyProtection="1">
      <alignment vertical="center"/>
      <protection hidden="1"/>
    </xf>
    <xf numFmtId="0" fontId="0" fillId="0" borderId="7" xfId="0" applyBorder="1" applyAlignment="1" applyProtection="1">
      <alignment vertical="center"/>
      <protection hidden="1"/>
    </xf>
    <xf numFmtId="0" fontId="0" fillId="0" borderId="7" xfId="0" applyBorder="1" applyAlignment="1" applyProtection="1">
      <alignment horizontal="center" vertical="center"/>
      <protection hidden="1"/>
    </xf>
    <xf numFmtId="0" fontId="0" fillId="0" borderId="8" xfId="0" applyBorder="1" applyAlignment="1" applyProtection="1">
      <alignment vertical="center"/>
      <protection hidden="1"/>
    </xf>
    <xf numFmtId="0" fontId="1" fillId="2" borderId="16" xfId="0" applyFont="1" applyFill="1" applyBorder="1"/>
    <xf numFmtId="0" fontId="1" fillId="2" borderId="17" xfId="0" applyFont="1" applyFill="1" applyBorder="1"/>
    <xf numFmtId="0" fontId="1" fillId="2" borderId="18" xfId="0" applyFont="1" applyFill="1" applyBorder="1"/>
    <xf numFmtId="0" fontId="1" fillId="2" borderId="19" xfId="0" applyFont="1" applyFill="1" applyBorder="1"/>
    <xf numFmtId="0" fontId="5" fillId="0" borderId="9" xfId="0" applyFont="1" applyFill="1" applyBorder="1" applyAlignment="1" applyProtection="1">
      <alignment horizontal="left" vertical="center"/>
      <protection hidden="1"/>
    </xf>
    <xf numFmtId="0" fontId="7" fillId="2" borderId="9" xfId="0" applyFont="1" applyFill="1" applyBorder="1"/>
    <xf numFmtId="0" fontId="0" fillId="0" borderId="0" xfId="0" applyBorder="1"/>
    <xf numFmtId="0" fontId="9" fillId="0" borderId="20" xfId="0" applyFont="1" applyBorder="1" applyProtection="1"/>
    <xf numFmtId="0" fontId="9" fillId="0" borderId="20" xfId="0" applyFont="1" applyFill="1" applyBorder="1" applyProtection="1"/>
    <xf numFmtId="0" fontId="0" fillId="0" borderId="0" xfId="0" applyFont="1"/>
    <xf numFmtId="0" fontId="3" fillId="6" borderId="20" xfId="0" applyFont="1" applyFill="1" applyBorder="1" applyProtection="1"/>
    <xf numFmtId="0" fontId="3" fillId="0" borderId="20" xfId="0" applyFont="1" applyBorder="1" applyProtection="1"/>
    <xf numFmtId="0" fontId="4" fillId="0" borderId="0" xfId="0" applyFont="1"/>
    <xf numFmtId="0" fontId="4" fillId="6" borderId="20" xfId="0" applyFont="1" applyFill="1" applyBorder="1" applyProtection="1"/>
    <xf numFmtId="0" fontId="3" fillId="0" borderId="20" xfId="0" applyFont="1" applyFill="1" applyBorder="1" applyAlignment="1" applyProtection="1">
      <alignment horizontal="left"/>
    </xf>
    <xf numFmtId="0" fontId="4" fillId="0" borderId="20" xfId="0" applyFont="1" applyBorder="1" applyProtection="1"/>
    <xf numFmtId="0" fontId="4" fillId="0" borderId="20" xfId="0" applyFont="1" applyBorder="1" applyAlignment="1" applyProtection="1">
      <alignment vertical="center"/>
    </xf>
    <xf numFmtId="0" fontId="0" fillId="0" borderId="0" xfId="0" applyAlignment="1">
      <alignment horizontal="center"/>
    </xf>
    <xf numFmtId="0" fontId="7" fillId="2" borderId="13" xfId="0" applyFont="1" applyFill="1" applyBorder="1"/>
    <xf numFmtId="0" fontId="7" fillId="2" borderId="11" xfId="0" applyFont="1" applyFill="1" applyBorder="1" applyAlignment="1">
      <alignment horizontal="center"/>
    </xf>
    <xf numFmtId="0" fontId="7" fillId="2" borderId="15" xfId="0" applyFont="1" applyFill="1" applyBorder="1"/>
    <xf numFmtId="0" fontId="0" fillId="0" borderId="4" xfId="0" applyFont="1" applyBorder="1" applyAlignment="1" applyProtection="1">
      <alignment vertical="center"/>
      <protection hidden="1"/>
    </xf>
    <xf numFmtId="0" fontId="7" fillId="2" borderId="10" xfId="0" applyFont="1" applyFill="1" applyBorder="1" applyAlignment="1">
      <alignment horizontal="center"/>
    </xf>
    <xf numFmtId="0" fontId="7" fillId="2" borderId="10" xfId="0" applyFont="1" applyFill="1" applyBorder="1"/>
    <xf numFmtId="0" fontId="0" fillId="0" borderId="12" xfId="0" applyFont="1" applyBorder="1" applyAlignment="1" applyProtection="1">
      <alignment horizontal="center" vertical="center"/>
      <protection hidden="1"/>
    </xf>
    <xf numFmtId="0" fontId="0" fillId="0" borderId="5" xfId="0" applyFont="1" applyBorder="1" applyAlignment="1" applyProtection="1">
      <alignment vertical="center"/>
      <protection hidden="1"/>
    </xf>
    <xf numFmtId="0" fontId="0" fillId="0" borderId="0" xfId="0" applyFont="1" applyBorder="1" applyAlignment="1" applyProtection="1">
      <alignment horizontal="center" vertical="center"/>
      <protection hidden="1"/>
    </xf>
    <xf numFmtId="0" fontId="0" fillId="0" borderId="0" xfId="0" applyFont="1" applyFill="1" applyBorder="1" applyAlignment="1" applyProtection="1">
      <alignment horizontal="center" vertical="center"/>
      <protection hidden="1"/>
    </xf>
    <xf numFmtId="0" fontId="0" fillId="0" borderId="11" xfId="0" applyFont="1" applyFill="1" applyBorder="1" applyAlignment="1" applyProtection="1">
      <alignment horizontal="center" vertical="center"/>
      <protection hidden="1"/>
    </xf>
    <xf numFmtId="0" fontId="0" fillId="0" borderId="0" xfId="0" applyFont="1" applyAlignment="1">
      <alignment horizontal="center"/>
    </xf>
    <xf numFmtId="0" fontId="0" fillId="0" borderId="11" xfId="0" applyFont="1" applyBorder="1" applyAlignment="1" applyProtection="1">
      <alignment vertical="center"/>
      <protection hidden="1"/>
    </xf>
    <xf numFmtId="0" fontId="0" fillId="0" borderId="11" xfId="0" applyFont="1" applyBorder="1" applyAlignment="1" applyProtection="1">
      <alignment horizontal="center" vertical="center"/>
      <protection hidden="1"/>
    </xf>
    <xf numFmtId="0" fontId="0" fillId="4" borderId="11" xfId="0" applyFont="1" applyFill="1" applyBorder="1" applyAlignment="1">
      <alignment horizontal="center"/>
    </xf>
    <xf numFmtId="0" fontId="7" fillId="2" borderId="14" xfId="0" applyFont="1" applyFill="1" applyBorder="1" applyAlignment="1">
      <alignment horizontal="center"/>
    </xf>
    <xf numFmtId="0" fontId="0" fillId="0" borderId="0" xfId="0" applyFont="1" applyBorder="1" applyAlignment="1" applyProtection="1">
      <alignment horizontal="left" vertical="center" indent="1"/>
      <protection hidden="1"/>
    </xf>
    <xf numFmtId="0" fontId="7" fillId="2" borderId="16" xfId="0" applyFont="1" applyFill="1" applyBorder="1"/>
    <xf numFmtId="0" fontId="7" fillId="2" borderId="14" xfId="0" applyFont="1" applyFill="1" applyBorder="1"/>
    <xf numFmtId="0" fontId="7" fillId="2" borderId="11" xfId="0" applyFont="1" applyFill="1" applyBorder="1"/>
    <xf numFmtId="10" fontId="0" fillId="4" borderId="11" xfId="0" applyNumberFormat="1" applyFill="1" applyBorder="1" applyAlignment="1" applyProtection="1">
      <alignment horizontal="left"/>
      <protection locked="0"/>
    </xf>
    <xf numFmtId="0" fontId="0" fillId="0" borderId="1" xfId="0" applyFont="1" applyBorder="1" applyAlignment="1" applyProtection="1">
      <alignment vertical="center"/>
      <protection hidden="1"/>
    </xf>
    <xf numFmtId="0" fontId="0" fillId="0" borderId="3" xfId="0" applyFont="1" applyBorder="1" applyAlignment="1" applyProtection="1">
      <alignment vertical="center"/>
      <protection hidden="1"/>
    </xf>
    <xf numFmtId="0" fontId="4" fillId="0" borderId="20" xfId="0" applyFont="1" applyBorder="1" applyProtection="1">
      <protection locked="0"/>
    </xf>
    <xf numFmtId="0" fontId="4" fillId="0" borderId="20" xfId="0" applyFont="1" applyBorder="1" applyAlignment="1" applyProtection="1">
      <alignment vertical="center"/>
      <protection locked="0"/>
    </xf>
    <xf numFmtId="0" fontId="4" fillId="0" borderId="20" xfId="0" applyFont="1" applyBorder="1"/>
    <xf numFmtId="0" fontId="1" fillId="2" borderId="21" xfId="0" applyFont="1" applyFill="1" applyBorder="1"/>
    <xf numFmtId="165" fontId="0" fillId="4" borderId="9" xfId="0" applyNumberFormat="1" applyFont="1" applyFill="1" applyBorder="1" applyAlignment="1" applyProtection="1">
      <alignment horizontal="center"/>
      <protection locked="0"/>
    </xf>
    <xf numFmtId="0" fontId="0" fillId="4" borderId="11" xfId="0" applyFill="1" applyBorder="1" applyAlignment="1" applyProtection="1">
      <alignment horizontal="center"/>
      <protection locked="0"/>
    </xf>
    <xf numFmtId="10" fontId="0" fillId="4" borderId="11" xfId="0" applyNumberFormat="1" applyFill="1" applyBorder="1" applyAlignment="1" applyProtection="1">
      <alignment horizontal="center"/>
      <protection locked="0"/>
    </xf>
    <xf numFmtId="0" fontId="7" fillId="2" borderId="21" xfId="0" applyFont="1" applyFill="1" applyBorder="1"/>
    <xf numFmtId="0" fontId="0" fillId="0" borderId="4" xfId="0" applyBorder="1"/>
    <xf numFmtId="0" fontId="0" fillId="0" borderId="0" xfId="0" applyBorder="1" applyAlignment="1">
      <alignment horizontal="center"/>
    </xf>
    <xf numFmtId="0" fontId="0" fillId="0" borderId="7" xfId="0" applyBorder="1"/>
    <xf numFmtId="0" fontId="0" fillId="0" borderId="7" xfId="0" applyBorder="1" applyAlignment="1">
      <alignment horizontal="center"/>
    </xf>
    <xf numFmtId="0" fontId="0" fillId="0" borderId="8" xfId="0" applyFont="1" applyBorder="1" applyAlignment="1" applyProtection="1">
      <alignment vertical="center"/>
      <protection hidden="1"/>
    </xf>
    <xf numFmtId="0" fontId="0" fillId="5" borderId="11" xfId="0" applyFill="1" applyBorder="1" applyAlignment="1" applyProtection="1">
      <alignment horizontal="left"/>
      <protection locked="0"/>
    </xf>
    <xf numFmtId="0" fontId="15" fillId="0" borderId="0" xfId="2" applyFont="1"/>
    <xf numFmtId="0" fontId="17" fillId="0" borderId="0" xfId="3" applyFont="1"/>
    <xf numFmtId="0" fontId="15" fillId="0" borderId="22" xfId="2" applyFont="1" applyBorder="1"/>
    <xf numFmtId="0" fontId="15" fillId="0" borderId="23" xfId="2" applyFont="1" applyBorder="1"/>
    <xf numFmtId="0" fontId="15" fillId="0" borderId="24" xfId="2" applyFont="1" applyBorder="1"/>
    <xf numFmtId="0" fontId="15" fillId="0" borderId="25" xfId="2" applyFont="1" applyBorder="1"/>
    <xf numFmtId="0" fontId="15" fillId="0" borderId="0" xfId="2" applyFont="1" applyBorder="1"/>
    <xf numFmtId="0" fontId="18" fillId="0" borderId="0" xfId="2" applyFont="1" applyBorder="1"/>
    <xf numFmtId="0" fontId="15" fillId="0" borderId="26" xfId="2" applyFont="1" applyBorder="1"/>
    <xf numFmtId="0" fontId="15" fillId="0" borderId="27" xfId="2" applyFont="1" applyBorder="1"/>
    <xf numFmtId="0" fontId="15" fillId="0" borderId="28" xfId="2" applyFont="1" applyBorder="1"/>
    <xf numFmtId="0" fontId="15" fillId="0" borderId="29" xfId="2" applyFont="1" applyBorder="1"/>
    <xf numFmtId="0" fontId="19" fillId="0" borderId="0" xfId="2" applyFont="1" applyAlignment="1">
      <alignment horizontal="left" indent="2"/>
    </xf>
    <xf numFmtId="0" fontId="20" fillId="0" borderId="0" xfId="2" applyFont="1" applyBorder="1"/>
    <xf numFmtId="0" fontId="20" fillId="0" borderId="0" xfId="2" applyFont="1"/>
    <xf numFmtId="0" fontId="8" fillId="5" borderId="9" xfId="1" applyFont="1" applyFill="1" applyBorder="1" applyAlignment="1" applyProtection="1">
      <alignment horizontal="center"/>
      <protection locked="0"/>
    </xf>
    <xf numFmtId="0" fontId="39" fillId="0" borderId="20" xfId="0" applyFont="1" applyBorder="1" applyProtection="1">
      <protection locked="0"/>
    </xf>
    <xf numFmtId="0" fontId="8" fillId="5" borderId="11" xfId="1" applyFont="1" applyFill="1" applyBorder="1" applyAlignment="1" applyProtection="1">
      <alignment horizontal="center"/>
      <protection locked="0"/>
    </xf>
    <xf numFmtId="0" fontId="0" fillId="29" borderId="10" xfId="0" applyFont="1" applyFill="1" applyBorder="1"/>
    <xf numFmtId="0" fontId="0" fillId="0" borderId="10" xfId="0" applyBorder="1"/>
    <xf numFmtId="0" fontId="0" fillId="0" borderId="9" xfId="0" applyBorder="1" applyAlignment="1" applyProtection="1">
      <alignment vertical="center"/>
      <protection hidden="1"/>
    </xf>
    <xf numFmtId="0" fontId="0" fillId="0" borderId="12" xfId="0" applyFont="1" applyBorder="1" applyAlignment="1" applyProtection="1">
      <alignment vertical="center"/>
      <protection hidden="1"/>
    </xf>
    <xf numFmtId="0" fontId="0" fillId="0" borderId="11" xfId="0" applyBorder="1" applyAlignment="1" applyProtection="1">
      <alignment horizontal="center" vertical="center"/>
      <protection hidden="1"/>
    </xf>
    <xf numFmtId="0" fontId="0" fillId="0" borderId="9" xfId="0" applyFill="1" applyBorder="1" applyAlignment="1" applyProtection="1">
      <alignment horizontal="left" vertical="center"/>
      <protection hidden="1"/>
    </xf>
    <xf numFmtId="0" fontId="0" fillId="0" borderId="11" xfId="0" applyBorder="1" applyAlignment="1" applyProtection="1">
      <alignment horizontal="left" vertical="center" indent="2"/>
      <protection hidden="1"/>
    </xf>
    <xf numFmtId="0" fontId="41" fillId="3" borderId="11" xfId="0" applyFont="1" applyFill="1" applyBorder="1" applyAlignment="1" applyProtection="1">
      <alignment horizontal="center" vertical="center"/>
      <protection hidden="1"/>
    </xf>
    <xf numFmtId="0" fontId="39" fillId="0" borderId="0" xfId="0" applyFont="1" applyAlignment="1" applyProtection="1">
      <alignment horizontal="center" vertical="center"/>
      <protection hidden="1"/>
    </xf>
    <xf numFmtId="0" fontId="39" fillId="0" borderId="0" xfId="0" applyFont="1" applyAlignment="1" applyProtection="1">
      <alignment vertical="center"/>
      <protection hidden="1"/>
    </xf>
    <xf numFmtId="0" fontId="4" fillId="0" borderId="0" xfId="0" applyFont="1" applyAlignment="1" applyProtection="1">
      <alignment vertical="center"/>
      <protection hidden="1"/>
    </xf>
    <xf numFmtId="0" fontId="4" fillId="0" borderId="0" xfId="0" applyFont="1" applyAlignment="1" applyProtection="1">
      <alignment horizontal="center" vertical="center"/>
      <protection hidden="1"/>
    </xf>
    <xf numFmtId="0" fontId="4" fillId="0" borderId="0" xfId="0" applyFont="1" applyAlignment="1">
      <alignment horizontal="center"/>
    </xf>
    <xf numFmtId="0" fontId="7" fillId="2" borderId="11" xfId="0" applyFont="1" applyFill="1" applyBorder="1" applyProtection="1">
      <protection hidden="1"/>
    </xf>
    <xf numFmtId="0" fontId="0" fillId="0" borderId="11" xfId="0" applyBorder="1" applyProtection="1">
      <protection hidden="1"/>
    </xf>
    <xf numFmtId="0" fontId="0" fillId="0" borderId="0" xfId="0" applyAlignment="1" applyProtection="1">
      <alignment horizontal="center" vertical="center"/>
      <protection hidden="1"/>
    </xf>
    <xf numFmtId="0" fontId="7" fillId="2" borderId="39" xfId="0" applyFont="1" applyFill="1" applyBorder="1"/>
    <xf numFmtId="0" fontId="2" fillId="4" borderId="11" xfId="1" applyFill="1" applyBorder="1" applyAlignment="1" applyProtection="1">
      <alignment horizontal="left"/>
      <protection locked="0"/>
    </xf>
    <xf numFmtId="0" fontId="0" fillId="0" borderId="11" xfId="0" applyBorder="1"/>
    <xf numFmtId="0" fontId="0" fillId="4" borderId="11" xfId="0" applyFont="1" applyFill="1" applyBorder="1" applyAlignment="1" applyProtection="1">
      <alignment horizontal="left" indent="1"/>
      <protection locked="0"/>
    </xf>
    <xf numFmtId="0" fontId="0" fillId="0" borderId="11" xfId="0" applyBorder="1" applyAlignment="1" applyProtection="1">
      <alignment horizontal="left" vertical="center" indent="1"/>
      <protection hidden="1"/>
    </xf>
    <xf numFmtId="0" fontId="0" fillId="0" borderId="5" xfId="0" applyFont="1" applyFill="1" applyBorder="1" applyAlignment="1" applyProtection="1">
      <alignment horizontal="center" vertical="center"/>
      <protection hidden="1"/>
    </xf>
    <xf numFmtId="0" fontId="0" fillId="0" borderId="0" xfId="0" applyFont="1" applyBorder="1"/>
    <xf numFmtId="0" fontId="0" fillId="3" borderId="11" xfId="0" applyFont="1" applyFill="1" applyBorder="1" applyAlignment="1" applyProtection="1">
      <alignment horizontal="left" vertical="center" indent="1"/>
      <protection hidden="1"/>
    </xf>
    <xf numFmtId="0" fontId="0" fillId="0" borderId="2" xfId="0" applyFont="1" applyBorder="1" applyAlignment="1" applyProtection="1">
      <alignment vertical="center"/>
      <protection hidden="1"/>
    </xf>
    <xf numFmtId="0" fontId="0" fillId="0" borderId="0" xfId="0" applyFont="1" applyAlignment="1" applyProtection="1">
      <alignment vertical="center"/>
      <protection hidden="1"/>
    </xf>
    <xf numFmtId="0" fontId="0" fillId="0" borderId="4" xfId="0" applyFont="1" applyBorder="1"/>
    <xf numFmtId="0" fontId="46" fillId="2" borderId="11" xfId="0" applyFont="1" applyFill="1" applyBorder="1"/>
    <xf numFmtId="0" fontId="0" fillId="0" borderId="5" xfId="0" applyFont="1" applyBorder="1"/>
    <xf numFmtId="0" fontId="0" fillId="0" borderId="11" xfId="0" applyFont="1" applyBorder="1" applyAlignment="1" applyProtection="1">
      <alignment horizontal="left" vertical="center" indent="1"/>
      <protection hidden="1"/>
    </xf>
    <xf numFmtId="0" fontId="46" fillId="2" borderId="11" xfId="0" applyFont="1" applyFill="1" applyBorder="1" applyAlignment="1">
      <alignment horizontal="center"/>
    </xf>
    <xf numFmtId="0" fontId="0" fillId="5" borderId="11" xfId="1" applyFont="1" applyFill="1" applyBorder="1" applyAlignment="1" applyProtection="1">
      <alignment horizontal="left" indent="1"/>
      <protection locked="0"/>
    </xf>
    <xf numFmtId="0" fontId="0" fillId="0" borderId="9" xfId="0" applyFont="1" applyBorder="1" applyAlignment="1" applyProtection="1">
      <alignment horizontal="left" vertical="center" indent="1"/>
      <protection hidden="1"/>
    </xf>
    <xf numFmtId="0" fontId="0" fillId="0" borderId="0" xfId="0" applyFont="1" applyBorder="1" applyAlignment="1">
      <alignment horizontal="left" indent="1"/>
    </xf>
    <xf numFmtId="0" fontId="46" fillId="2" borderId="9" xfId="0" applyFont="1" applyFill="1" applyBorder="1" applyAlignment="1">
      <alignment horizontal="left" indent="1"/>
    </xf>
    <xf numFmtId="0" fontId="46" fillId="2" borderId="17" xfId="0" applyFont="1" applyFill="1" applyBorder="1"/>
    <xf numFmtId="0" fontId="46" fillId="2" borderId="10" xfId="0" applyFont="1" applyFill="1" applyBorder="1" applyAlignment="1">
      <alignment horizontal="left" indent="1"/>
    </xf>
    <xf numFmtId="0" fontId="0" fillId="0" borderId="11" xfId="0" applyFont="1" applyBorder="1" applyAlignment="1">
      <alignment horizontal="left" indent="1"/>
    </xf>
    <xf numFmtId="0" fontId="0" fillId="0" borderId="6" xfId="0" applyFont="1" applyBorder="1"/>
    <xf numFmtId="0" fontId="0" fillId="0" borderId="7" xfId="0" applyFont="1" applyBorder="1"/>
    <xf numFmtId="0" fontId="0" fillId="0" borderId="8" xfId="0" applyFont="1" applyBorder="1"/>
    <xf numFmtId="0" fontId="46" fillId="2" borderId="11" xfId="0" applyFont="1" applyFill="1" applyBorder="1" applyAlignment="1">
      <alignment horizontal="center" vertical="center"/>
    </xf>
    <xf numFmtId="0" fontId="46" fillId="2" borderId="19" xfId="0" applyFont="1" applyFill="1" applyBorder="1" applyAlignment="1">
      <alignment horizontal="center" vertical="center"/>
    </xf>
    <xf numFmtId="0" fontId="46" fillId="2" borderId="19" xfId="0" applyFont="1" applyFill="1" applyBorder="1"/>
    <xf numFmtId="0" fontId="26" fillId="0" borderId="0" xfId="42" applyProtection="1"/>
    <xf numFmtId="0" fontId="26" fillId="0" borderId="0" xfId="42" applyAlignment="1" applyProtection="1">
      <alignment vertical="center"/>
    </xf>
    <xf numFmtId="0" fontId="26" fillId="6" borderId="48" xfId="42" applyFont="1" applyFill="1" applyBorder="1" applyProtection="1"/>
    <xf numFmtId="0" fontId="26" fillId="0" borderId="65" xfId="42" applyFont="1" applyBorder="1" applyProtection="1"/>
    <xf numFmtId="0" fontId="26" fillId="6" borderId="49" xfId="42" applyFont="1" applyFill="1" applyBorder="1" applyAlignment="1" applyProtection="1">
      <alignment horizontal="left"/>
    </xf>
    <xf numFmtId="0" fontId="26" fillId="0" borderId="50" xfId="42" applyFont="1" applyBorder="1" applyProtection="1"/>
    <xf numFmtId="0" fontId="26" fillId="0" borderId="50" xfId="42" applyFont="1" applyBorder="1" applyAlignment="1" applyProtection="1"/>
    <xf numFmtId="0" fontId="26" fillId="0" borderId="0" xfId="42" applyAlignment="1" applyProtection="1"/>
    <xf numFmtId="0" fontId="26" fillId="0" borderId="49" xfId="42" applyBorder="1" applyAlignment="1" applyProtection="1"/>
    <xf numFmtId="0" fontId="26" fillId="6" borderId="0" xfId="42" applyFont="1" applyFill="1" applyBorder="1" applyAlignment="1" applyProtection="1"/>
    <xf numFmtId="0" fontId="26" fillId="0" borderId="49" xfId="42" applyFont="1" applyBorder="1" applyProtection="1"/>
    <xf numFmtId="0" fontId="26" fillId="0" borderId="0" xfId="42" applyFont="1" applyBorder="1" applyProtection="1"/>
    <xf numFmtId="0" fontId="26" fillId="0" borderId="52" xfId="42" applyFont="1" applyBorder="1" applyProtection="1"/>
    <xf numFmtId="0" fontId="26" fillId="0" borderId="53" xfId="42" applyFont="1" applyBorder="1" applyProtection="1"/>
    <xf numFmtId="0" fontId="26" fillId="0" borderId="54" xfId="42" applyFont="1" applyBorder="1" applyProtection="1"/>
    <xf numFmtId="0" fontId="26" fillId="0" borderId="0" xfId="42" applyFont="1" applyBorder="1" applyAlignment="1" applyProtection="1">
      <alignment vertical="center"/>
    </xf>
    <xf numFmtId="0" fontId="49" fillId="6" borderId="0" xfId="42" applyFont="1" applyFill="1" applyBorder="1" applyAlignment="1" applyProtection="1">
      <alignment horizontal="centerContinuous" vertical="center"/>
    </xf>
    <xf numFmtId="0" fontId="26" fillId="0" borderId="20" xfId="42" applyFont="1" applyBorder="1" applyAlignment="1" applyProtection="1">
      <alignment horizontal="center"/>
    </xf>
    <xf numFmtId="0" fontId="26" fillId="0" borderId="63" xfId="42" applyFont="1" applyBorder="1" applyAlignment="1" applyProtection="1">
      <alignment horizontal="left" indent="1"/>
    </xf>
    <xf numFmtId="0" fontId="26" fillId="0" borderId="58" xfId="42" applyFont="1" applyBorder="1" applyProtection="1"/>
    <xf numFmtId="0" fontId="26" fillId="0" borderId="64" xfId="42" applyFont="1" applyBorder="1" applyProtection="1"/>
    <xf numFmtId="0" fontId="26" fillId="0" borderId="49" xfId="42" applyFont="1" applyBorder="1" applyAlignment="1" applyProtection="1">
      <alignment horizontal="center"/>
    </xf>
    <xf numFmtId="0" fontId="26" fillId="0" borderId="0" xfId="42" applyAlignment="1" applyProtection="1">
      <alignment wrapText="1"/>
    </xf>
    <xf numFmtId="0" fontId="26" fillId="0" borderId="67" xfId="42" applyFont="1" applyBorder="1" applyProtection="1"/>
    <xf numFmtId="0" fontId="26" fillId="0" borderId="64" xfId="42" applyFont="1" applyBorder="1" applyAlignment="1" applyProtection="1">
      <alignment horizontal="left" indent="1"/>
    </xf>
    <xf numFmtId="0" fontId="26" fillId="0" borderId="0" xfId="42" applyFont="1" applyBorder="1" applyAlignment="1" applyProtection="1">
      <alignment horizontal="left" indent="1"/>
    </xf>
    <xf numFmtId="0" fontId="26" fillId="0" borderId="0" xfId="42" applyFont="1" applyProtection="1"/>
    <xf numFmtId="0" fontId="26" fillId="0" borderId="56" xfId="42" applyFont="1" applyBorder="1" applyProtection="1"/>
    <xf numFmtId="0" fontId="26" fillId="0" borderId="0" xfId="42" applyFont="1" applyAlignment="1" applyProtection="1">
      <alignment vertical="top"/>
    </xf>
    <xf numFmtId="0" fontId="26" fillId="0" borderId="63" xfId="42" applyFont="1" applyBorder="1" applyAlignment="1" applyProtection="1">
      <alignment horizontal="left" vertical="top"/>
    </xf>
    <xf numFmtId="0" fontId="26" fillId="0" borderId="58" xfId="42" applyFont="1" applyBorder="1" applyAlignment="1" applyProtection="1">
      <alignment vertical="top"/>
    </xf>
    <xf numFmtId="0" fontId="26" fillId="0" borderId="64" xfId="42" applyFont="1" applyBorder="1" applyAlignment="1" applyProtection="1">
      <alignment vertical="top"/>
    </xf>
    <xf numFmtId="0" fontId="26" fillId="0" borderId="0" xfId="42" applyAlignment="1" applyProtection="1">
      <alignment vertical="top"/>
    </xf>
    <xf numFmtId="0" fontId="26" fillId="0" borderId="0" xfId="42" applyFont="1" applyAlignment="1" applyProtection="1">
      <alignment horizontal="left"/>
    </xf>
    <xf numFmtId="0" fontId="26" fillId="0" borderId="63" xfId="42" applyFont="1" applyBorder="1" applyProtection="1">
      <protection locked="0"/>
    </xf>
    <xf numFmtId="0" fontId="26" fillId="0" borderId="64" xfId="42" applyFont="1" applyBorder="1" applyProtection="1">
      <protection locked="0"/>
    </xf>
    <xf numFmtId="0" fontId="26" fillId="0" borderId="58" xfId="42" applyFont="1" applyBorder="1" applyProtection="1">
      <protection locked="0"/>
    </xf>
    <xf numFmtId="0" fontId="26" fillId="0" borderId="0" xfId="42" applyFont="1" applyBorder="1" applyProtection="1">
      <protection locked="0"/>
    </xf>
    <xf numFmtId="0" fontId="26" fillId="0" borderId="56" xfId="42" applyFont="1" applyBorder="1" applyAlignment="1" applyProtection="1">
      <alignment horizontal="left" wrapText="1" indent="2"/>
    </xf>
    <xf numFmtId="167" fontId="26" fillId="0" borderId="56" xfId="42" applyNumberFormat="1" applyFont="1" applyBorder="1" applyAlignment="1" applyProtection="1">
      <alignment horizontal="center"/>
    </xf>
    <xf numFmtId="0" fontId="26" fillId="0" borderId="0" xfId="42" applyFont="1" applyAlignment="1" applyProtection="1">
      <alignment horizontal="left" indent="5"/>
      <protection locked="0"/>
    </xf>
    <xf numFmtId="167" fontId="26" fillId="0" borderId="56" xfId="42" applyNumberFormat="1" applyFont="1" applyBorder="1" applyAlignment="1" applyProtection="1">
      <alignment horizontal="left" indent="5"/>
    </xf>
    <xf numFmtId="167" fontId="26" fillId="0" borderId="56" xfId="42" applyNumberFormat="1" applyFont="1" applyBorder="1" applyAlignment="1" applyProtection="1">
      <alignment horizontal="left"/>
      <protection hidden="1"/>
    </xf>
    <xf numFmtId="0" fontId="26" fillId="0" borderId="0" xfId="42" applyFont="1" applyProtection="1">
      <protection hidden="1"/>
    </xf>
    <xf numFmtId="0" fontId="26" fillId="6" borderId="58" xfId="42" applyFont="1" applyFill="1" applyBorder="1" applyAlignment="1" applyProtection="1">
      <alignment horizontal="left" vertical="center" wrapText="1"/>
      <protection hidden="1"/>
    </xf>
    <xf numFmtId="0" fontId="26" fillId="6" borderId="20" xfId="42" applyFont="1" applyFill="1" applyBorder="1" applyAlignment="1" applyProtection="1">
      <alignment horizontal="left" vertical="center" wrapText="1"/>
      <protection hidden="1"/>
    </xf>
    <xf numFmtId="0" fontId="26" fillId="6" borderId="63" xfId="42" applyFont="1" applyFill="1" applyBorder="1" applyAlignment="1" applyProtection="1">
      <alignment horizontal="left" vertical="center" wrapText="1"/>
      <protection hidden="1"/>
    </xf>
    <xf numFmtId="0" fontId="26" fillId="6" borderId="20" xfId="42" applyFont="1" applyFill="1" applyBorder="1" applyAlignment="1" applyProtection="1">
      <alignment horizontal="left" wrapText="1"/>
      <protection hidden="1"/>
    </xf>
    <xf numFmtId="0" fontId="26" fillId="0" borderId="59" xfId="42" applyFont="1" applyFill="1" applyBorder="1" applyAlignment="1" applyProtection="1">
      <alignment horizontal="center" wrapText="1"/>
    </xf>
    <xf numFmtId="0" fontId="26" fillId="0" borderId="53" xfId="42" applyFont="1" applyBorder="1" applyAlignment="1" applyProtection="1">
      <alignment horizontal="left" indent="1"/>
    </xf>
    <xf numFmtId="0" fontId="26" fillId="0" borderId="54" xfId="42" applyFont="1" applyBorder="1" applyProtection="1">
      <protection locked="0"/>
    </xf>
    <xf numFmtId="0" fontId="26" fillId="0" borderId="52" xfId="42" applyFont="1" applyBorder="1" applyAlignment="1" applyProtection="1">
      <alignment horizontal="left" indent="1"/>
    </xf>
    <xf numFmtId="0" fontId="26" fillId="0" borderId="53" xfId="42" applyFont="1" applyBorder="1" applyProtection="1">
      <protection locked="0"/>
    </xf>
    <xf numFmtId="0" fontId="26" fillId="0" borderId="51" xfId="42" applyFont="1" applyBorder="1" applyAlignment="1" applyProtection="1">
      <alignment wrapText="1"/>
    </xf>
    <xf numFmtId="0" fontId="26" fillId="0" borderId="52" xfId="42" applyFont="1" applyBorder="1" applyAlignment="1" applyProtection="1">
      <alignment wrapText="1"/>
    </xf>
    <xf numFmtId="0" fontId="26" fillId="0" borderId="66" xfId="42" applyFont="1" applyFill="1" applyBorder="1" applyAlignment="1" applyProtection="1">
      <alignment horizontal="center" wrapText="1"/>
    </xf>
    <xf numFmtId="0" fontId="26" fillId="0" borderId="67" xfId="42" applyFont="1" applyFill="1" applyBorder="1" applyAlignment="1" applyProtection="1">
      <alignment horizontal="center" wrapText="1"/>
    </xf>
    <xf numFmtId="0" fontId="26" fillId="0" borderId="49" xfId="42" applyFont="1" applyBorder="1" applyAlignment="1" applyProtection="1">
      <alignment wrapText="1"/>
    </xf>
    <xf numFmtId="0" fontId="58" fillId="0" borderId="0" xfId="42" applyFont="1" applyAlignment="1" applyProtection="1">
      <alignment wrapText="1"/>
    </xf>
    <xf numFmtId="0" fontId="56" fillId="6" borderId="0" xfId="42" applyFont="1" applyFill="1" applyBorder="1" applyAlignment="1" applyProtection="1">
      <alignment horizontal="centerContinuous" vertical="center"/>
    </xf>
    <xf numFmtId="0" fontId="26" fillId="6" borderId="0" xfId="42" applyFont="1" applyFill="1" applyBorder="1" applyAlignment="1" applyProtection="1">
      <alignment horizontal="centerContinuous" vertical="center"/>
    </xf>
    <xf numFmtId="0" fontId="56" fillId="6" borderId="0" xfId="42" applyFont="1" applyFill="1" applyBorder="1" applyAlignment="1" applyProtection="1">
      <alignment horizontal="centerContinuous" vertical="center" wrapText="1"/>
    </xf>
    <xf numFmtId="0" fontId="26" fillId="0" borderId="0" xfId="42" applyFont="1" applyBorder="1" applyAlignment="1" applyProtection="1">
      <alignment horizontal="centerContinuous" vertical="center"/>
    </xf>
    <xf numFmtId="0" fontId="26" fillId="0" borderId="50" xfId="42" applyFont="1" applyBorder="1" applyAlignment="1" applyProtection="1">
      <alignment vertical="center"/>
    </xf>
    <xf numFmtId="0" fontId="26" fillId="6" borderId="0" xfId="42" applyFont="1" applyFill="1" applyBorder="1" applyAlignment="1" applyProtection="1">
      <alignment horizontal="right"/>
    </xf>
    <xf numFmtId="0" fontId="26" fillId="0" borderId="0" xfId="45" applyProtection="1">
      <protection hidden="1"/>
    </xf>
    <xf numFmtId="0" fontId="56" fillId="0" borderId="0" xfId="45" applyFont="1" applyAlignment="1" applyProtection="1">
      <alignment horizontal="right"/>
      <protection hidden="1"/>
    </xf>
    <xf numFmtId="0" fontId="56" fillId="0" borderId="0" xfId="45" applyFont="1" applyAlignment="1" applyProtection="1">
      <alignment horizontal="left"/>
      <protection hidden="1"/>
    </xf>
    <xf numFmtId="0" fontId="26" fillId="0" borderId="0" xfId="45" applyFont="1" applyAlignment="1" applyProtection="1">
      <alignment horizontal="left"/>
      <protection hidden="1"/>
    </xf>
    <xf numFmtId="0" fontId="26" fillId="0" borderId="0" xfId="45" applyAlignment="1" applyProtection="1">
      <alignment horizontal="left"/>
      <protection hidden="1"/>
    </xf>
    <xf numFmtId="0" fontId="26" fillId="0" borderId="0" xfId="45" applyFont="1" applyAlignment="1" applyProtection="1">
      <alignment horizontal="right"/>
      <protection hidden="1"/>
    </xf>
    <xf numFmtId="0" fontId="26" fillId="0" borderId="63" xfId="45" applyBorder="1" applyProtection="1">
      <protection hidden="1"/>
    </xf>
    <xf numFmtId="0" fontId="26" fillId="0" borderId="64" xfId="45" applyBorder="1" applyAlignment="1" applyProtection="1">
      <alignment horizontal="left"/>
      <protection hidden="1"/>
    </xf>
    <xf numFmtId="0" fontId="26" fillId="0" borderId="58" xfId="45" applyBorder="1" applyAlignment="1" applyProtection="1">
      <alignment horizontal="center"/>
      <protection hidden="1"/>
    </xf>
    <xf numFmtId="0" fontId="26" fillId="0" borderId="64" xfId="45" applyFont="1" applyFill="1" applyBorder="1" applyAlignment="1" applyProtection="1">
      <protection hidden="1"/>
    </xf>
    <xf numFmtId="0" fontId="26" fillId="0" borderId="64" xfId="45" applyBorder="1" applyAlignment="1" applyProtection="1">
      <alignment horizontal="center"/>
      <protection hidden="1"/>
    </xf>
    <xf numFmtId="0" fontId="26" fillId="0" borderId="64" xfId="45" applyBorder="1" applyProtection="1">
      <protection hidden="1"/>
    </xf>
    <xf numFmtId="0" fontId="26" fillId="0" borderId="58" xfId="45" applyBorder="1" applyProtection="1">
      <protection hidden="1"/>
    </xf>
    <xf numFmtId="0" fontId="26" fillId="0" borderId="20" xfId="45" applyBorder="1" applyAlignment="1" applyProtection="1">
      <alignment horizontal="center" wrapText="1"/>
      <protection hidden="1"/>
    </xf>
    <xf numFmtId="0" fontId="26" fillId="0" borderId="20" xfId="45" applyBorder="1" applyAlignment="1" applyProtection="1">
      <alignment horizontal="center"/>
      <protection hidden="1"/>
    </xf>
    <xf numFmtId="0" fontId="48" fillId="0" borderId="20" xfId="45" applyFont="1" applyBorder="1" applyAlignment="1" applyProtection="1">
      <alignment horizontal="center" wrapText="1"/>
      <protection hidden="1"/>
    </xf>
    <xf numFmtId="0" fontId="54" fillId="0" borderId="20" xfId="45" applyFont="1" applyBorder="1" applyAlignment="1" applyProtection="1">
      <alignment horizontal="center" wrapText="1"/>
      <protection hidden="1"/>
    </xf>
    <xf numFmtId="0" fontId="26" fillId="0" borderId="20" xfId="45" quotePrefix="1" applyBorder="1" applyAlignment="1" applyProtection="1">
      <alignment horizontal="center"/>
      <protection hidden="1"/>
    </xf>
    <xf numFmtId="0" fontId="56" fillId="0" borderId="0" xfId="45" applyFont="1" applyProtection="1">
      <protection hidden="1"/>
    </xf>
    <xf numFmtId="0" fontId="26" fillId="31" borderId="50" xfId="45" applyFill="1" applyBorder="1" applyProtection="1">
      <protection hidden="1"/>
    </xf>
    <xf numFmtId="0" fontId="26" fillId="31" borderId="0" xfId="45" applyFill="1" applyBorder="1" applyProtection="1">
      <protection hidden="1"/>
    </xf>
    <xf numFmtId="0" fontId="26" fillId="31" borderId="53" xfId="45" applyFill="1" applyBorder="1" applyProtection="1">
      <protection hidden="1"/>
    </xf>
    <xf numFmtId="0" fontId="26" fillId="31" borderId="54" xfId="45" applyFill="1" applyBorder="1" applyProtection="1">
      <protection hidden="1"/>
    </xf>
    <xf numFmtId="0" fontId="26" fillId="31" borderId="50" xfId="45" applyFill="1" applyBorder="1" applyAlignment="1" applyProtection="1">
      <alignment horizontal="left"/>
      <protection hidden="1"/>
    </xf>
    <xf numFmtId="0" fontId="26" fillId="31" borderId="54" xfId="45" applyFill="1" applyBorder="1" applyAlignment="1" applyProtection="1">
      <alignment horizontal="right"/>
      <protection hidden="1"/>
    </xf>
    <xf numFmtId="164" fontId="26" fillId="31" borderId="53" xfId="45" applyNumberFormat="1" applyFill="1" applyBorder="1" applyAlignment="1" applyProtection="1">
      <alignment horizontal="left"/>
      <protection hidden="1"/>
    </xf>
    <xf numFmtId="0" fontId="26" fillId="31" borderId="51" xfId="45" applyFill="1" applyBorder="1" applyProtection="1">
      <protection hidden="1"/>
    </xf>
    <xf numFmtId="0" fontId="26" fillId="31" borderId="48" xfId="45" applyFill="1" applyBorder="1" applyProtection="1">
      <protection hidden="1"/>
    </xf>
    <xf numFmtId="0" fontId="26" fillId="31" borderId="48" xfId="45" applyFill="1" applyBorder="1" applyAlignment="1" applyProtection="1">
      <alignment horizontal="right"/>
      <protection hidden="1"/>
    </xf>
    <xf numFmtId="0" fontId="26" fillId="31" borderId="65" xfId="45" applyFill="1" applyBorder="1" applyProtection="1">
      <protection hidden="1"/>
    </xf>
    <xf numFmtId="0" fontId="26" fillId="31" borderId="49" xfId="45" applyFill="1" applyBorder="1" applyProtection="1">
      <protection hidden="1"/>
    </xf>
    <xf numFmtId="0" fontId="56" fillId="31" borderId="0" xfId="45" applyFont="1" applyFill="1" applyBorder="1" applyAlignment="1" applyProtection="1">
      <alignment horizontal="center"/>
      <protection hidden="1"/>
    </xf>
    <xf numFmtId="0" fontId="26" fillId="31" borderId="52" xfId="45" applyFill="1" applyBorder="1" applyProtection="1">
      <protection hidden="1"/>
    </xf>
    <xf numFmtId="0" fontId="26" fillId="31" borderId="0" xfId="45" applyFill="1" applyBorder="1" applyAlignment="1" applyProtection="1">
      <alignment shrinkToFit="1"/>
      <protection hidden="1"/>
    </xf>
    <xf numFmtId="164" fontId="26" fillId="31" borderId="0" xfId="31" applyNumberFormat="1" applyFont="1" applyFill="1" applyBorder="1" applyAlignment="1" applyProtection="1">
      <alignment horizontal="left"/>
      <protection locked="0"/>
    </xf>
    <xf numFmtId="15" fontId="26" fillId="31" borderId="0" xfId="45" applyNumberFormat="1" applyFill="1" applyBorder="1" applyAlignment="1" applyProtection="1">
      <alignment horizontal="left"/>
      <protection hidden="1"/>
    </xf>
    <xf numFmtId="0" fontId="56" fillId="31" borderId="0" xfId="45" applyFont="1" applyFill="1" applyBorder="1" applyProtection="1">
      <protection hidden="1"/>
    </xf>
    <xf numFmtId="0" fontId="26" fillId="31" borderId="53" xfId="45" applyFill="1" applyBorder="1" applyAlignment="1" applyProtection="1">
      <alignment wrapText="1"/>
      <protection hidden="1"/>
    </xf>
    <xf numFmtId="168" fontId="26" fillId="0" borderId="64" xfId="45" applyNumberFormat="1" applyFont="1" applyFill="1" applyBorder="1" applyAlignment="1" applyProtection="1">
      <protection hidden="1"/>
    </xf>
    <xf numFmtId="168" fontId="26" fillId="0" borderId="64" xfId="45" applyNumberFormat="1" applyFont="1" applyFill="1" applyBorder="1" applyAlignment="1" applyProtection="1">
      <alignment horizontal="left"/>
      <protection hidden="1"/>
    </xf>
    <xf numFmtId="0" fontId="26" fillId="31" borderId="49" xfId="45" applyFill="1" applyBorder="1" applyAlignment="1" applyProtection="1">
      <alignment vertical="top"/>
      <protection hidden="1"/>
    </xf>
    <xf numFmtId="0" fontId="26" fillId="31" borderId="0" xfId="45" applyFill="1" applyBorder="1" applyAlignment="1" applyProtection="1">
      <alignment vertical="top"/>
      <protection hidden="1"/>
    </xf>
    <xf numFmtId="0" fontId="26" fillId="31" borderId="50" xfId="45" applyFill="1" applyBorder="1" applyAlignment="1" applyProtection="1">
      <alignment vertical="top"/>
      <protection hidden="1"/>
    </xf>
    <xf numFmtId="0" fontId="26" fillId="31" borderId="0" xfId="45" applyFill="1" applyBorder="1" applyAlignment="1" applyProtection="1">
      <alignment horizontal="left" vertical="top" wrapText="1"/>
      <protection hidden="1"/>
    </xf>
    <xf numFmtId="0" fontId="26" fillId="31" borderId="50" xfId="45" applyFill="1" applyBorder="1" applyAlignment="1" applyProtection="1">
      <alignment vertical="center"/>
      <protection hidden="1"/>
    </xf>
    <xf numFmtId="0" fontId="26" fillId="0" borderId="0" xfId="45" applyAlignment="1" applyProtection="1">
      <alignment vertical="center"/>
      <protection hidden="1"/>
    </xf>
    <xf numFmtId="0" fontId="26" fillId="31" borderId="63" xfId="45" applyFill="1" applyBorder="1" applyAlignment="1" applyProtection="1">
      <alignment vertical="center"/>
      <protection hidden="1"/>
    </xf>
    <xf numFmtId="0" fontId="26" fillId="31" borderId="64" xfId="45" applyFill="1" applyBorder="1" applyAlignment="1" applyProtection="1">
      <alignment vertical="center"/>
      <protection hidden="1"/>
    </xf>
    <xf numFmtId="0" fontId="26" fillId="31" borderId="58" xfId="45" applyFill="1" applyBorder="1" applyAlignment="1" applyProtection="1">
      <alignment vertical="center"/>
      <protection hidden="1"/>
    </xf>
    <xf numFmtId="0" fontId="50" fillId="6" borderId="64" xfId="42" applyFont="1" applyFill="1" applyBorder="1" applyAlignment="1" applyProtection="1">
      <alignment vertical="center"/>
      <protection hidden="1"/>
    </xf>
    <xf numFmtId="168" fontId="50" fillId="6" borderId="64" xfId="42" applyNumberFormat="1" applyFont="1" applyFill="1" applyBorder="1" applyAlignment="1" applyProtection="1">
      <alignment horizontal="left" vertical="center"/>
      <protection hidden="1"/>
    </xf>
    <xf numFmtId="172" fontId="26" fillId="31" borderId="64" xfId="45" applyNumberFormat="1" applyFill="1" applyBorder="1" applyAlignment="1" applyProtection="1">
      <alignment horizontal="left" vertical="center"/>
      <protection hidden="1"/>
    </xf>
    <xf numFmtId="0" fontId="26" fillId="31" borderId="64" xfId="45" applyFill="1" applyBorder="1" applyAlignment="1" applyProtection="1">
      <alignment vertical="center"/>
      <protection locked="0" hidden="1"/>
    </xf>
    <xf numFmtId="0" fontId="26" fillId="31" borderId="58" xfId="45" applyFill="1" applyBorder="1" applyAlignment="1" applyProtection="1">
      <alignment vertical="center" wrapText="1"/>
      <protection hidden="1"/>
    </xf>
    <xf numFmtId="0" fontId="50" fillId="6" borderId="48" xfId="42" applyFont="1" applyFill="1" applyBorder="1" applyAlignment="1" applyProtection="1">
      <alignment wrapText="1"/>
      <protection hidden="1"/>
    </xf>
    <xf numFmtId="0" fontId="50" fillId="6" borderId="0" xfId="42" applyFont="1" applyFill="1" applyBorder="1" applyAlignment="1" applyProtection="1">
      <alignment wrapText="1"/>
      <protection hidden="1"/>
    </xf>
    <xf numFmtId="0" fontId="60" fillId="0" borderId="0" xfId="45" applyFont="1" applyProtection="1">
      <protection hidden="1"/>
    </xf>
    <xf numFmtId="0" fontId="26" fillId="0" borderId="53" xfId="45" applyBorder="1" applyAlignment="1" applyProtection="1">
      <alignment horizontal="left"/>
      <protection hidden="1"/>
    </xf>
    <xf numFmtId="1" fontId="26" fillId="31" borderId="64" xfId="45" applyNumberFormat="1" applyFill="1" applyBorder="1" applyAlignment="1" applyProtection="1">
      <alignment horizontal="left" vertical="center"/>
      <protection hidden="1"/>
    </xf>
    <xf numFmtId="0" fontId="26" fillId="31" borderId="0" xfId="45" applyFill="1" applyBorder="1" applyAlignment="1" applyProtection="1">
      <alignment horizontal="left"/>
      <protection hidden="1"/>
    </xf>
    <xf numFmtId="0" fontId="61" fillId="0" borderId="0" xfId="0" applyFont="1" applyBorder="1" applyAlignment="1">
      <alignment horizontal="left" indent="2"/>
    </xf>
    <xf numFmtId="0" fontId="61" fillId="0" borderId="0" xfId="0" applyFont="1" applyBorder="1" applyAlignment="1">
      <alignment horizontal="left" indent="1"/>
    </xf>
    <xf numFmtId="0" fontId="48" fillId="6" borderId="58" xfId="42" applyFont="1" applyFill="1" applyBorder="1" applyAlignment="1" applyProtection="1">
      <alignment horizontal="center" wrapText="1"/>
      <protection hidden="1"/>
    </xf>
    <xf numFmtId="0" fontId="48" fillId="6" borderId="63" xfId="42" applyFont="1" applyFill="1" applyBorder="1" applyAlignment="1" applyProtection="1">
      <alignment horizontal="left"/>
      <protection hidden="1"/>
    </xf>
    <xf numFmtId="0" fontId="48" fillId="6" borderId="64" xfId="42" applyFont="1" applyFill="1" applyBorder="1" applyAlignment="1" applyProtection="1">
      <alignment horizontal="left"/>
      <protection hidden="1"/>
    </xf>
    <xf numFmtId="0" fontId="26" fillId="6" borderId="48" xfId="42" applyFill="1" applyBorder="1" applyProtection="1">
      <protection hidden="1"/>
    </xf>
    <xf numFmtId="0" fontId="26" fillId="0" borderId="0" xfId="42" applyProtection="1">
      <protection hidden="1"/>
    </xf>
    <xf numFmtId="0" fontId="26" fillId="6" borderId="49" xfId="42" applyFill="1" applyBorder="1" applyProtection="1">
      <protection hidden="1"/>
    </xf>
    <xf numFmtId="0" fontId="26" fillId="6" borderId="0" xfId="42" applyFill="1" applyBorder="1" applyProtection="1">
      <protection hidden="1"/>
    </xf>
    <xf numFmtId="0" fontId="26" fillId="6" borderId="50" xfId="42" applyFill="1" applyBorder="1" applyProtection="1">
      <protection hidden="1"/>
    </xf>
    <xf numFmtId="0" fontId="26" fillId="0" borderId="0" xfId="42" applyAlignment="1" applyProtection="1">
      <alignment vertical="center"/>
      <protection hidden="1"/>
    </xf>
    <xf numFmtId="0" fontId="50" fillId="6" borderId="49" xfId="42" applyFont="1" applyFill="1" applyBorder="1" applyAlignment="1" applyProtection="1">
      <alignment horizontal="left"/>
      <protection hidden="1"/>
    </xf>
    <xf numFmtId="0" fontId="48" fillId="6" borderId="59" xfId="42" applyFont="1" applyFill="1" applyBorder="1" applyAlignment="1" applyProtection="1">
      <alignment horizontal="left" indent="1"/>
      <protection hidden="1"/>
    </xf>
    <xf numFmtId="0" fontId="48" fillId="6" borderId="51" xfId="42" applyFont="1" applyFill="1" applyBorder="1" applyAlignment="1" applyProtection="1">
      <alignment horizontal="left"/>
      <protection hidden="1"/>
    </xf>
    <xf numFmtId="0" fontId="48" fillId="6" borderId="48" xfId="42" applyFont="1" applyFill="1" applyBorder="1" applyAlignment="1" applyProtection="1">
      <alignment horizontal="left"/>
      <protection hidden="1"/>
    </xf>
    <xf numFmtId="0" fontId="48" fillId="6" borderId="65" xfId="42" applyFont="1" applyFill="1" applyBorder="1" applyAlignment="1" applyProtection="1">
      <protection hidden="1"/>
    </xf>
    <xf numFmtId="0" fontId="48" fillId="6" borderId="66" xfId="42" applyFont="1" applyFill="1" applyBorder="1" applyAlignment="1" applyProtection="1">
      <alignment horizontal="left" indent="1"/>
      <protection hidden="1"/>
    </xf>
    <xf numFmtId="0" fontId="48" fillId="6" borderId="53" xfId="42" applyFont="1" applyFill="1" applyBorder="1" applyAlignment="1" applyProtection="1">
      <alignment horizontal="left"/>
      <protection hidden="1"/>
    </xf>
    <xf numFmtId="0" fontId="48" fillId="6" borderId="49" xfId="42" applyFont="1" applyFill="1" applyBorder="1" applyAlignment="1" applyProtection="1">
      <alignment horizontal="left"/>
      <protection hidden="1"/>
    </xf>
    <xf numFmtId="0" fontId="48" fillId="6" borderId="0" xfId="42" applyFont="1" applyFill="1" applyBorder="1" applyAlignment="1" applyProtection="1">
      <alignment horizontal="left"/>
      <protection hidden="1"/>
    </xf>
    <xf numFmtId="0" fontId="48" fillId="6" borderId="50" xfId="42" applyFont="1" applyFill="1" applyBorder="1" applyAlignment="1" applyProtection="1">
      <alignment horizontal="left"/>
      <protection hidden="1"/>
    </xf>
    <xf numFmtId="0" fontId="48" fillId="6" borderId="52" xfId="42" applyFont="1" applyFill="1" applyBorder="1" applyAlignment="1" applyProtection="1">
      <alignment horizontal="left"/>
      <protection hidden="1"/>
    </xf>
    <xf numFmtId="0" fontId="48" fillId="6" borderId="54" xfId="42" applyFont="1" applyFill="1" applyBorder="1" applyAlignment="1" applyProtection="1">
      <alignment horizontal="left"/>
      <protection hidden="1"/>
    </xf>
    <xf numFmtId="0" fontId="48" fillId="6" borderId="20" xfId="42" applyFont="1" applyFill="1" applyBorder="1" applyAlignment="1" applyProtection="1">
      <alignment horizontal="left" indent="1"/>
      <protection hidden="1"/>
    </xf>
    <xf numFmtId="0" fontId="48" fillId="6" borderId="58" xfId="42" applyFont="1" applyFill="1" applyBorder="1" applyAlignment="1" applyProtection="1">
      <alignment horizontal="left"/>
      <protection hidden="1"/>
    </xf>
    <xf numFmtId="0" fontId="48" fillId="6" borderId="67" xfId="42" applyFont="1" applyFill="1" applyBorder="1" applyAlignment="1" applyProtection="1">
      <alignment horizontal="left"/>
      <protection hidden="1"/>
    </xf>
    <xf numFmtId="0" fontId="48" fillId="6" borderId="51" xfId="42" applyFont="1" applyFill="1" applyBorder="1" applyAlignment="1" applyProtection="1">
      <protection hidden="1"/>
    </xf>
    <xf numFmtId="0" fontId="48" fillId="6" borderId="48" xfId="42" applyFont="1" applyFill="1" applyBorder="1" applyAlignment="1" applyProtection="1">
      <protection hidden="1"/>
    </xf>
    <xf numFmtId="0" fontId="50" fillId="6" borderId="65" xfId="42" applyFont="1" applyFill="1" applyBorder="1" applyAlignment="1" applyProtection="1">
      <protection hidden="1"/>
    </xf>
    <xf numFmtId="0" fontId="48" fillId="6" borderId="49" xfId="42" applyFont="1" applyFill="1" applyBorder="1" applyAlignment="1" applyProtection="1">
      <protection hidden="1"/>
    </xf>
    <xf numFmtId="0" fontId="48" fillId="6" borderId="0" xfId="42" applyFont="1" applyFill="1" applyBorder="1" applyAlignment="1" applyProtection="1">
      <protection hidden="1"/>
    </xf>
    <xf numFmtId="0" fontId="50" fillId="6" borderId="50" xfId="42" applyFont="1" applyFill="1" applyBorder="1" applyAlignment="1" applyProtection="1">
      <protection hidden="1"/>
    </xf>
    <xf numFmtId="0" fontId="48" fillId="6" borderId="66" xfId="42" applyFont="1" applyFill="1" applyBorder="1" applyAlignment="1" applyProtection="1">
      <alignment horizontal="left"/>
      <protection hidden="1"/>
    </xf>
    <xf numFmtId="0" fontId="48" fillId="6" borderId="52" xfId="42" applyFont="1" applyFill="1" applyBorder="1" applyAlignment="1" applyProtection="1">
      <protection hidden="1"/>
    </xf>
    <xf numFmtId="0" fontId="48" fillId="6" borderId="53" xfId="42" applyFont="1" applyFill="1" applyBorder="1" applyAlignment="1" applyProtection="1">
      <protection hidden="1"/>
    </xf>
    <xf numFmtId="0" fontId="50" fillId="6" borderId="54" xfId="42" applyFont="1" applyFill="1" applyBorder="1" applyAlignment="1" applyProtection="1">
      <protection hidden="1"/>
    </xf>
    <xf numFmtId="0" fontId="48" fillId="6" borderId="63" xfId="42" applyFont="1" applyFill="1" applyBorder="1" applyAlignment="1" applyProtection="1">
      <protection hidden="1"/>
    </xf>
    <xf numFmtId="167" fontId="48" fillId="6" borderId="64" xfId="42" applyNumberFormat="1" applyFont="1" applyFill="1" applyBorder="1" applyAlignment="1" applyProtection="1">
      <alignment horizontal="left"/>
      <protection hidden="1"/>
    </xf>
    <xf numFmtId="167" fontId="48" fillId="6" borderId="58" xfId="42" applyNumberFormat="1" applyFont="1" applyFill="1" applyBorder="1" applyAlignment="1" applyProtection="1">
      <alignment horizontal="left"/>
      <protection hidden="1"/>
    </xf>
    <xf numFmtId="167" fontId="55" fillId="6" borderId="0" xfId="42" applyNumberFormat="1" applyFont="1" applyFill="1" applyBorder="1" applyAlignment="1" applyProtection="1">
      <alignment horizontal="left"/>
      <protection hidden="1"/>
    </xf>
    <xf numFmtId="167" fontId="48" fillId="6" borderId="0" xfId="42" applyNumberFormat="1" applyFont="1" applyFill="1" applyBorder="1" applyAlignment="1" applyProtection="1">
      <alignment horizontal="left" vertical="center"/>
      <protection hidden="1"/>
    </xf>
    <xf numFmtId="167" fontId="48" fillId="6" borderId="53" xfId="42" applyNumberFormat="1" applyFont="1" applyFill="1" applyBorder="1" applyAlignment="1" applyProtection="1">
      <alignment horizontal="left" vertical="center"/>
      <protection hidden="1"/>
    </xf>
    <xf numFmtId="0" fontId="48" fillId="6" borderId="20" xfId="42" applyFont="1" applyFill="1" applyBorder="1" applyAlignment="1" applyProtection="1">
      <protection hidden="1"/>
    </xf>
    <xf numFmtId="0" fontId="48" fillId="6" borderId="20" xfId="42" applyFont="1" applyFill="1" applyBorder="1" applyAlignment="1" applyProtection="1">
      <alignment horizontal="left"/>
      <protection hidden="1"/>
    </xf>
    <xf numFmtId="0" fontId="55" fillId="6" borderId="0" xfId="42" applyFont="1" applyFill="1" applyBorder="1" applyAlignment="1" applyProtection="1">
      <alignment horizontal="left"/>
      <protection hidden="1"/>
    </xf>
    <xf numFmtId="0" fontId="55" fillId="6" borderId="0" xfId="42" applyFont="1" applyFill="1" applyBorder="1" applyAlignment="1" applyProtection="1">
      <protection hidden="1"/>
    </xf>
    <xf numFmtId="0" fontId="55" fillId="6" borderId="50" xfId="42" applyFont="1" applyFill="1" applyBorder="1" applyAlignment="1" applyProtection="1">
      <alignment horizontal="left"/>
      <protection hidden="1"/>
    </xf>
    <xf numFmtId="0" fontId="48" fillId="6" borderId="49" xfId="42" applyFont="1" applyFill="1" applyBorder="1" applyAlignment="1" applyProtection="1">
      <alignment horizontal="center" vertical="center"/>
      <protection hidden="1"/>
    </xf>
    <xf numFmtId="0" fontId="48" fillId="6" borderId="0" xfId="42" applyFont="1" applyFill="1" applyBorder="1" applyAlignment="1" applyProtection="1">
      <alignment horizontal="center" vertical="center"/>
      <protection hidden="1"/>
    </xf>
    <xf numFmtId="0" fontId="55" fillId="6" borderId="0" xfId="42" applyFont="1" applyFill="1" applyBorder="1" applyAlignment="1" applyProtection="1">
      <alignment horizontal="center" vertical="center"/>
      <protection hidden="1"/>
    </xf>
    <xf numFmtId="0" fontId="55" fillId="6" borderId="50" xfId="42" applyFont="1" applyFill="1" applyBorder="1" applyAlignment="1" applyProtection="1">
      <alignment horizontal="center" vertical="center"/>
      <protection hidden="1"/>
    </xf>
    <xf numFmtId="0" fontId="26" fillId="0" borderId="0" xfId="42" applyFont="1" applyAlignment="1" applyProtection="1">
      <alignment horizontal="center" vertical="center"/>
      <protection hidden="1"/>
    </xf>
    <xf numFmtId="0" fontId="53" fillId="6" borderId="0" xfId="42" applyFont="1" applyFill="1" applyBorder="1" applyAlignment="1" applyProtection="1">
      <alignment horizontal="center"/>
      <protection hidden="1"/>
    </xf>
    <xf numFmtId="0" fontId="48" fillId="6" borderId="20" xfId="42" applyFont="1" applyFill="1" applyBorder="1" applyAlignment="1" applyProtection="1">
      <alignment horizontal="center" wrapText="1"/>
      <protection hidden="1"/>
    </xf>
    <xf numFmtId="167" fontId="48" fillId="6" borderId="20" xfId="42" applyNumberFormat="1" applyFont="1" applyFill="1" applyBorder="1" applyAlignment="1" applyProtection="1">
      <alignment horizontal="center" wrapText="1"/>
      <protection hidden="1"/>
    </xf>
    <xf numFmtId="0" fontId="48" fillId="6" borderId="51" xfId="42" applyFont="1" applyFill="1" applyBorder="1" applyAlignment="1" applyProtection="1">
      <alignment horizontal="center" vertical="center"/>
      <protection hidden="1"/>
    </xf>
    <xf numFmtId="0" fontId="48" fillId="6" borderId="48" xfId="42" applyFont="1" applyFill="1" applyBorder="1" applyAlignment="1" applyProtection="1">
      <alignment horizontal="center" vertical="center"/>
      <protection hidden="1"/>
    </xf>
    <xf numFmtId="0" fontId="55" fillId="6" borderId="48" xfId="42" applyFont="1" applyFill="1" applyBorder="1" applyAlignment="1" applyProtection="1">
      <alignment horizontal="center" vertical="center"/>
      <protection hidden="1"/>
    </xf>
    <xf numFmtId="0" fontId="55" fillId="6" borderId="65" xfId="42" applyFont="1" applyFill="1" applyBorder="1" applyAlignment="1" applyProtection="1">
      <alignment horizontal="center" vertical="center"/>
      <protection hidden="1"/>
    </xf>
    <xf numFmtId="0" fontId="48" fillId="6" borderId="59" xfId="42" applyFont="1" applyFill="1" applyBorder="1" applyAlignment="1" applyProtection="1">
      <alignment wrapText="1"/>
      <protection hidden="1"/>
    </xf>
    <xf numFmtId="0" fontId="48" fillId="6" borderId="59" xfId="42" applyFont="1" applyFill="1" applyBorder="1" applyAlignment="1" applyProtection="1">
      <alignment horizontal="center" wrapText="1"/>
      <protection hidden="1"/>
    </xf>
    <xf numFmtId="167" fontId="48" fillId="6" borderId="59" xfId="42" applyNumberFormat="1" applyFont="1" applyFill="1" applyBorder="1" applyAlignment="1" applyProtection="1">
      <alignment horizontal="center" wrapText="1"/>
      <protection hidden="1"/>
    </xf>
    <xf numFmtId="0" fontId="26" fillId="0" borderId="0" xfId="42" applyAlignment="1" applyProtection="1"/>
    <xf numFmtId="0" fontId="48" fillId="6" borderId="70" xfId="42" applyFont="1" applyFill="1" applyBorder="1" applyAlignment="1" applyProtection="1">
      <alignment horizontal="left"/>
      <protection hidden="1"/>
    </xf>
    <xf numFmtId="169" fontId="48" fillId="6" borderId="70" xfId="42" applyNumberFormat="1" applyFont="1" applyFill="1" applyBorder="1" applyAlignment="1" applyProtection="1">
      <alignment horizontal="center"/>
      <protection hidden="1"/>
    </xf>
    <xf numFmtId="1" fontId="48" fillId="6" borderId="64" xfId="42" applyNumberFormat="1" applyFont="1" applyFill="1" applyBorder="1" applyAlignment="1" applyProtection="1">
      <alignment horizontal="left"/>
      <protection hidden="1"/>
    </xf>
    <xf numFmtId="167" fontId="48" fillId="6" borderId="60" xfId="42" applyNumberFormat="1" applyFont="1" applyFill="1" applyBorder="1" applyAlignment="1" applyProtection="1">
      <alignment horizontal="center" wrapText="1"/>
      <protection hidden="1"/>
    </xf>
    <xf numFmtId="167" fontId="48" fillId="6" borderId="61" xfId="42" applyNumberFormat="1" applyFont="1" applyFill="1" applyBorder="1" applyAlignment="1" applyProtection="1">
      <alignment horizontal="center" wrapText="1"/>
      <protection hidden="1"/>
    </xf>
    <xf numFmtId="167" fontId="48" fillId="6" borderId="62" xfId="42" applyNumberFormat="1" applyFont="1" applyFill="1" applyBorder="1" applyAlignment="1" applyProtection="1">
      <alignment horizontal="center" wrapText="1"/>
      <protection hidden="1"/>
    </xf>
    <xf numFmtId="0" fontId="48" fillId="6" borderId="53" xfId="42" applyFont="1" applyFill="1" applyBorder="1" applyAlignment="1" applyProtection="1">
      <alignment horizontal="centerContinuous" vertical="center"/>
      <protection hidden="1"/>
    </xf>
    <xf numFmtId="0" fontId="26" fillId="0" borderId="64" xfId="42" applyFont="1" applyBorder="1" applyProtection="1">
      <protection hidden="1"/>
    </xf>
    <xf numFmtId="0" fontId="26" fillId="0" borderId="0" xfId="42" applyFont="1" applyProtection="1">
      <protection hidden="1"/>
    </xf>
    <xf numFmtId="0" fontId="26" fillId="6" borderId="58" xfId="42" applyFont="1" applyFill="1" applyBorder="1" applyAlignment="1" applyProtection="1">
      <alignment horizontal="left" vertical="center" wrapText="1"/>
      <protection hidden="1"/>
    </xf>
    <xf numFmtId="0" fontId="26" fillId="6" borderId="20" xfId="42" applyFont="1" applyFill="1" applyBorder="1" applyAlignment="1" applyProtection="1">
      <alignment horizontal="left" vertical="center" wrapText="1"/>
      <protection hidden="1"/>
    </xf>
    <xf numFmtId="0" fontId="26" fillId="6" borderId="63" xfId="42" applyFont="1" applyFill="1" applyBorder="1" applyAlignment="1" applyProtection="1">
      <alignment horizontal="left" vertical="center" wrapText="1"/>
      <protection hidden="1"/>
    </xf>
    <xf numFmtId="0" fontId="26" fillId="6" borderId="50" xfId="42" applyFill="1" applyBorder="1" applyAlignment="1" applyProtection="1">
      <alignment horizontal="centerContinuous" vertical="center"/>
      <protection hidden="1"/>
    </xf>
    <xf numFmtId="0" fontId="26" fillId="0" borderId="0" xfId="42" applyBorder="1" applyProtection="1">
      <protection hidden="1"/>
    </xf>
    <xf numFmtId="0" fontId="26" fillId="0" borderId="0" xfId="42" applyFont="1" applyBorder="1" applyAlignment="1" applyProtection="1">
      <alignment vertical="center"/>
      <protection hidden="1"/>
    </xf>
    <xf numFmtId="168" fontId="48" fillId="6" borderId="0" xfId="42" applyNumberFormat="1" applyFont="1" applyFill="1" applyBorder="1" applyAlignment="1" applyProtection="1">
      <alignment horizontal="left" wrapText="1"/>
      <protection hidden="1"/>
    </xf>
    <xf numFmtId="1" fontId="48" fillId="6" borderId="63" xfId="42" applyNumberFormat="1" applyFont="1" applyFill="1" applyBorder="1" applyAlignment="1" applyProtection="1">
      <alignment horizontal="left"/>
      <protection hidden="1"/>
    </xf>
    <xf numFmtId="167" fontId="48" fillId="6" borderId="70" xfId="42" applyNumberFormat="1" applyFont="1" applyFill="1" applyBorder="1" applyAlignment="1" applyProtection="1">
      <alignment horizontal="center"/>
      <protection hidden="1"/>
    </xf>
    <xf numFmtId="0" fontId="48" fillId="6" borderId="50" xfId="42" applyFont="1" applyFill="1" applyBorder="1" applyAlignment="1" applyProtection="1">
      <protection hidden="1"/>
    </xf>
    <xf numFmtId="0" fontId="48" fillId="6" borderId="54" xfId="42" applyFont="1" applyFill="1" applyBorder="1" applyAlignment="1" applyProtection="1">
      <protection hidden="1"/>
    </xf>
    <xf numFmtId="167" fontId="48" fillId="6" borderId="51" xfId="42" applyNumberFormat="1" applyFont="1" applyFill="1" applyBorder="1" applyAlignment="1" applyProtection="1">
      <alignment horizontal="center"/>
      <protection hidden="1"/>
    </xf>
    <xf numFmtId="169" fontId="48" fillId="6" borderId="51" xfId="42" applyNumberFormat="1" applyFont="1" applyFill="1" applyBorder="1" applyAlignment="1" applyProtection="1">
      <alignment horizontal="center"/>
      <protection hidden="1"/>
    </xf>
    <xf numFmtId="0" fontId="48" fillId="6" borderId="72" xfId="42" applyFont="1" applyFill="1" applyBorder="1" applyAlignment="1" applyProtection="1">
      <alignment horizontal="left"/>
      <protection hidden="1"/>
    </xf>
    <xf numFmtId="167" fontId="48" fillId="6" borderId="72" xfId="42" applyNumberFormat="1" applyFont="1" applyFill="1" applyBorder="1" applyAlignment="1" applyProtection="1">
      <alignment horizontal="center"/>
      <protection hidden="1"/>
    </xf>
    <xf numFmtId="169" fontId="48" fillId="6" borderId="72" xfId="42" applyNumberFormat="1" applyFont="1" applyFill="1" applyBorder="1" applyAlignment="1" applyProtection="1">
      <alignment horizontal="center"/>
      <protection hidden="1"/>
    </xf>
    <xf numFmtId="0" fontId="48" fillId="6" borderId="73" xfId="42" applyFont="1" applyFill="1" applyBorder="1" applyAlignment="1" applyProtection="1">
      <alignment horizontal="left"/>
      <protection hidden="1"/>
    </xf>
    <xf numFmtId="167" fontId="48" fillId="6" borderId="73" xfId="42" applyNumberFormat="1" applyFont="1" applyFill="1" applyBorder="1" applyAlignment="1" applyProtection="1">
      <alignment horizontal="center"/>
      <protection hidden="1"/>
    </xf>
    <xf numFmtId="169" fontId="48" fillId="6" borderId="73" xfId="42" applyNumberFormat="1" applyFont="1" applyFill="1" applyBorder="1" applyAlignment="1" applyProtection="1">
      <alignment horizontal="center"/>
      <protection hidden="1"/>
    </xf>
    <xf numFmtId="0" fontId="26" fillId="0" borderId="20" xfId="45" applyBorder="1" applyAlignment="1" applyProtection="1">
      <alignment shrinkToFit="1"/>
      <protection hidden="1"/>
    </xf>
    <xf numFmtId="15" fontId="26" fillId="0" borderId="20" xfId="45" applyNumberFormat="1" applyBorder="1" applyAlignment="1" applyProtection="1">
      <alignment horizontal="center" wrapText="1"/>
      <protection hidden="1"/>
    </xf>
    <xf numFmtId="173" fontId="26" fillId="0" borderId="20" xfId="45" applyNumberFormat="1" applyBorder="1" applyAlignment="1" applyProtection="1">
      <alignment horizontal="center"/>
      <protection hidden="1"/>
    </xf>
    <xf numFmtId="167" fontId="48" fillId="6" borderId="63" xfId="42" applyNumberFormat="1" applyFont="1" applyFill="1" applyBorder="1" applyAlignment="1" applyProtection="1">
      <alignment horizontal="right"/>
      <protection hidden="1"/>
    </xf>
    <xf numFmtId="168" fontId="26" fillId="6" borderId="20" xfId="42" applyNumberFormat="1" applyFont="1" applyFill="1" applyBorder="1" applyAlignment="1" applyProtection="1">
      <alignment horizontal="left" vertical="center" wrapText="1"/>
      <protection hidden="1"/>
    </xf>
    <xf numFmtId="0" fontId="26" fillId="0" borderId="20" xfId="45" applyFont="1" applyFill="1" applyBorder="1" applyAlignment="1" applyProtection="1">
      <protection hidden="1"/>
    </xf>
    <xf numFmtId="167" fontId="53" fillId="30" borderId="20" xfId="42" applyNumberFormat="1" applyFont="1" applyFill="1" applyBorder="1" applyAlignment="1" applyProtection="1">
      <alignment horizontal="center" wrapText="1"/>
      <protection hidden="1"/>
    </xf>
    <xf numFmtId="0" fontId="48" fillId="30" borderId="20" xfId="42" applyFont="1" applyFill="1" applyBorder="1" applyAlignment="1" applyProtection="1">
      <alignment horizontal="center" wrapText="1"/>
      <protection hidden="1"/>
    </xf>
    <xf numFmtId="0" fontId="48" fillId="30" borderId="59" xfId="42" applyFont="1" applyFill="1" applyBorder="1" applyAlignment="1" applyProtection="1">
      <alignment horizontal="center" wrapText="1"/>
      <protection locked="0"/>
    </xf>
    <xf numFmtId="167" fontId="48" fillId="30" borderId="61" xfId="42" applyNumberFormat="1" applyFont="1" applyFill="1" applyBorder="1" applyAlignment="1" applyProtection="1">
      <alignment horizontal="center"/>
      <protection locked="0"/>
    </xf>
    <xf numFmtId="167" fontId="48" fillId="30" borderId="74" xfId="42" applyNumberFormat="1" applyFont="1" applyFill="1" applyBorder="1" applyAlignment="1" applyProtection="1">
      <alignment horizontal="center"/>
      <protection locked="0"/>
    </xf>
    <xf numFmtId="167" fontId="48" fillId="30" borderId="62" xfId="42" applyNumberFormat="1" applyFont="1" applyFill="1" applyBorder="1" applyAlignment="1" applyProtection="1">
      <alignment horizontal="center"/>
      <protection locked="0"/>
    </xf>
    <xf numFmtId="173" fontId="26" fillId="0" borderId="20" xfId="45" applyNumberFormat="1" applyBorder="1" applyAlignment="1" applyProtection="1">
      <alignment horizontal="left" vertical="center"/>
      <protection hidden="1"/>
    </xf>
    <xf numFmtId="0" fontId="26" fillId="0" borderId="20" xfId="45" applyFont="1" applyFill="1" applyBorder="1" applyAlignment="1" applyProtection="1">
      <alignment horizontal="left" vertical="center"/>
      <protection hidden="1"/>
    </xf>
    <xf numFmtId="0" fontId="26" fillId="0" borderId="64" xfId="45" applyFont="1" applyFill="1" applyBorder="1" applyAlignment="1" applyProtection="1">
      <alignment vertical="center" wrapText="1"/>
      <protection hidden="1"/>
    </xf>
    <xf numFmtId="0" fontId="48" fillId="6" borderId="49" xfId="42" applyFont="1" applyFill="1" applyBorder="1" applyAlignment="1" applyProtection="1">
      <alignment horizontal="left" wrapText="1"/>
      <protection hidden="1"/>
    </xf>
    <xf numFmtId="0" fontId="48" fillId="6" borderId="0" xfId="42" applyFont="1" applyFill="1" applyBorder="1" applyAlignment="1" applyProtection="1">
      <alignment horizontal="left" wrapText="1"/>
      <protection hidden="1"/>
    </xf>
    <xf numFmtId="0" fontId="48" fillId="6" borderId="50" xfId="42" applyFont="1" applyFill="1" applyBorder="1" applyAlignment="1" applyProtection="1">
      <alignment horizontal="left" wrapText="1"/>
      <protection hidden="1"/>
    </xf>
    <xf numFmtId="0" fontId="0" fillId="0" borderId="0" xfId="0" applyFont="1" applyProtection="1">
      <protection hidden="1"/>
    </xf>
    <xf numFmtId="0" fontId="0" fillId="0" borderId="4" xfId="0" applyFont="1" applyBorder="1" applyProtection="1">
      <protection hidden="1"/>
    </xf>
    <xf numFmtId="0" fontId="0" fillId="0" borderId="0" xfId="0" applyBorder="1" applyAlignment="1" applyProtection="1">
      <alignment wrapText="1"/>
      <protection hidden="1"/>
    </xf>
    <xf numFmtId="0" fontId="0" fillId="0" borderId="0" xfId="0" applyFont="1" applyBorder="1" applyProtection="1">
      <protection hidden="1"/>
    </xf>
    <xf numFmtId="0" fontId="0" fillId="0" borderId="5" xfId="0" applyFont="1" applyBorder="1" applyProtection="1">
      <protection hidden="1"/>
    </xf>
    <xf numFmtId="0" fontId="46" fillId="0" borderId="0" xfId="0" applyFont="1" applyBorder="1" applyProtection="1">
      <protection hidden="1"/>
    </xf>
    <xf numFmtId="0" fontId="0" fillId="0" borderId="0" xfId="0" applyBorder="1" applyProtection="1">
      <protection hidden="1"/>
    </xf>
    <xf numFmtId="0" fontId="0" fillId="0" borderId="53" xfId="0" applyFont="1" applyBorder="1" applyProtection="1">
      <protection hidden="1"/>
    </xf>
    <xf numFmtId="0" fontId="0" fillId="0" borderId="64" xfId="0" applyFont="1" applyBorder="1" applyAlignment="1" applyProtection="1">
      <alignment horizontal="left" indent="1"/>
      <protection hidden="1"/>
    </xf>
    <xf numFmtId="0" fontId="0" fillId="0" borderId="64" xfId="0" applyFont="1" applyBorder="1" applyProtection="1">
      <protection hidden="1"/>
    </xf>
    <xf numFmtId="0" fontId="0" fillId="0" borderId="6" xfId="0" applyFont="1" applyBorder="1" applyProtection="1">
      <protection hidden="1"/>
    </xf>
    <xf numFmtId="0" fontId="0" fillId="0" borderId="7" xfId="0" applyFont="1" applyBorder="1" applyProtection="1">
      <protection hidden="1"/>
    </xf>
    <xf numFmtId="0" fontId="0" fillId="0" borderId="8" xfId="0" applyFont="1" applyBorder="1" applyProtection="1">
      <protection hidden="1"/>
    </xf>
    <xf numFmtId="0" fontId="0" fillId="4" borderId="11" xfId="0" applyFill="1" applyBorder="1" applyAlignment="1" applyProtection="1">
      <protection locked="0"/>
    </xf>
    <xf numFmtId="0" fontId="0" fillId="0" borderId="53" xfId="0" applyFont="1" applyBorder="1" applyAlignment="1" applyProtection="1">
      <alignment horizontal="left" indent="1"/>
      <protection locked="0" hidden="1"/>
    </xf>
    <xf numFmtId="0" fontId="63" fillId="0" borderId="0" xfId="0" applyFont="1" applyBorder="1" applyProtection="1">
      <protection hidden="1"/>
    </xf>
    <xf numFmtId="0" fontId="63" fillId="0" borderId="3" xfId="0" applyFont="1" applyBorder="1" applyProtection="1">
      <protection hidden="1"/>
    </xf>
    <xf numFmtId="0" fontId="63" fillId="0" borderId="4" xfId="0" applyFont="1" applyBorder="1" applyAlignment="1" applyProtection="1">
      <alignment vertical="center"/>
      <protection hidden="1"/>
    </xf>
    <xf numFmtId="0" fontId="63" fillId="0" borderId="5" xfId="0" applyFont="1" applyBorder="1" applyAlignment="1" applyProtection="1">
      <alignment vertical="center"/>
      <protection hidden="1"/>
    </xf>
    <xf numFmtId="0" fontId="63" fillId="0" borderId="4" xfId="0" applyFont="1" applyBorder="1" applyProtection="1">
      <protection hidden="1"/>
    </xf>
    <xf numFmtId="0" fontId="63" fillId="0" borderId="5" xfId="0" applyFont="1" applyBorder="1" applyProtection="1">
      <protection hidden="1"/>
    </xf>
    <xf numFmtId="0" fontId="63" fillId="0" borderId="55" xfId="0" applyFont="1" applyBorder="1" applyProtection="1">
      <protection hidden="1"/>
    </xf>
    <xf numFmtId="0" fontId="63" fillId="0" borderId="57" xfId="0" applyFont="1" applyBorder="1" applyProtection="1">
      <protection hidden="1"/>
    </xf>
    <xf numFmtId="0" fontId="15" fillId="0" borderId="12" xfId="54" applyFont="1" applyBorder="1" applyAlignment="1" applyProtection="1">
      <alignment horizontal="left" vertical="center"/>
      <protection hidden="1"/>
    </xf>
    <xf numFmtId="1" fontId="15" fillId="0" borderId="9" xfId="54" applyNumberFormat="1" applyFont="1" applyBorder="1" applyAlignment="1" applyProtection="1">
      <alignment horizontal="left" vertical="center"/>
      <protection hidden="1"/>
    </xf>
    <xf numFmtId="0" fontId="15" fillId="0" borderId="10" xfId="54" applyFont="1" applyBorder="1" applyAlignment="1" applyProtection="1">
      <alignment horizontal="center" vertical="center"/>
      <protection hidden="1"/>
    </xf>
    <xf numFmtId="0" fontId="15" fillId="0" borderId="11" xfId="54" applyFont="1" applyBorder="1" applyAlignment="1" applyProtection="1">
      <alignment horizontal="left" vertical="center"/>
      <protection hidden="1"/>
    </xf>
    <xf numFmtId="0" fontId="15" fillId="0" borderId="9" xfId="54" applyFont="1" applyBorder="1" applyAlignment="1" applyProtection="1">
      <alignment horizontal="left" vertical="center"/>
      <protection hidden="1"/>
    </xf>
    <xf numFmtId="0" fontId="15" fillId="0" borderId="10" xfId="54" applyFont="1" applyBorder="1" applyAlignment="1" applyProtection="1">
      <alignment horizontal="left" vertical="center"/>
      <protection hidden="1"/>
    </xf>
    <xf numFmtId="1" fontId="15" fillId="0" borderId="11" xfId="54" applyNumberFormat="1" applyFont="1" applyBorder="1" applyAlignment="1" applyProtection="1">
      <alignment horizontal="left" vertical="center"/>
      <protection hidden="1"/>
    </xf>
    <xf numFmtId="0" fontId="15" fillId="0" borderId="9" xfId="54" applyFont="1" applyBorder="1" applyAlignment="1" applyProtection="1">
      <alignment vertical="center"/>
      <protection hidden="1"/>
    </xf>
    <xf numFmtId="0" fontId="64" fillId="0" borderId="12" xfId="52" applyFont="1" applyBorder="1" applyAlignment="1" applyProtection="1">
      <alignment horizontal="left" vertical="center"/>
      <protection hidden="1"/>
    </xf>
    <xf numFmtId="0" fontId="15" fillId="6" borderId="9" xfId="42" applyNumberFormat="1" applyFont="1" applyFill="1" applyBorder="1" applyAlignment="1" applyProtection="1">
      <alignment horizontal="left" vertical="center"/>
      <protection hidden="1"/>
    </xf>
    <xf numFmtId="0" fontId="15" fillId="6" borderId="12" xfId="42" applyNumberFormat="1" applyFont="1" applyFill="1" applyBorder="1" applyAlignment="1" applyProtection="1">
      <alignment horizontal="left" vertical="center"/>
      <protection hidden="1"/>
    </xf>
    <xf numFmtId="0" fontId="15" fillId="6" borderId="12" xfId="42" applyFont="1" applyFill="1" applyBorder="1" applyAlignment="1" applyProtection="1">
      <alignment horizontal="left" vertical="center"/>
      <protection hidden="1"/>
    </xf>
    <xf numFmtId="0" fontId="15" fillId="6" borderId="10" xfId="42" applyFont="1" applyFill="1" applyBorder="1" applyAlignment="1" applyProtection="1">
      <alignment horizontal="left" vertical="center"/>
      <protection hidden="1"/>
    </xf>
    <xf numFmtId="0" fontId="15" fillId="6" borderId="11" xfId="42" applyFont="1" applyFill="1" applyBorder="1" applyAlignment="1" applyProtection="1">
      <alignment horizontal="left" vertical="center"/>
      <protection hidden="1"/>
    </xf>
    <xf numFmtId="0" fontId="62" fillId="0" borderId="9" xfId="54" applyFont="1" applyBorder="1" applyAlignment="1" applyProtection="1">
      <alignment horizontal="left" vertical="center"/>
      <protection hidden="1"/>
    </xf>
    <xf numFmtId="0" fontId="15" fillId="0" borderId="17" xfId="54" applyFont="1" applyBorder="1" applyAlignment="1" applyProtection="1">
      <alignment horizontal="left" vertical="center"/>
      <protection hidden="1"/>
    </xf>
    <xf numFmtId="0" fontId="62" fillId="0" borderId="11" xfId="54" applyFont="1" applyBorder="1" applyAlignment="1" applyProtection="1">
      <alignment horizontal="left" vertical="center"/>
      <protection hidden="1"/>
    </xf>
    <xf numFmtId="0" fontId="15" fillId="0" borderId="2" xfId="54" applyFont="1" applyBorder="1" applyProtection="1">
      <protection hidden="1"/>
    </xf>
    <xf numFmtId="0" fontId="15" fillId="0" borderId="0" xfId="54" applyFont="1" applyProtection="1">
      <protection hidden="1"/>
    </xf>
    <xf numFmtId="0" fontId="15" fillId="0" borderId="0" xfId="54" applyFont="1" applyBorder="1" applyProtection="1">
      <protection hidden="1"/>
    </xf>
    <xf numFmtId="0" fontId="15" fillId="0" borderId="4" xfId="54" applyFont="1" applyBorder="1" applyProtection="1">
      <protection hidden="1"/>
    </xf>
    <xf numFmtId="0" fontId="15" fillId="0" borderId="5" xfId="54" applyFont="1" applyBorder="1" applyProtection="1">
      <protection hidden="1"/>
    </xf>
    <xf numFmtId="0" fontId="62" fillId="0" borderId="0" xfId="54" applyFont="1" applyBorder="1" applyAlignment="1" applyProtection="1">
      <alignment horizontal="left" indent="2"/>
      <protection hidden="1"/>
    </xf>
    <xf numFmtId="0" fontId="62" fillId="0" borderId="0" xfId="54" applyFont="1" applyBorder="1" applyAlignment="1" applyProtection="1">
      <alignment horizontal="center"/>
      <protection hidden="1"/>
    </xf>
    <xf numFmtId="0" fontId="15" fillId="0" borderId="4" xfId="54" applyFont="1" applyBorder="1" applyAlignment="1" applyProtection="1">
      <alignment vertical="top"/>
      <protection hidden="1"/>
    </xf>
    <xf numFmtId="0" fontId="15" fillId="0" borderId="0" xfId="54" applyFont="1" applyBorder="1" applyAlignment="1" applyProtection="1">
      <alignment horizontal="right" vertical="top" indent="1"/>
      <protection hidden="1"/>
    </xf>
    <xf numFmtId="0" fontId="15" fillId="0" borderId="0" xfId="54" applyFont="1" applyBorder="1" applyAlignment="1" applyProtection="1">
      <alignment horizontal="left" vertical="top"/>
      <protection hidden="1"/>
    </xf>
    <xf numFmtId="0" fontId="15" fillId="0" borderId="0" xfId="54" applyFont="1" applyBorder="1" applyAlignment="1" applyProtection="1">
      <alignment horizontal="center" vertical="top"/>
      <protection hidden="1"/>
    </xf>
    <xf numFmtId="0" fontId="15" fillId="0" borderId="0" xfId="54" applyFont="1" applyBorder="1" applyAlignment="1" applyProtection="1">
      <alignment vertical="top"/>
      <protection hidden="1"/>
    </xf>
    <xf numFmtId="0" fontId="15" fillId="0" borderId="5" xfId="54" applyFont="1" applyBorder="1" applyAlignment="1" applyProtection="1">
      <alignment vertical="top"/>
      <protection hidden="1"/>
    </xf>
    <xf numFmtId="0" fontId="15" fillId="0" borderId="0" xfId="54" applyFont="1" applyAlignment="1" applyProtection="1">
      <alignment vertical="top"/>
      <protection hidden="1"/>
    </xf>
    <xf numFmtId="0" fontId="15" fillId="0" borderId="0" xfId="54" applyFont="1" applyBorder="1" applyAlignment="1" applyProtection="1">
      <alignment horizontal="center"/>
      <protection hidden="1"/>
    </xf>
    <xf numFmtId="0" fontId="15" fillId="0" borderId="12" xfId="54" applyFont="1" applyBorder="1" applyAlignment="1" applyProtection="1">
      <alignment horizontal="center" vertical="center"/>
      <protection hidden="1"/>
    </xf>
    <xf numFmtId="0" fontId="15" fillId="0" borderId="0" xfId="54" applyFont="1" applyBorder="1" applyAlignment="1" applyProtection="1">
      <alignment horizontal="center" vertical="center"/>
      <protection hidden="1"/>
    </xf>
    <xf numFmtId="0" fontId="62" fillId="6" borderId="43" xfId="42" applyFont="1" applyFill="1" applyBorder="1" applyAlignment="1" applyProtection="1">
      <alignment horizontal="left" vertical="center"/>
      <protection hidden="1"/>
    </xf>
    <xf numFmtId="0" fontId="15" fillId="6" borderId="44" xfId="42" applyFont="1" applyFill="1" applyBorder="1" applyAlignment="1" applyProtection="1">
      <alignment horizontal="left" vertical="center"/>
      <protection hidden="1"/>
    </xf>
    <xf numFmtId="0" fontId="15" fillId="0" borderId="44" xfId="54" applyFont="1" applyBorder="1" applyAlignment="1" applyProtection="1">
      <alignment horizontal="center" vertical="center"/>
      <protection hidden="1"/>
    </xf>
    <xf numFmtId="0" fontId="15" fillId="0" borderId="17" xfId="54" applyFont="1" applyBorder="1" applyAlignment="1" applyProtection="1">
      <alignment horizontal="center" vertical="center"/>
      <protection hidden="1"/>
    </xf>
    <xf numFmtId="0" fontId="15" fillId="6" borderId="45" xfId="42" applyFont="1" applyFill="1" applyBorder="1" applyAlignment="1" applyProtection="1">
      <alignment horizontal="left" vertical="center"/>
      <protection hidden="1"/>
    </xf>
    <xf numFmtId="0" fontId="15" fillId="6" borderId="0" xfId="42" applyFont="1" applyFill="1" applyBorder="1" applyAlignment="1" applyProtection="1">
      <alignment horizontal="left" vertical="center"/>
      <protection hidden="1"/>
    </xf>
    <xf numFmtId="0" fontId="15" fillId="0" borderId="41" xfId="54" applyFont="1" applyBorder="1" applyAlignment="1" applyProtection="1">
      <alignment horizontal="center" vertical="center"/>
      <protection hidden="1"/>
    </xf>
    <xf numFmtId="0" fontId="15" fillId="0" borderId="0" xfId="54" applyFont="1" applyBorder="1" applyAlignment="1" applyProtection="1">
      <protection hidden="1"/>
    </xf>
    <xf numFmtId="0" fontId="15" fillId="6" borderId="46" xfId="42" applyFont="1" applyFill="1" applyBorder="1" applyAlignment="1" applyProtection="1">
      <alignment horizontal="left" vertical="center"/>
      <protection hidden="1"/>
    </xf>
    <xf numFmtId="0" fontId="15" fillId="6" borderId="47" xfId="42" applyFont="1" applyFill="1" applyBorder="1" applyAlignment="1" applyProtection="1">
      <alignment horizontal="left" vertical="center"/>
      <protection hidden="1"/>
    </xf>
    <xf numFmtId="0" fontId="15" fillId="0" borderId="47" xfId="54" applyFont="1" applyBorder="1" applyAlignment="1" applyProtection="1">
      <alignment horizontal="center" vertical="center"/>
      <protection hidden="1"/>
    </xf>
    <xf numFmtId="0" fontId="15" fillId="0" borderId="42" xfId="54" applyFont="1" applyBorder="1" applyAlignment="1" applyProtection="1">
      <alignment horizontal="left" vertical="center"/>
      <protection hidden="1"/>
    </xf>
    <xf numFmtId="1" fontId="62" fillId="6" borderId="11" xfId="42" applyNumberFormat="1" applyFont="1" applyFill="1" applyBorder="1" applyAlignment="1" applyProtection="1">
      <alignment horizontal="left" vertical="center"/>
      <protection hidden="1"/>
    </xf>
    <xf numFmtId="0" fontId="62" fillId="6" borderId="11" xfId="42" applyFont="1" applyFill="1" applyBorder="1" applyAlignment="1" applyProtection="1">
      <alignment vertical="center"/>
      <protection hidden="1"/>
    </xf>
    <xf numFmtId="0" fontId="15" fillId="0" borderId="56" xfId="54" applyFont="1" applyBorder="1" applyAlignment="1" applyProtection="1">
      <protection hidden="1"/>
    </xf>
    <xf numFmtId="0" fontId="15" fillId="6" borderId="56" xfId="42" applyFont="1" applyFill="1" applyBorder="1" applyAlignment="1" applyProtection="1">
      <alignment horizontal="left"/>
      <protection hidden="1"/>
    </xf>
    <xf numFmtId="0" fontId="15" fillId="0" borderId="56" xfId="54" applyFont="1" applyBorder="1" applyAlignment="1" applyProtection="1">
      <alignment horizontal="center"/>
      <protection hidden="1"/>
    </xf>
    <xf numFmtId="0" fontId="15" fillId="6" borderId="0" xfId="42" applyFont="1" applyFill="1" applyBorder="1" applyAlignment="1" applyProtection="1">
      <alignment horizontal="left"/>
      <protection hidden="1"/>
    </xf>
    <xf numFmtId="167" fontId="15" fillId="0" borderId="10" xfId="54" applyNumberFormat="1" applyFont="1" applyBorder="1" applyAlignment="1" applyProtection="1">
      <alignment horizontal="left" vertical="center"/>
      <protection hidden="1"/>
    </xf>
    <xf numFmtId="0" fontId="15" fillId="0" borderId="0" xfId="54" applyFont="1" applyBorder="1" applyAlignment="1" applyProtection="1">
      <alignment horizontal="left"/>
      <protection hidden="1"/>
    </xf>
    <xf numFmtId="0" fontId="15" fillId="0" borderId="0" xfId="42" applyNumberFormat="1" applyFont="1" applyFill="1" applyBorder="1" applyAlignment="1" applyProtection="1">
      <protection hidden="1"/>
    </xf>
    <xf numFmtId="0" fontId="15" fillId="0" borderId="0" xfId="42" applyFont="1" applyFill="1" applyBorder="1" applyAlignment="1" applyProtection="1">
      <protection hidden="1"/>
    </xf>
    <xf numFmtId="0" fontId="15" fillId="0" borderId="0" xfId="54" applyFont="1" applyBorder="1" applyAlignment="1" applyProtection="1">
      <alignment wrapText="1"/>
      <protection hidden="1"/>
    </xf>
    <xf numFmtId="0" fontId="15" fillId="0" borderId="0" xfId="54" applyFont="1" applyAlignment="1" applyProtection="1">
      <alignment wrapText="1"/>
      <protection hidden="1"/>
    </xf>
    <xf numFmtId="0" fontId="15" fillId="0" borderId="0" xfId="54" applyFont="1" applyBorder="1" applyAlignment="1" applyProtection="1">
      <alignment horizontal="left" wrapText="1"/>
      <protection hidden="1"/>
    </xf>
    <xf numFmtId="0" fontId="15" fillId="0" borderId="56" xfId="54" applyFont="1" applyBorder="1" applyProtection="1">
      <protection hidden="1"/>
    </xf>
    <xf numFmtId="0" fontId="15" fillId="0" borderId="0" xfId="54" applyFont="1" applyBorder="1" applyAlignment="1" applyProtection="1">
      <alignment vertical="center"/>
      <protection hidden="1"/>
    </xf>
    <xf numFmtId="0" fontId="62" fillId="0" borderId="10" xfId="54" applyFont="1" applyBorder="1" applyAlignment="1" applyProtection="1">
      <alignment vertical="center"/>
      <protection hidden="1"/>
    </xf>
    <xf numFmtId="0" fontId="46" fillId="2" borderId="10" xfId="0" applyFont="1" applyFill="1" applyBorder="1" applyAlignment="1">
      <alignment horizontal="left"/>
    </xf>
    <xf numFmtId="0" fontId="65" fillId="2" borderId="9" xfId="0" applyFont="1" applyFill="1" applyBorder="1" applyAlignment="1">
      <alignment horizontal="left"/>
    </xf>
    <xf numFmtId="0" fontId="67" fillId="0" borderId="4" xfId="0" applyFont="1" applyBorder="1" applyAlignment="1" applyProtection="1">
      <alignment vertical="center"/>
      <protection hidden="1"/>
    </xf>
    <xf numFmtId="0" fontId="67" fillId="0" borderId="0" xfId="54" applyFont="1" applyBorder="1" applyProtection="1">
      <protection hidden="1"/>
    </xf>
    <xf numFmtId="0" fontId="67" fillId="0" borderId="5" xfId="0" applyFont="1" applyBorder="1" applyAlignment="1" applyProtection="1">
      <alignment vertical="center"/>
      <protection hidden="1"/>
    </xf>
    <xf numFmtId="0" fontId="67" fillId="0" borderId="0" xfId="54" applyFont="1" applyProtection="1">
      <protection hidden="1"/>
    </xf>
    <xf numFmtId="0" fontId="67" fillId="0" borderId="4" xfId="54" applyFont="1" applyBorder="1" applyProtection="1">
      <protection hidden="1"/>
    </xf>
    <xf numFmtId="0" fontId="66" fillId="0" borderId="0" xfId="54" applyFont="1" applyBorder="1" applyAlignment="1" applyProtection="1">
      <alignment vertical="center"/>
      <protection hidden="1"/>
    </xf>
    <xf numFmtId="0" fontId="67" fillId="0" borderId="5" xfId="54" applyFont="1" applyBorder="1" applyProtection="1">
      <protection hidden="1"/>
    </xf>
    <xf numFmtId="167" fontId="68" fillId="0" borderId="0" xfId="54" quotePrefix="1" applyNumberFormat="1" applyFont="1" applyBorder="1" applyAlignment="1" applyProtection="1">
      <alignment horizontal="left" wrapText="1"/>
      <protection hidden="1"/>
    </xf>
    <xf numFmtId="0" fontId="48" fillId="6" borderId="58" xfId="42" applyNumberFormat="1" applyFont="1" applyFill="1" applyBorder="1" applyAlignment="1" applyProtection="1">
      <alignment horizontal="left"/>
      <protection locked="0"/>
    </xf>
    <xf numFmtId="0" fontId="57" fillId="6" borderId="48" xfId="42" applyFont="1" applyFill="1" applyBorder="1" applyProtection="1">
      <protection hidden="1"/>
    </xf>
    <xf numFmtId="0" fontId="56" fillId="6" borderId="65" xfId="42" applyFont="1" applyFill="1" applyBorder="1" applyProtection="1">
      <protection hidden="1"/>
    </xf>
    <xf numFmtId="0" fontId="51" fillId="6" borderId="0" xfId="42" applyFont="1" applyFill="1" applyBorder="1" applyAlignment="1" applyProtection="1">
      <alignment horizontal="centerContinuous" vertical="center"/>
      <protection hidden="1"/>
    </xf>
    <xf numFmtId="0" fontId="48" fillId="6" borderId="0" xfId="42" applyFont="1" applyFill="1" applyBorder="1" applyAlignment="1" applyProtection="1">
      <alignment horizontal="centerContinuous" vertical="center"/>
      <protection hidden="1"/>
    </xf>
    <xf numFmtId="0" fontId="26" fillId="6" borderId="0" xfId="42" applyFill="1" applyBorder="1" applyAlignment="1" applyProtection="1">
      <alignment horizontal="centerContinuous" vertical="center"/>
      <protection hidden="1"/>
    </xf>
    <xf numFmtId="0" fontId="51" fillId="6" borderId="0" xfId="42" applyFont="1" applyFill="1" applyBorder="1" applyAlignment="1" applyProtection="1">
      <alignment horizontal="centerContinuous" vertical="center" wrapText="1"/>
      <protection hidden="1"/>
    </xf>
    <xf numFmtId="0" fontId="49" fillId="6" borderId="0" xfId="42" applyFont="1" applyFill="1" applyBorder="1" applyAlignment="1" applyProtection="1">
      <alignment horizontal="centerContinuous" vertical="center"/>
      <protection hidden="1"/>
    </xf>
    <xf numFmtId="0" fontId="26" fillId="0" borderId="0" xfId="42" applyBorder="1" applyAlignment="1" applyProtection="1">
      <alignment horizontal="centerContinuous" vertical="center"/>
      <protection hidden="1"/>
    </xf>
    <xf numFmtId="0" fontId="49" fillId="6" borderId="50" xfId="42" applyFont="1" applyFill="1" applyBorder="1" applyAlignment="1" applyProtection="1">
      <alignment horizontal="centerContinuous" vertical="center"/>
      <protection hidden="1"/>
    </xf>
    <xf numFmtId="0" fontId="26" fillId="0" borderId="0" xfId="42" applyAlignment="1" applyProtection="1">
      <protection hidden="1"/>
    </xf>
    <xf numFmtId="0" fontId="58" fillId="0" borderId="0" xfId="42" applyFont="1" applyProtection="1">
      <protection hidden="1"/>
    </xf>
    <xf numFmtId="167" fontId="48" fillId="6" borderId="63" xfId="42" applyNumberFormat="1" applyFont="1" applyFill="1" applyBorder="1" applyAlignment="1" applyProtection="1">
      <alignment horizontal="left"/>
      <protection hidden="1"/>
    </xf>
    <xf numFmtId="0" fontId="48" fillId="6" borderId="59" xfId="42" applyFont="1" applyFill="1" applyBorder="1" applyAlignment="1" applyProtection="1">
      <alignment horizontal="left" wrapText="1"/>
      <protection hidden="1"/>
    </xf>
    <xf numFmtId="0" fontId="26" fillId="0" borderId="0" xfId="42" applyFont="1" applyBorder="1" applyAlignment="1" applyProtection="1">
      <alignment horizontal="left" vertical="top" wrapText="1"/>
      <protection hidden="1"/>
    </xf>
    <xf numFmtId="167" fontId="48" fillId="6" borderId="61" xfId="42" applyNumberFormat="1" applyFont="1" applyFill="1" applyBorder="1" applyAlignment="1" applyProtection="1">
      <alignment horizontal="left"/>
      <protection hidden="1"/>
    </xf>
    <xf numFmtId="167" fontId="48" fillId="6" borderId="74" xfId="42" applyNumberFormat="1" applyFont="1" applyFill="1" applyBorder="1" applyAlignment="1" applyProtection="1">
      <alignment horizontal="left"/>
      <protection hidden="1"/>
    </xf>
    <xf numFmtId="167" fontId="48" fillId="6" borderId="62" xfId="42" applyNumberFormat="1" applyFont="1" applyFill="1" applyBorder="1" applyAlignment="1" applyProtection="1">
      <alignment horizontal="left"/>
      <protection hidden="1"/>
    </xf>
    <xf numFmtId="167" fontId="48" fillId="6" borderId="0" xfId="42" applyNumberFormat="1" applyFont="1" applyFill="1" applyBorder="1" applyAlignment="1" applyProtection="1">
      <alignment horizontal="left"/>
      <protection hidden="1"/>
    </xf>
    <xf numFmtId="0" fontId="48" fillId="6" borderId="68" xfId="42" applyFont="1" applyFill="1" applyBorder="1" applyAlignment="1" applyProtection="1">
      <alignment horizontal="left"/>
      <protection hidden="1"/>
    </xf>
    <xf numFmtId="0" fontId="48" fillId="6" borderId="56" xfId="42" applyFont="1" applyFill="1" applyBorder="1" applyAlignment="1" applyProtection="1">
      <alignment horizontal="left"/>
      <protection hidden="1"/>
    </xf>
    <xf numFmtId="0" fontId="48" fillId="6" borderId="56" xfId="42" applyFont="1" applyFill="1" applyBorder="1" applyAlignment="1" applyProtection="1">
      <protection hidden="1"/>
    </xf>
    <xf numFmtId="167" fontId="48" fillId="6" borderId="56" xfId="42" applyNumberFormat="1" applyFont="1" applyFill="1" applyBorder="1" applyAlignment="1" applyProtection="1">
      <alignment horizontal="left"/>
      <protection hidden="1"/>
    </xf>
    <xf numFmtId="0" fontId="48" fillId="6" borderId="69" xfId="42" applyFont="1" applyFill="1" applyBorder="1" applyAlignment="1" applyProtection="1">
      <alignment horizontal="left"/>
      <protection hidden="1"/>
    </xf>
    <xf numFmtId="0" fontId="48" fillId="6" borderId="49" xfId="42" applyFont="1" applyFill="1" applyBorder="1" applyAlignment="1" applyProtection="1">
      <alignment horizontal="left" vertical="center"/>
      <protection hidden="1"/>
    </xf>
    <xf numFmtId="0" fontId="48" fillId="6" borderId="0" xfId="42" applyFont="1" applyFill="1" applyBorder="1" applyAlignment="1" applyProtection="1">
      <alignment horizontal="left" vertical="center"/>
      <protection hidden="1"/>
    </xf>
    <xf numFmtId="0" fontId="48" fillId="6" borderId="0" xfId="42" applyFont="1" applyFill="1" applyBorder="1" applyAlignment="1" applyProtection="1">
      <alignment vertical="center"/>
      <protection hidden="1"/>
    </xf>
    <xf numFmtId="0" fontId="48" fillId="6" borderId="50" xfId="42" applyFont="1" applyFill="1" applyBorder="1" applyAlignment="1" applyProtection="1">
      <alignment horizontal="left" vertical="center"/>
      <protection hidden="1"/>
    </xf>
    <xf numFmtId="0" fontId="48" fillId="6" borderId="63" xfId="42" applyFont="1" applyFill="1" applyBorder="1" applyAlignment="1" applyProtection="1">
      <alignment vertical="center"/>
      <protection hidden="1"/>
    </xf>
    <xf numFmtId="0" fontId="48" fillId="6" borderId="64" xfId="42" applyFont="1" applyFill="1" applyBorder="1" applyAlignment="1" applyProtection="1">
      <alignment vertical="center"/>
      <protection hidden="1"/>
    </xf>
    <xf numFmtId="0" fontId="48" fillId="6" borderId="58" xfId="42" applyFont="1" applyFill="1" applyBorder="1" applyAlignment="1" applyProtection="1">
      <alignment vertical="center"/>
      <protection hidden="1"/>
    </xf>
    <xf numFmtId="167" fontId="48" fillId="6" borderId="58" xfId="42" applyNumberFormat="1" applyFont="1" applyFill="1" applyBorder="1" applyAlignment="1" applyProtection="1">
      <alignment vertical="center"/>
      <protection hidden="1"/>
    </xf>
    <xf numFmtId="0" fontId="48" fillId="6" borderId="20" xfId="42" applyFont="1" applyFill="1" applyBorder="1" applyAlignment="1" applyProtection="1">
      <alignment vertical="center"/>
      <protection hidden="1"/>
    </xf>
    <xf numFmtId="0" fontId="48" fillId="6" borderId="48" xfId="42" applyFont="1" applyFill="1" applyBorder="1" applyAlignment="1" applyProtection="1">
      <alignment vertical="center"/>
      <protection hidden="1"/>
    </xf>
    <xf numFmtId="167" fontId="48" fillId="6" borderId="48" xfId="42" applyNumberFormat="1" applyFont="1" applyFill="1" applyBorder="1" applyAlignment="1" applyProtection="1">
      <alignment vertical="center"/>
      <protection hidden="1"/>
    </xf>
    <xf numFmtId="0" fontId="48" fillId="6" borderId="60" xfId="42" applyFont="1" applyFill="1" applyBorder="1" applyAlignment="1" applyProtection="1">
      <alignment horizontal="center" wrapText="1"/>
      <protection hidden="1"/>
    </xf>
    <xf numFmtId="0" fontId="48" fillId="6" borderId="61" xfId="42" applyFont="1" applyFill="1" applyBorder="1" applyAlignment="1" applyProtection="1">
      <alignment horizontal="center" wrapText="1"/>
      <protection hidden="1"/>
    </xf>
    <xf numFmtId="0" fontId="48" fillId="6" borderId="62" xfId="42" applyFont="1" applyFill="1" applyBorder="1" applyAlignment="1" applyProtection="1">
      <alignment horizontal="center" wrapText="1"/>
      <protection hidden="1"/>
    </xf>
    <xf numFmtId="167" fontId="48" fillId="0" borderId="65" xfId="42" applyNumberFormat="1" applyFont="1" applyFill="1" applyBorder="1" applyAlignment="1" applyProtection="1">
      <alignment horizontal="center" wrapText="1"/>
      <protection hidden="1"/>
    </xf>
    <xf numFmtId="0" fontId="48" fillId="31" borderId="70" xfId="42" applyFont="1" applyFill="1" applyBorder="1" applyAlignment="1" applyProtection="1">
      <alignment horizontal="center"/>
      <protection hidden="1"/>
    </xf>
    <xf numFmtId="0" fontId="48" fillId="31" borderId="75" xfId="42" applyFont="1" applyFill="1" applyBorder="1" applyAlignment="1" applyProtection="1">
      <alignment horizontal="center"/>
      <protection hidden="1"/>
    </xf>
    <xf numFmtId="0" fontId="48" fillId="31" borderId="71" xfId="42" applyFont="1" applyFill="1" applyBorder="1" applyAlignment="1" applyProtection="1">
      <alignment horizontal="center"/>
      <protection hidden="1"/>
    </xf>
    <xf numFmtId="0" fontId="48" fillId="31" borderId="70" xfId="42" applyFont="1" applyFill="1" applyBorder="1" applyAlignment="1" applyProtection="1">
      <alignment horizontal="center" wrapText="1"/>
      <protection hidden="1"/>
    </xf>
    <xf numFmtId="0" fontId="48" fillId="31" borderId="71" xfId="42" applyFont="1" applyFill="1" applyBorder="1" applyAlignment="1" applyProtection="1">
      <alignment horizontal="center" wrapText="1"/>
      <protection hidden="1"/>
    </xf>
    <xf numFmtId="167" fontId="48" fillId="0" borderId="71" xfId="42" applyNumberFormat="1" applyFont="1" applyFill="1" applyBorder="1" applyAlignment="1" applyProtection="1">
      <alignment horizontal="center" wrapText="1"/>
      <protection hidden="1"/>
    </xf>
    <xf numFmtId="167" fontId="48" fillId="0" borderId="54" xfId="42" applyNumberFormat="1" applyFont="1" applyFill="1" applyBorder="1" applyAlignment="1" applyProtection="1">
      <alignment horizontal="center" wrapText="1"/>
      <protection hidden="1"/>
    </xf>
    <xf numFmtId="0" fontId="53" fillId="6" borderId="0" xfId="42" applyFont="1" applyFill="1" applyBorder="1" applyAlignment="1" applyProtection="1">
      <alignment horizontal="center" vertical="center"/>
      <protection hidden="1"/>
    </xf>
    <xf numFmtId="0" fontId="48" fillId="6" borderId="49" xfId="42" applyFont="1" applyFill="1" applyBorder="1" applyAlignment="1" applyProtection="1">
      <alignment vertical="center"/>
      <protection hidden="1"/>
    </xf>
    <xf numFmtId="0" fontId="55" fillId="6" borderId="53" xfId="42" applyFont="1" applyFill="1" applyBorder="1" applyAlignment="1" applyProtection="1">
      <alignment horizontal="centerContinuous" vertical="center"/>
      <protection hidden="1"/>
    </xf>
    <xf numFmtId="0" fontId="26" fillId="0" borderId="53" xfId="42" applyFont="1" applyBorder="1" applyAlignment="1" applyProtection="1">
      <alignment horizontal="centerContinuous" vertical="center"/>
      <protection hidden="1"/>
    </xf>
    <xf numFmtId="0" fontId="48" fillId="6" borderId="52" xfId="42" applyFont="1" applyFill="1" applyBorder="1" applyAlignment="1" applyProtection="1">
      <alignment horizontal="left" wrapText="1"/>
      <protection hidden="1"/>
    </xf>
    <xf numFmtId="171" fontId="48" fillId="6" borderId="53" xfId="42" applyNumberFormat="1" applyFont="1" applyFill="1" applyBorder="1" applyAlignment="1" applyProtection="1">
      <alignment horizontal="left" wrapText="1"/>
      <protection hidden="1"/>
    </xf>
    <xf numFmtId="0" fontId="26" fillId="0" borderId="53" xfId="42" applyBorder="1" applyProtection="1">
      <protection hidden="1"/>
    </xf>
    <xf numFmtId="0" fontId="48" fillId="6" borderId="53" xfId="42" applyFont="1" applyFill="1" applyBorder="1" applyAlignment="1" applyProtection="1">
      <alignment horizontal="left" wrapText="1"/>
      <protection hidden="1"/>
    </xf>
    <xf numFmtId="0" fontId="26" fillId="0" borderId="58" xfId="42" applyFont="1" applyBorder="1" applyProtection="1">
      <protection hidden="1"/>
    </xf>
    <xf numFmtId="1" fontId="26" fillId="0" borderId="64" xfId="42" applyNumberFormat="1" applyFont="1" applyBorder="1" applyAlignment="1" applyProtection="1">
      <alignment horizontal="left"/>
      <protection hidden="1"/>
    </xf>
    <xf numFmtId="167" fontId="26" fillId="0" borderId="64" xfId="42" applyNumberFormat="1" applyFont="1" applyBorder="1" applyAlignment="1" applyProtection="1">
      <alignment horizontal="left"/>
      <protection hidden="1"/>
    </xf>
    <xf numFmtId="0" fontId="26" fillId="0" borderId="0" xfId="45" applyAlignment="1" applyProtection="1">
      <alignment horizontal="left" wrapText="1"/>
      <protection hidden="1"/>
    </xf>
    <xf numFmtId="0" fontId="26" fillId="0" borderId="0" xfId="45" applyBorder="1" applyAlignment="1" applyProtection="1">
      <alignment horizontal="center"/>
      <protection hidden="1"/>
    </xf>
    <xf numFmtId="0" fontId="26" fillId="0" borderId="0" xfId="45" applyBorder="1" applyProtection="1">
      <protection hidden="1"/>
    </xf>
    <xf numFmtId="0" fontId="26" fillId="0" borderId="0" xfId="45" applyBorder="1" applyAlignment="1" applyProtection="1">
      <alignment horizontal="left" shrinkToFit="1"/>
      <protection hidden="1"/>
    </xf>
    <xf numFmtId="0" fontId="54" fillId="0" borderId="0" xfId="45" applyFont="1" applyBorder="1" applyAlignment="1" applyProtection="1">
      <alignment horizontal="center" wrapText="1"/>
      <protection hidden="1"/>
    </xf>
    <xf numFmtId="0" fontId="26" fillId="0" borderId="0" xfId="45" quotePrefix="1" applyBorder="1" applyAlignment="1" applyProtection="1">
      <alignment horizontal="center"/>
      <protection hidden="1"/>
    </xf>
    <xf numFmtId="0" fontId="26" fillId="6" borderId="49" xfId="42" applyFont="1" applyFill="1" applyBorder="1" applyAlignment="1" applyProtection="1">
      <alignment horizontal="left" vertical="center" wrapText="1"/>
      <protection hidden="1"/>
    </xf>
    <xf numFmtId="0" fontId="26" fillId="0" borderId="0" xfId="45" applyFont="1" applyFill="1" applyBorder="1" applyAlignment="1" applyProtection="1">
      <alignment horizontal="left" vertical="center"/>
      <protection hidden="1"/>
    </xf>
    <xf numFmtId="0" fontId="26" fillId="0" borderId="0" xfId="45" applyFont="1" applyFill="1" applyBorder="1" applyAlignment="1" applyProtection="1">
      <protection hidden="1"/>
    </xf>
    <xf numFmtId="0" fontId="26" fillId="31" borderId="53" xfId="45" applyFill="1" applyBorder="1" applyAlignment="1" applyProtection="1">
      <alignment horizontal="left" wrapText="1"/>
      <protection hidden="1"/>
    </xf>
    <xf numFmtId="0" fontId="0" fillId="0" borderId="1" xfId="0" applyBorder="1" applyAlignment="1" applyProtection="1">
      <alignment vertical="center"/>
      <protection locked="0" hidden="1"/>
    </xf>
    <xf numFmtId="0" fontId="0" fillId="0" borderId="6" xfId="0" applyBorder="1" applyProtection="1">
      <protection hidden="1"/>
    </xf>
    <xf numFmtId="0" fontId="0" fillId="0" borderId="7" xfId="0" applyBorder="1" applyProtection="1">
      <protection locked="0" hidden="1"/>
    </xf>
    <xf numFmtId="0" fontId="0" fillId="0" borderId="18" xfId="0" applyFill="1" applyBorder="1"/>
    <xf numFmtId="0" fontId="0" fillId="0" borderId="1" xfId="0" applyFont="1" applyBorder="1" applyAlignment="1" applyProtection="1">
      <alignment vertical="center"/>
      <protection locked="0" hidden="1"/>
    </xf>
    <xf numFmtId="0" fontId="0" fillId="0" borderId="8" xfId="0" applyFont="1" applyBorder="1" applyProtection="1">
      <protection locked="0"/>
    </xf>
    <xf numFmtId="0" fontId="63" fillId="0" borderId="1" xfId="0" applyFont="1" applyBorder="1" applyProtection="1">
      <protection locked="0" hidden="1"/>
    </xf>
    <xf numFmtId="0" fontId="15" fillId="0" borderId="56" xfId="54" applyFont="1" applyBorder="1" applyProtection="1">
      <protection locked="0" hidden="1"/>
    </xf>
    <xf numFmtId="0" fontId="50" fillId="6" borderId="51" xfId="42" applyFont="1" applyFill="1" applyBorder="1" applyAlignment="1" applyProtection="1">
      <alignment horizontal="left"/>
      <protection locked="0" hidden="1"/>
    </xf>
    <xf numFmtId="0" fontId="26" fillId="6" borderId="51" xfId="42" applyFont="1" applyFill="1" applyBorder="1" applyAlignment="1" applyProtection="1">
      <alignment horizontal="left"/>
      <protection locked="0"/>
    </xf>
    <xf numFmtId="49" fontId="0" fillId="0" borderId="0" xfId="0" applyNumberFormat="1" applyBorder="1" applyAlignment="1" applyProtection="1">
      <alignment horizontal="left" vertical="center" indent="1"/>
      <protection hidden="1"/>
    </xf>
    <xf numFmtId="0" fontId="0" fillId="0" borderId="9" xfId="0" applyBorder="1" applyAlignment="1" applyProtection="1">
      <alignment horizontal="left" vertical="center" indent="1"/>
      <protection hidden="1"/>
    </xf>
    <xf numFmtId="0" fontId="39" fillId="0" borderId="0" xfId="0" applyFont="1" applyAlignment="1" applyProtection="1">
      <protection hidden="1"/>
    </xf>
    <xf numFmtId="0" fontId="39" fillId="0" borderId="0" xfId="0" applyFont="1" applyAlignment="1" applyProtection="1">
      <alignment horizontal="center"/>
      <protection hidden="1"/>
    </xf>
    <xf numFmtId="0" fontId="16" fillId="0" borderId="0" xfId="3"/>
    <xf numFmtId="0" fontId="1" fillId="0" borderId="0" xfId="3" applyFont="1" applyAlignment="1">
      <alignment horizontal="center"/>
    </xf>
    <xf numFmtId="0" fontId="1" fillId="0" borderId="0" xfId="3" applyFont="1"/>
    <xf numFmtId="0" fontId="16" fillId="0" borderId="0" xfId="3" applyAlignment="1">
      <alignment horizontal="center"/>
    </xf>
    <xf numFmtId="9" fontId="16" fillId="0" borderId="0" xfId="3" applyNumberFormat="1" applyAlignment="1">
      <alignment horizontal="center"/>
    </xf>
    <xf numFmtId="0" fontId="16" fillId="0" borderId="43" xfId="3" applyBorder="1"/>
    <xf numFmtId="0" fontId="16" fillId="0" borderId="17" xfId="3" applyBorder="1"/>
    <xf numFmtId="0" fontId="16" fillId="0" borderId="45" xfId="3" applyBorder="1"/>
    <xf numFmtId="0" fontId="16" fillId="0" borderId="41" xfId="3" applyBorder="1"/>
    <xf numFmtId="0" fontId="16" fillId="0" borderId="45" xfId="3" applyFont="1" applyBorder="1" applyAlignment="1">
      <alignment horizontal="center" vertical="center"/>
    </xf>
    <xf numFmtId="0" fontId="16" fillId="0" borderId="41" xfId="3" applyFont="1" applyBorder="1" applyAlignment="1">
      <alignment horizontal="center" vertical="center"/>
    </xf>
    <xf numFmtId="0" fontId="16" fillId="0" borderId="46" xfId="3" applyBorder="1" applyAlignment="1">
      <alignment vertical="center"/>
    </xf>
    <xf numFmtId="0" fontId="16" fillId="0" borderId="42" xfId="3" applyBorder="1" applyAlignment="1">
      <alignment vertical="center"/>
    </xf>
    <xf numFmtId="0" fontId="1" fillId="2" borderId="9" xfId="3" applyFont="1" applyFill="1" applyBorder="1" applyAlignment="1">
      <alignment horizontal="left" vertical="center"/>
    </xf>
    <xf numFmtId="0" fontId="1" fillId="2" borderId="12" xfId="3" applyFont="1" applyFill="1" applyBorder="1" applyAlignment="1">
      <alignment horizontal="left" vertical="center"/>
    </xf>
    <xf numFmtId="0" fontId="1" fillId="2" borderId="10" xfId="3" applyFont="1" applyFill="1" applyBorder="1" applyAlignment="1">
      <alignment horizontal="left" vertical="center"/>
    </xf>
    <xf numFmtId="0" fontId="16" fillId="0" borderId="40" xfId="3" applyBorder="1"/>
    <xf numFmtId="0" fontId="16" fillId="0" borderId="0" xfId="3" applyFont="1" applyAlignment="1">
      <alignment horizontal="center" vertical="center"/>
    </xf>
    <xf numFmtId="0" fontId="16" fillId="0" borderId="9" xfId="3" applyFill="1" applyBorder="1" applyAlignment="1"/>
    <xf numFmtId="0" fontId="16" fillId="0" borderId="12" xfId="3" applyFill="1" applyBorder="1" applyAlignment="1">
      <alignment horizontal="left"/>
    </xf>
    <xf numFmtId="0" fontId="16" fillId="0" borderId="10" xfId="3" applyFill="1" applyBorder="1" applyAlignment="1">
      <alignment horizontal="left"/>
    </xf>
    <xf numFmtId="0" fontId="16" fillId="0" borderId="18" xfId="3" applyFont="1" applyBorder="1" applyAlignment="1">
      <alignment horizontal="center" vertical="center"/>
    </xf>
    <xf numFmtId="0" fontId="16" fillId="0" borderId="18" xfId="3" applyBorder="1"/>
    <xf numFmtId="0" fontId="16" fillId="0" borderId="0" xfId="3" applyAlignment="1">
      <alignment vertical="center"/>
    </xf>
    <xf numFmtId="0" fontId="16" fillId="0" borderId="18" xfId="3" applyBorder="1" applyAlignment="1">
      <alignment vertical="center"/>
    </xf>
    <xf numFmtId="0" fontId="1" fillId="32" borderId="11" xfId="3" applyFont="1" applyFill="1" applyBorder="1" applyAlignment="1">
      <alignment horizontal="center" vertical="top"/>
    </xf>
    <xf numFmtId="0" fontId="16" fillId="0" borderId="9" xfId="3" applyFill="1" applyBorder="1" applyAlignment="1">
      <alignment horizontal="left" indent="1"/>
    </xf>
    <xf numFmtId="0" fontId="2" fillId="0" borderId="9" xfId="1" applyFill="1" applyBorder="1" applyAlignment="1" applyProtection="1">
      <alignment horizontal="left" indent="1"/>
    </xf>
    <xf numFmtId="0" fontId="1" fillId="2" borderId="9" xfId="3" applyFont="1" applyFill="1" applyBorder="1" applyAlignment="1">
      <alignment horizontal="left"/>
    </xf>
    <xf numFmtId="0" fontId="1" fillId="2" borderId="10" xfId="3" applyFont="1" applyFill="1" applyBorder="1" applyAlignment="1">
      <alignment horizontal="left"/>
    </xf>
    <xf numFmtId="0" fontId="16" fillId="0" borderId="9" xfId="3" applyBorder="1" applyAlignment="1">
      <alignment horizontal="left"/>
    </xf>
    <xf numFmtId="0" fontId="16" fillId="0" borderId="12" xfId="3" applyBorder="1"/>
    <xf numFmtId="0" fontId="16" fillId="0" borderId="10" xfId="3" applyBorder="1"/>
    <xf numFmtId="0" fontId="16" fillId="0" borderId="43" xfId="3" applyBorder="1" applyAlignment="1">
      <alignment horizontal="left"/>
    </xf>
    <xf numFmtId="0" fontId="16" fillId="0" borderId="44" xfId="3" applyBorder="1"/>
    <xf numFmtId="0" fontId="16" fillId="0" borderId="46" xfId="3" applyBorder="1" applyAlignment="1">
      <alignment horizontal="left"/>
    </xf>
    <xf numFmtId="0" fontId="16" fillId="0" borderId="47" xfId="3" applyBorder="1"/>
    <xf numFmtId="0" fontId="16" fillId="0" borderId="42" xfId="3" applyBorder="1"/>
    <xf numFmtId="0" fontId="16" fillId="4" borderId="43" xfId="3" applyFill="1" applyBorder="1" applyAlignment="1">
      <alignment horizontal="left" indent="2"/>
    </xf>
    <xf numFmtId="0" fontId="16" fillId="4" borderId="44" xfId="3" applyFill="1" applyBorder="1" applyAlignment="1">
      <alignment horizontal="left"/>
    </xf>
    <xf numFmtId="0" fontId="16" fillId="4" borderId="17" xfId="3" applyFill="1" applyBorder="1" applyAlignment="1">
      <alignment horizontal="left"/>
    </xf>
    <xf numFmtId="0" fontId="16" fillId="4" borderId="46" xfId="3" applyFill="1" applyBorder="1" applyAlignment="1">
      <alignment horizontal="left" indent="3"/>
    </xf>
    <xf numFmtId="0" fontId="16" fillId="4" borderId="47" xfId="3" applyFill="1" applyBorder="1" applyAlignment="1"/>
    <xf numFmtId="0" fontId="16" fillId="4" borderId="42" xfId="3" applyFill="1" applyBorder="1" applyAlignment="1"/>
    <xf numFmtId="0" fontId="16" fillId="5" borderId="9" xfId="3" applyFill="1" applyBorder="1" applyAlignment="1" applyProtection="1">
      <alignment horizontal="left" vertical="center" indent="2"/>
      <protection locked="0" hidden="1"/>
    </xf>
    <xf numFmtId="0" fontId="16" fillId="5" borderId="12" xfId="3" applyFont="1" applyFill="1" applyBorder="1" applyAlignment="1" applyProtection="1">
      <alignment horizontal="left" vertical="center"/>
      <protection locked="0" hidden="1"/>
    </xf>
    <xf numFmtId="0" fontId="16" fillId="5" borderId="10" xfId="3" applyFont="1" applyFill="1" applyBorder="1" applyAlignment="1" applyProtection="1">
      <alignment horizontal="left" vertical="center"/>
      <protection locked="0" hidden="1"/>
    </xf>
    <xf numFmtId="0" fontId="16" fillId="3" borderId="43" xfId="3" applyFill="1" applyBorder="1" applyAlignment="1" applyProtection="1">
      <alignment horizontal="left" vertical="center" indent="2"/>
      <protection hidden="1"/>
    </xf>
    <xf numFmtId="0" fontId="16" fillId="3" borderId="44" xfId="3" applyFont="1" applyFill="1" applyBorder="1" applyAlignment="1" applyProtection="1">
      <alignment horizontal="left" vertical="center"/>
      <protection hidden="1"/>
    </xf>
    <xf numFmtId="0" fontId="16" fillId="3" borderId="17" xfId="3" applyFont="1" applyFill="1" applyBorder="1" applyAlignment="1" applyProtection="1">
      <alignment horizontal="left" vertical="center"/>
      <protection hidden="1"/>
    </xf>
    <xf numFmtId="0" fontId="16" fillId="3" borderId="46" xfId="3" applyFill="1" applyBorder="1" applyAlignment="1" applyProtection="1">
      <alignment horizontal="left" vertical="center" indent="2"/>
      <protection hidden="1"/>
    </xf>
    <xf numFmtId="0" fontId="16" fillId="3" borderId="47" xfId="3" applyFont="1" applyFill="1" applyBorder="1" applyAlignment="1" applyProtection="1">
      <alignment horizontal="left" vertical="center"/>
      <protection hidden="1"/>
    </xf>
    <xf numFmtId="0" fontId="16" fillId="3" borderId="42" xfId="3" applyFont="1" applyFill="1" applyBorder="1" applyAlignment="1" applyProtection="1">
      <alignment horizontal="left" vertical="center"/>
      <protection hidden="1"/>
    </xf>
    <xf numFmtId="0" fontId="16" fillId="0" borderId="44" xfId="3" applyFont="1" applyFill="1" applyBorder="1" applyAlignment="1" applyProtection="1">
      <alignment horizontal="left" vertical="center"/>
      <protection hidden="1"/>
    </xf>
    <xf numFmtId="0" fontId="16" fillId="0" borderId="17" xfId="3" applyFont="1" applyFill="1" applyBorder="1" applyAlignment="1" applyProtection="1">
      <alignment horizontal="left" vertical="center"/>
      <protection hidden="1"/>
    </xf>
    <xf numFmtId="0" fontId="16" fillId="0" borderId="46" xfId="3" applyBorder="1" applyAlignment="1">
      <alignment horizontal="left" indent="1"/>
    </xf>
    <xf numFmtId="0" fontId="16" fillId="0" borderId="47" xfId="3" applyFont="1" applyFill="1" applyBorder="1" applyAlignment="1" applyProtection="1">
      <alignment horizontal="left" vertical="center"/>
      <protection hidden="1"/>
    </xf>
    <xf numFmtId="0" fontId="16" fillId="0" borderId="42" xfId="3" applyFont="1" applyFill="1" applyBorder="1" applyAlignment="1" applyProtection="1">
      <alignment horizontal="left" vertical="center"/>
      <protection hidden="1"/>
    </xf>
    <xf numFmtId="0" fontId="16" fillId="0" borderId="12" xfId="3" applyFont="1" applyFill="1" applyBorder="1" applyAlignment="1" applyProtection="1">
      <alignment horizontal="left" vertical="center"/>
      <protection hidden="1"/>
    </xf>
    <xf numFmtId="0" fontId="16" fillId="0" borderId="10" xfId="3" applyFont="1" applyFill="1" applyBorder="1" applyAlignment="1" applyProtection="1">
      <alignment horizontal="left" vertical="center"/>
      <protection hidden="1"/>
    </xf>
    <xf numFmtId="0" fontId="16" fillId="0" borderId="45" xfId="3" applyBorder="1" applyAlignment="1">
      <alignment horizontal="left" indent="2"/>
    </xf>
    <xf numFmtId="0" fontId="1" fillId="0" borderId="44" xfId="3" applyFont="1" applyBorder="1"/>
    <xf numFmtId="0" fontId="1" fillId="0" borderId="17" xfId="3" applyFont="1" applyBorder="1"/>
    <xf numFmtId="0" fontId="16" fillId="0" borderId="46" xfId="3" applyBorder="1" applyAlignment="1">
      <alignment horizontal="left" indent="2"/>
    </xf>
    <xf numFmtId="0" fontId="1" fillId="0" borderId="47" xfId="3" applyFont="1" applyBorder="1"/>
    <xf numFmtId="0" fontId="1" fillId="0" borderId="42" xfId="3" applyFont="1" applyBorder="1"/>
    <xf numFmtId="0" fontId="45" fillId="0" borderId="19" xfId="0" applyFont="1" applyBorder="1" applyAlignment="1" applyProtection="1">
      <alignment vertical="center" wrapText="1"/>
      <protection hidden="1"/>
    </xf>
    <xf numFmtId="0" fontId="45" fillId="0" borderId="18" xfId="0" applyFont="1" applyBorder="1" applyAlignment="1" applyProtection="1">
      <alignment vertical="center"/>
      <protection hidden="1"/>
    </xf>
    <xf numFmtId="0" fontId="44" fillId="0" borderId="43" xfId="0" applyFont="1" applyBorder="1" applyAlignment="1" applyProtection="1">
      <alignment horizontal="left" vertical="center" indent="5"/>
      <protection hidden="1"/>
    </xf>
    <xf numFmtId="0" fontId="44" fillId="0" borderId="44" xfId="0" applyFont="1" applyBorder="1" applyAlignment="1" applyProtection="1">
      <alignment horizontal="left" vertical="center" indent="5"/>
      <protection hidden="1"/>
    </xf>
    <xf numFmtId="0" fontId="44" fillId="0" borderId="17" xfId="0" applyFont="1" applyBorder="1" applyAlignment="1" applyProtection="1">
      <alignment horizontal="left" vertical="center" indent="5"/>
      <protection hidden="1"/>
    </xf>
    <xf numFmtId="0" fontId="0" fillId="0" borderId="43" xfId="0" applyFont="1" applyBorder="1"/>
    <xf numFmtId="0" fontId="0" fillId="0" borderId="91" xfId="0" applyFont="1" applyBorder="1"/>
    <xf numFmtId="0" fontId="73" fillId="35" borderId="92" xfId="0" applyFont="1" applyFill="1" applyBorder="1" applyAlignment="1">
      <alignment horizontal="left"/>
    </xf>
    <xf numFmtId="0" fontId="73" fillId="35" borderId="92" xfId="0" applyFont="1" applyFill="1" applyBorder="1" applyAlignment="1">
      <alignment horizontal="center"/>
    </xf>
    <xf numFmtId="0" fontId="0" fillId="0" borderId="92" xfId="0" applyFill="1" applyBorder="1" applyAlignment="1"/>
    <xf numFmtId="0" fontId="74" fillId="0" borderId="92" xfId="0" applyFont="1" applyFill="1" applyBorder="1" applyAlignment="1">
      <alignment horizontal="left"/>
    </xf>
    <xf numFmtId="0" fontId="0" fillId="0" borderId="92" xfId="0" applyFill="1" applyBorder="1" applyAlignment="1">
      <alignment horizontal="left"/>
    </xf>
    <xf numFmtId="168" fontId="0" fillId="0" borderId="92" xfId="0" applyNumberFormat="1" applyFill="1" applyBorder="1" applyAlignment="1">
      <alignment horizontal="center"/>
    </xf>
    <xf numFmtId="0" fontId="0" fillId="0" borderId="92" xfId="0" applyFill="1" applyBorder="1" applyAlignment="1">
      <alignment horizontal="center"/>
    </xf>
    <xf numFmtId="0" fontId="0" fillId="0" borderId="92" xfId="0" applyNumberFormat="1" applyFill="1" applyBorder="1" applyAlignment="1">
      <alignment horizontal="center"/>
    </xf>
    <xf numFmtId="0" fontId="0" fillId="0" borderId="93" xfId="0" applyFill="1" applyBorder="1" applyAlignment="1">
      <alignment wrapText="1"/>
    </xf>
    <xf numFmtId="168" fontId="5" fillId="0" borderId="93" xfId="0" applyNumberFormat="1" applyFont="1" applyFill="1" applyBorder="1" applyAlignment="1">
      <alignment horizontal="center" wrapText="1"/>
    </xf>
    <xf numFmtId="0" fontId="0" fillId="0" borderId="93" xfId="0" applyFill="1" applyBorder="1" applyAlignment="1">
      <alignment horizontal="left" wrapText="1"/>
    </xf>
    <xf numFmtId="0" fontId="0" fillId="0" borderId="93" xfId="0" applyFill="1" applyBorder="1"/>
    <xf numFmtId="0" fontId="46" fillId="36" borderId="93" xfId="0" applyFont="1" applyFill="1" applyBorder="1"/>
    <xf numFmtId="0" fontId="7" fillId="37" borderId="11" xfId="0" applyFont="1" applyFill="1" applyBorder="1"/>
    <xf numFmtId="0" fontId="46" fillId="37" borderId="11" xfId="0" applyFont="1" applyFill="1" applyBorder="1" applyAlignment="1" applyProtection="1">
      <alignment horizontal="left" vertical="center"/>
      <protection hidden="1"/>
    </xf>
    <xf numFmtId="0" fontId="75" fillId="37" borderId="11" xfId="0" applyFont="1" applyFill="1" applyBorder="1" applyAlignment="1" applyProtection="1">
      <alignment horizontal="left" vertical="center"/>
      <protection hidden="1"/>
    </xf>
    <xf numFmtId="0" fontId="46" fillId="37" borderId="11" xfId="0" applyFont="1" applyFill="1" applyBorder="1" applyAlignment="1" applyProtection="1">
      <alignment vertical="center"/>
      <protection hidden="1"/>
    </xf>
    <xf numFmtId="0" fontId="46" fillId="37" borderId="11" xfId="0" applyFont="1" applyFill="1" applyBorder="1"/>
    <xf numFmtId="0" fontId="46" fillId="34" borderId="11" xfId="0" applyFont="1" applyFill="1" applyBorder="1"/>
    <xf numFmtId="0" fontId="7" fillId="34" borderId="11" xfId="0" applyFont="1" applyFill="1" applyBorder="1" applyAlignment="1"/>
    <xf numFmtId="0" fontId="0" fillId="0" borderId="94" xfId="0" applyBorder="1"/>
    <xf numFmtId="0" fontId="75" fillId="38" borderId="94" xfId="0" applyFont="1" applyFill="1" applyBorder="1"/>
    <xf numFmtId="0" fontId="0" fillId="0" borderId="9" xfId="0" applyBorder="1"/>
    <xf numFmtId="0" fontId="46" fillId="37" borderId="40" xfId="0" applyFont="1" applyFill="1" applyBorder="1" applyAlignment="1" applyProtection="1">
      <alignment vertical="center"/>
      <protection hidden="1"/>
    </xf>
    <xf numFmtId="168" fontId="5" fillId="0" borderId="11" xfId="0" applyNumberFormat="1" applyFont="1" applyFill="1" applyBorder="1" applyAlignment="1">
      <alignment horizontal="center" wrapText="1"/>
    </xf>
    <xf numFmtId="168" fontId="0" fillId="0" borderId="11" xfId="0" applyNumberFormat="1" applyBorder="1"/>
    <xf numFmtId="175" fontId="0" fillId="0" borderId="11" xfId="0" applyNumberFormat="1" applyBorder="1"/>
    <xf numFmtId="0" fontId="77" fillId="0" borderId="0" xfId="42" applyFont="1" applyProtection="1">
      <protection hidden="1"/>
    </xf>
    <xf numFmtId="0" fontId="77" fillId="0" borderId="0" xfId="42" applyFont="1" applyAlignment="1" applyProtection="1">
      <alignment vertical="center"/>
      <protection hidden="1"/>
    </xf>
    <xf numFmtId="0" fontId="77" fillId="0" borderId="0" xfId="42" applyFont="1" applyAlignment="1" applyProtection="1">
      <protection hidden="1"/>
    </xf>
    <xf numFmtId="0" fontId="81" fillId="31" borderId="0" xfId="42" applyFont="1" applyFill="1" applyBorder="1" applyAlignment="1" applyProtection="1">
      <alignment horizontal="centerContinuous" vertical="center"/>
      <protection hidden="1"/>
    </xf>
    <xf numFmtId="0" fontId="82" fillId="31" borderId="0" xfId="42" applyFont="1" applyFill="1" applyBorder="1" applyAlignment="1" applyProtection="1">
      <alignment horizontal="centerContinuous" vertical="center"/>
      <protection hidden="1"/>
    </xf>
    <xf numFmtId="0" fontId="83" fillId="31" borderId="0" xfId="42" applyFont="1" applyFill="1" applyBorder="1" applyAlignment="1" applyProtection="1">
      <alignment horizontal="centerContinuous" vertical="center"/>
      <protection hidden="1"/>
    </xf>
    <xf numFmtId="0" fontId="80" fillId="31" borderId="0" xfId="42" applyFont="1" applyFill="1" applyBorder="1" applyAlignment="1" applyProtection="1">
      <alignment horizontal="centerContinuous" vertical="center"/>
      <protection hidden="1"/>
    </xf>
    <xf numFmtId="0" fontId="77" fillId="31" borderId="0" xfId="42" applyFont="1" applyFill="1" applyBorder="1" applyAlignment="1" applyProtection="1">
      <alignment horizontal="centerContinuous" vertical="center"/>
      <protection hidden="1"/>
    </xf>
    <xf numFmtId="0" fontId="82" fillId="31" borderId="0" xfId="42" applyFont="1" applyFill="1" applyBorder="1" applyAlignment="1" applyProtection="1">
      <alignment horizontal="centerContinuous" vertical="center" wrapText="1"/>
      <protection hidden="1"/>
    </xf>
    <xf numFmtId="0" fontId="84" fillId="31" borderId="0" xfId="42" applyFont="1" applyFill="1" applyBorder="1" applyAlignment="1" applyProtection="1">
      <alignment horizontal="centerContinuous" vertical="center"/>
      <protection hidden="1"/>
    </xf>
    <xf numFmtId="0" fontId="77" fillId="31" borderId="0" xfId="42" applyFont="1" applyFill="1" applyBorder="1" applyProtection="1">
      <protection hidden="1"/>
    </xf>
    <xf numFmtId="0" fontId="78" fillId="31" borderId="0" xfId="42" applyFont="1" applyFill="1" applyBorder="1" applyAlignment="1" applyProtection="1">
      <alignment horizontal="right" wrapText="1"/>
      <protection hidden="1"/>
    </xf>
    <xf numFmtId="0" fontId="87" fillId="31" borderId="0" xfId="42" applyFont="1" applyFill="1" applyBorder="1" applyAlignment="1" applyProtection="1">
      <alignment horizontal="centerContinuous" vertical="center" wrapText="1"/>
      <protection hidden="1"/>
    </xf>
    <xf numFmtId="0" fontId="86" fillId="31" borderId="0" xfId="42" applyFont="1" applyFill="1" applyBorder="1" applyAlignment="1" applyProtection="1">
      <alignment horizontal="centerContinuous" vertical="center"/>
      <protection hidden="1"/>
    </xf>
    <xf numFmtId="0" fontId="87" fillId="31" borderId="0" xfId="42" applyFont="1" applyFill="1" applyBorder="1" applyAlignment="1" applyProtection="1">
      <alignment horizontal="centerContinuous" vertical="center"/>
      <protection hidden="1"/>
    </xf>
    <xf numFmtId="0" fontId="86" fillId="0" borderId="0" xfId="42" applyFont="1" applyAlignment="1" applyProtection="1">
      <alignment vertical="center"/>
      <protection hidden="1"/>
    </xf>
    <xf numFmtId="0" fontId="82" fillId="31" borderId="9" xfId="42" applyFont="1" applyFill="1" applyBorder="1" applyAlignment="1" applyProtection="1">
      <alignment horizontal="left" vertical="center"/>
      <protection hidden="1"/>
    </xf>
    <xf numFmtId="0" fontId="82" fillId="31" borderId="12" xfId="42" applyFont="1" applyFill="1" applyBorder="1" applyAlignment="1" applyProtection="1">
      <alignment horizontal="left" vertical="center"/>
      <protection hidden="1"/>
    </xf>
    <xf numFmtId="0" fontId="82" fillId="31" borderId="10" xfId="42" applyFont="1" applyFill="1" applyBorder="1" applyAlignment="1" applyProtection="1">
      <alignment horizontal="left" vertical="center"/>
      <protection hidden="1"/>
    </xf>
    <xf numFmtId="0" fontId="82" fillId="39" borderId="0" xfId="42" applyFont="1" applyFill="1" applyBorder="1" applyAlignment="1" applyProtection="1">
      <alignment horizontal="center" vertical="center" wrapText="1"/>
      <protection hidden="1"/>
    </xf>
    <xf numFmtId="0" fontId="82" fillId="31" borderId="11" xfId="42" applyFont="1" applyFill="1" applyBorder="1" applyAlignment="1" applyProtection="1">
      <alignment horizontal="left" vertical="center"/>
      <protection hidden="1"/>
    </xf>
    <xf numFmtId="0" fontId="76" fillId="31" borderId="9" xfId="42" applyFont="1" applyFill="1" applyBorder="1" applyAlignment="1" applyProtection="1">
      <alignment horizontal="left" vertical="center"/>
      <protection hidden="1"/>
    </xf>
    <xf numFmtId="0" fontId="76" fillId="31" borderId="12" xfId="42" applyFont="1" applyFill="1" applyBorder="1" applyAlignment="1" applyProtection="1">
      <alignment horizontal="left" vertical="center"/>
      <protection hidden="1"/>
    </xf>
    <xf numFmtId="0" fontId="76" fillId="0" borderId="0" xfId="42" applyFont="1" applyProtection="1">
      <protection hidden="1"/>
    </xf>
    <xf numFmtId="0" fontId="76" fillId="31" borderId="0" xfId="42" applyFont="1" applyFill="1" applyBorder="1" applyProtection="1">
      <protection hidden="1"/>
    </xf>
    <xf numFmtId="0" fontId="82" fillId="31" borderId="0" xfId="42" applyFont="1" applyFill="1" applyBorder="1" applyAlignment="1" applyProtection="1">
      <alignment horizontal="right" wrapText="1"/>
      <protection hidden="1"/>
    </xf>
    <xf numFmtId="0" fontId="76" fillId="31" borderId="0" xfId="42" applyFont="1" applyFill="1" applyBorder="1" applyAlignment="1" applyProtection="1">
      <alignment horizontal="centerContinuous" vertical="center"/>
      <protection hidden="1"/>
    </xf>
    <xf numFmtId="0" fontId="82" fillId="39" borderId="0" xfId="42" applyFont="1" applyFill="1" applyBorder="1" applyAlignment="1" applyProtection="1">
      <alignment horizontal="center" vertical="center"/>
      <protection hidden="1"/>
    </xf>
    <xf numFmtId="0" fontId="76" fillId="31" borderId="12" xfId="42" applyFont="1" applyFill="1" applyBorder="1" applyProtection="1">
      <protection hidden="1"/>
    </xf>
    <xf numFmtId="0" fontId="82" fillId="31" borderId="9" xfId="42" applyFont="1" applyFill="1" applyBorder="1" applyAlignment="1" applyProtection="1">
      <alignment horizontal="left" vertical="center" indent="2"/>
      <protection hidden="1"/>
    </xf>
    <xf numFmtId="0" fontId="77" fillId="31" borderId="96" xfId="42" applyFont="1" applyFill="1" applyBorder="1" applyProtection="1">
      <protection hidden="1"/>
    </xf>
    <xf numFmtId="0" fontId="77" fillId="31" borderId="97" xfId="42" applyFont="1" applyFill="1" applyBorder="1" applyProtection="1">
      <protection hidden="1"/>
    </xf>
    <xf numFmtId="0" fontId="77" fillId="31" borderId="99" xfId="42" applyFont="1" applyFill="1" applyBorder="1" applyProtection="1">
      <protection hidden="1"/>
    </xf>
    <xf numFmtId="0" fontId="80" fillId="31" borderId="98" xfId="42" applyFont="1" applyFill="1" applyBorder="1" applyAlignment="1" applyProtection="1">
      <alignment horizontal="left"/>
      <protection hidden="1"/>
    </xf>
    <xf numFmtId="0" fontId="76" fillId="31" borderId="98" xfId="42" applyFont="1" applyFill="1" applyBorder="1" applyAlignment="1" applyProtection="1">
      <alignment horizontal="left"/>
      <protection hidden="1"/>
    </xf>
    <xf numFmtId="0" fontId="77" fillId="31" borderId="99" xfId="42" applyFont="1" applyFill="1" applyBorder="1" applyAlignment="1" applyProtection="1">
      <alignment vertical="center"/>
      <protection hidden="1"/>
    </xf>
    <xf numFmtId="0" fontId="76" fillId="31" borderId="98" xfId="42" applyFont="1" applyFill="1" applyBorder="1" applyAlignment="1" applyProtection="1">
      <alignment horizontal="centerContinuous"/>
      <protection hidden="1"/>
    </xf>
    <xf numFmtId="0" fontId="86" fillId="31" borderId="98" xfId="42" applyFont="1" applyFill="1" applyBorder="1" applyAlignment="1" applyProtection="1">
      <alignment horizontal="left"/>
      <protection hidden="1"/>
    </xf>
    <xf numFmtId="0" fontId="86" fillId="31" borderId="99" xfId="42" applyFont="1" applyFill="1" applyBorder="1" applyAlignment="1" applyProtection="1">
      <alignment vertical="center"/>
      <protection hidden="1"/>
    </xf>
    <xf numFmtId="0" fontId="77" fillId="31" borderId="99" xfId="42" applyFont="1" applyFill="1" applyBorder="1" applyAlignment="1" applyProtection="1">
      <protection hidden="1"/>
    </xf>
    <xf numFmtId="0" fontId="76" fillId="31" borderId="100" xfId="42" applyFont="1" applyFill="1" applyBorder="1" applyAlignment="1" applyProtection="1">
      <alignment horizontal="center" vertical="center"/>
      <protection hidden="1"/>
    </xf>
    <xf numFmtId="0" fontId="90" fillId="31" borderId="99" xfId="42" applyFont="1" applyFill="1" applyBorder="1" applyProtection="1">
      <protection hidden="1"/>
    </xf>
    <xf numFmtId="0" fontId="76" fillId="31" borderId="99" xfId="42" applyFont="1" applyFill="1" applyBorder="1" applyProtection="1">
      <protection hidden="1"/>
    </xf>
    <xf numFmtId="0" fontId="88" fillId="31" borderId="98" xfId="42" applyFont="1" applyFill="1" applyBorder="1" applyAlignment="1" applyProtection="1">
      <alignment horizontal="left"/>
      <protection hidden="1"/>
    </xf>
    <xf numFmtId="0" fontId="82" fillId="39" borderId="98" xfId="42" applyFont="1" applyFill="1" applyBorder="1" applyAlignment="1" applyProtection="1">
      <alignment horizontal="left" vertical="center"/>
      <protection hidden="1"/>
    </xf>
    <xf numFmtId="0" fontId="76" fillId="31" borderId="101" xfId="42" applyFont="1" applyFill="1" applyBorder="1" applyAlignment="1" applyProtection="1">
      <alignment horizontal="left"/>
      <protection hidden="1"/>
    </xf>
    <xf numFmtId="0" fontId="76" fillId="31" borderId="95" xfId="42" applyFont="1" applyFill="1" applyBorder="1" applyAlignment="1" applyProtection="1">
      <alignment horizontal="left"/>
      <protection hidden="1"/>
    </xf>
    <xf numFmtId="0" fontId="79" fillId="0" borderId="0" xfId="0" applyFont="1" applyProtection="1">
      <protection hidden="1"/>
    </xf>
    <xf numFmtId="0" fontId="91" fillId="0" borderId="0" xfId="0" applyFont="1" applyProtection="1">
      <protection hidden="1"/>
    </xf>
    <xf numFmtId="0" fontId="89" fillId="31" borderId="11" xfId="54" applyFont="1" applyFill="1" applyBorder="1" applyAlignment="1" applyProtection="1">
      <alignment horizontal="center" vertical="center"/>
      <protection hidden="1"/>
    </xf>
    <xf numFmtId="0" fontId="91" fillId="31" borderId="99" xfId="0" applyFont="1" applyFill="1" applyBorder="1" applyProtection="1">
      <protection hidden="1"/>
    </xf>
    <xf numFmtId="0" fontId="92" fillId="39" borderId="99" xfId="0" applyFont="1" applyFill="1" applyBorder="1" applyAlignment="1" applyProtection="1">
      <alignment vertical="center"/>
      <protection hidden="1"/>
    </xf>
    <xf numFmtId="0" fontId="89" fillId="31" borderId="11" xfId="54" applyNumberFormat="1" applyFont="1" applyFill="1" applyBorder="1" applyAlignment="1" applyProtection="1">
      <alignment horizontal="center" vertical="center"/>
      <protection hidden="1"/>
    </xf>
    <xf numFmtId="0" fontId="93" fillId="0" borderId="98" xfId="0" applyFont="1" applyBorder="1" applyProtection="1">
      <protection hidden="1"/>
    </xf>
    <xf numFmtId="0" fontId="93" fillId="0" borderId="0" xfId="0" applyFont="1" applyBorder="1" applyProtection="1">
      <protection hidden="1"/>
    </xf>
    <xf numFmtId="0" fontId="91" fillId="0" borderId="0" xfId="0" applyFont="1" applyBorder="1" applyProtection="1">
      <protection hidden="1"/>
    </xf>
    <xf numFmtId="0" fontId="91" fillId="0" borderId="99" xfId="0" applyFont="1" applyBorder="1" applyProtection="1">
      <protection hidden="1"/>
    </xf>
    <xf numFmtId="0" fontId="79" fillId="0" borderId="0" xfId="0" applyFont="1" applyBorder="1" applyProtection="1">
      <protection hidden="1"/>
    </xf>
    <xf numFmtId="0" fontId="91" fillId="31" borderId="44" xfId="0" applyFont="1" applyFill="1" applyBorder="1" applyProtection="1">
      <protection hidden="1"/>
    </xf>
    <xf numFmtId="0" fontId="79" fillId="0" borderId="99" xfId="0" applyFont="1" applyBorder="1" applyProtection="1">
      <protection hidden="1"/>
    </xf>
    <xf numFmtId="0" fontId="79" fillId="0" borderId="98" xfId="0" applyFont="1" applyBorder="1" applyProtection="1">
      <protection hidden="1"/>
    </xf>
    <xf numFmtId="0" fontId="79" fillId="0" borderId="102" xfId="0" applyFont="1" applyBorder="1" applyProtection="1">
      <protection hidden="1"/>
    </xf>
    <xf numFmtId="0" fontId="79" fillId="0" borderId="103" xfId="0" applyFont="1" applyBorder="1" applyProtection="1">
      <protection hidden="1"/>
    </xf>
    <xf numFmtId="0" fontId="79" fillId="0" borderId="104" xfId="0" applyFont="1" applyBorder="1" applyProtection="1">
      <protection hidden="1"/>
    </xf>
    <xf numFmtId="0" fontId="79" fillId="0" borderId="0" xfId="0" applyFont="1" applyProtection="1">
      <protection locked="0" hidden="1"/>
    </xf>
    <xf numFmtId="0" fontId="89" fillId="31" borderId="11" xfId="54" applyFont="1" applyFill="1" applyBorder="1" applyAlignment="1" applyProtection="1">
      <alignment horizontal="center" vertical="center"/>
      <protection locked="0" hidden="1"/>
    </xf>
    <xf numFmtId="0" fontId="89" fillId="31" borderId="11" xfId="54" applyNumberFormat="1" applyFont="1" applyFill="1" applyBorder="1" applyAlignment="1" applyProtection="1">
      <alignment horizontal="center" vertical="center"/>
      <protection locked="0" hidden="1"/>
    </xf>
    <xf numFmtId="0" fontId="76" fillId="31" borderId="11" xfId="42" applyNumberFormat="1" applyFont="1" applyFill="1" applyBorder="1" applyAlignment="1" applyProtection="1">
      <alignment horizontal="left" vertical="center" indent="1"/>
      <protection hidden="1"/>
    </xf>
    <xf numFmtId="0" fontId="89" fillId="31" borderId="11" xfId="54" applyFont="1" applyFill="1" applyBorder="1" applyAlignment="1" applyProtection="1">
      <alignment horizontal="left" vertical="center" indent="1"/>
      <protection hidden="1"/>
    </xf>
    <xf numFmtId="0" fontId="77" fillId="31" borderId="0" xfId="42" applyFont="1" applyFill="1" applyBorder="1" applyAlignment="1" applyProtection="1">
      <alignment horizontal="center" vertical="center"/>
      <protection hidden="1"/>
    </xf>
    <xf numFmtId="0" fontId="7" fillId="2" borderId="105" xfId="0" applyFont="1" applyFill="1" applyBorder="1"/>
    <xf numFmtId="0" fontId="7" fillId="2" borderId="106" xfId="0" applyFont="1" applyFill="1" applyBorder="1"/>
    <xf numFmtId="0" fontId="7" fillId="2" borderId="107" xfId="0" applyFont="1" applyFill="1" applyBorder="1"/>
    <xf numFmtId="10" fontId="0" fillId="4" borderId="9" xfId="0" applyNumberFormat="1" applyFill="1" applyBorder="1" applyAlignment="1" applyProtection="1">
      <alignment horizontal="center"/>
      <protection locked="0"/>
    </xf>
    <xf numFmtId="10" fontId="0" fillId="4" borderId="11" xfId="0" applyNumberFormat="1" applyFill="1" applyBorder="1" applyAlignment="1" applyProtection="1">
      <alignment horizontal="center"/>
      <protection hidden="1"/>
    </xf>
    <xf numFmtId="0" fontId="46" fillId="0" borderId="0" xfId="0" applyFont="1"/>
    <xf numFmtId="0" fontId="0" fillId="0" borderId="0" xfId="0" applyAlignment="1">
      <alignment vertical="center"/>
    </xf>
    <xf numFmtId="0" fontId="0" fillId="0" borderId="0" xfId="0" applyAlignment="1">
      <alignment vertical="center" wrapText="1"/>
    </xf>
    <xf numFmtId="0" fontId="0" fillId="0" borderId="20" xfId="0" applyBorder="1" applyAlignment="1">
      <alignment horizontal="center" vertical="center"/>
    </xf>
    <xf numFmtId="0" fontId="0" fillId="0" borderId="0" xfId="0" applyAlignment="1"/>
    <xf numFmtId="0" fontId="46" fillId="0" borderId="0" xfId="0" applyFont="1" applyAlignment="1">
      <alignment horizontal="center"/>
    </xf>
    <xf numFmtId="0" fontId="46" fillId="0" borderId="0" xfId="0" applyFont="1" applyAlignment="1"/>
    <xf numFmtId="168" fontId="0" fillId="0" borderId="0" xfId="0" applyNumberFormat="1"/>
    <xf numFmtId="0" fontId="0" fillId="31" borderId="11" xfId="1" applyFont="1" applyFill="1" applyBorder="1" applyAlignment="1" applyProtection="1">
      <alignment horizontal="left" indent="1"/>
      <protection locked="0"/>
    </xf>
    <xf numFmtId="49" fontId="0" fillId="4" borderId="9" xfId="0" applyNumberFormat="1" applyFill="1" applyBorder="1" applyAlignment="1" applyProtection="1">
      <alignment horizontal="center"/>
      <protection locked="0"/>
    </xf>
    <xf numFmtId="0" fontId="7" fillId="34" borderId="11" xfId="0" applyFont="1" applyFill="1" applyBorder="1" applyAlignment="1">
      <alignment horizontal="center"/>
    </xf>
    <xf numFmtId="0" fontId="46" fillId="35" borderId="11" xfId="0" applyFont="1" applyFill="1" applyBorder="1" applyAlignment="1">
      <alignment horizontal="center"/>
    </xf>
    <xf numFmtId="0" fontId="1" fillId="32" borderId="9" xfId="3" applyFont="1" applyFill="1" applyBorder="1" applyAlignment="1">
      <alignment horizontal="center" vertical="top"/>
    </xf>
    <xf numFmtId="0" fontId="1" fillId="32" borderId="10" xfId="3" applyFont="1" applyFill="1" applyBorder="1" applyAlignment="1">
      <alignment horizontal="center" vertical="top"/>
    </xf>
    <xf numFmtId="0" fontId="16" fillId="4" borderId="9" xfId="3" applyFill="1" applyBorder="1" applyAlignment="1">
      <alignment horizontal="left"/>
    </xf>
    <xf numFmtId="0" fontId="16" fillId="4" borderId="10" xfId="3" applyFill="1" applyBorder="1" applyAlignment="1">
      <alignment horizontal="left"/>
    </xf>
    <xf numFmtId="0" fontId="16" fillId="33" borderId="9" xfId="3" applyFill="1" applyBorder="1" applyAlignment="1">
      <alignment horizontal="left"/>
    </xf>
    <xf numFmtId="0" fontId="16" fillId="33" borderId="10" xfId="3" applyFill="1" applyBorder="1" applyAlignment="1">
      <alignment horizontal="left"/>
    </xf>
    <xf numFmtId="0" fontId="43" fillId="30" borderId="0" xfId="0" applyFont="1" applyFill="1" applyAlignment="1">
      <alignment horizontal="center"/>
    </xf>
    <xf numFmtId="0" fontId="0" fillId="4" borderId="11" xfId="0" applyFill="1" applyBorder="1" applyAlignment="1" applyProtection="1">
      <alignment horizontal="left" indent="1"/>
      <protection locked="0"/>
    </xf>
    <xf numFmtId="0" fontId="0" fillId="0" borderId="11" xfId="0" applyFont="1" applyBorder="1" applyAlignment="1" applyProtection="1">
      <alignment horizontal="left" indent="1"/>
      <protection locked="0"/>
    </xf>
    <xf numFmtId="0" fontId="11" fillId="5" borderId="9" xfId="1" applyFont="1" applyFill="1" applyBorder="1" applyAlignment="1" applyProtection="1">
      <alignment horizontal="center"/>
      <protection locked="0"/>
    </xf>
    <xf numFmtId="0" fontId="0" fillId="0" borderId="12" xfId="0" applyFont="1" applyBorder="1" applyProtection="1">
      <protection locked="0"/>
    </xf>
    <xf numFmtId="0" fontId="0" fillId="0" borderId="10" xfId="0" applyFont="1" applyBorder="1" applyProtection="1">
      <protection locked="0"/>
    </xf>
    <xf numFmtId="0" fontId="8" fillId="5" borderId="9" xfId="1" applyFont="1" applyFill="1" applyBorder="1" applyAlignment="1" applyProtection="1">
      <alignment horizontal="left" indent="1"/>
      <protection locked="0"/>
    </xf>
    <xf numFmtId="0" fontId="8" fillId="5" borderId="12" xfId="1" applyFont="1" applyFill="1" applyBorder="1" applyAlignment="1" applyProtection="1">
      <alignment horizontal="left" indent="1"/>
      <protection locked="0"/>
    </xf>
    <xf numFmtId="0" fontId="8" fillId="5" borderId="10" xfId="1" applyFont="1" applyFill="1" applyBorder="1" applyAlignment="1" applyProtection="1">
      <alignment horizontal="left" indent="1"/>
      <protection locked="0"/>
    </xf>
    <xf numFmtId="0" fontId="6" fillId="0" borderId="4" xfId="0" applyFont="1" applyFill="1" applyBorder="1" applyAlignment="1" applyProtection="1">
      <alignment horizontal="center" vertical="center"/>
      <protection hidden="1"/>
    </xf>
    <xf numFmtId="0" fontId="6" fillId="0" borderId="0" xfId="0" applyFont="1" applyFill="1" applyBorder="1" applyAlignment="1" applyProtection="1">
      <alignment horizontal="center" vertical="center"/>
      <protection hidden="1"/>
    </xf>
    <xf numFmtId="0" fontId="6" fillId="0" borderId="5" xfId="0" applyFont="1" applyFill="1" applyBorder="1" applyAlignment="1" applyProtection="1">
      <alignment horizontal="center" vertical="center"/>
      <protection hidden="1"/>
    </xf>
    <xf numFmtId="0" fontId="6" fillId="0" borderId="6" xfId="0" applyFont="1" applyFill="1" applyBorder="1" applyAlignment="1" applyProtection="1">
      <alignment horizontal="center" vertical="center"/>
      <protection hidden="1"/>
    </xf>
    <xf numFmtId="0" fontId="6" fillId="0" borderId="7" xfId="0" applyFont="1" applyFill="1" applyBorder="1" applyAlignment="1" applyProtection="1">
      <alignment horizontal="center" vertical="center"/>
      <protection hidden="1"/>
    </xf>
    <xf numFmtId="0" fontId="6" fillId="0" borderId="8" xfId="0" applyFont="1" applyFill="1" applyBorder="1" applyAlignment="1" applyProtection="1">
      <alignment horizontal="center" vertical="center"/>
      <protection hidden="1"/>
    </xf>
    <xf numFmtId="0" fontId="0" fillId="4" borderId="9" xfId="0" applyFill="1" applyBorder="1" applyAlignment="1" applyProtection="1">
      <alignment horizontal="left" indent="1"/>
      <protection locked="0"/>
    </xf>
    <xf numFmtId="0" fontId="0" fillId="0" borderId="12" xfId="0" applyFont="1" applyBorder="1" applyAlignment="1" applyProtection="1">
      <alignment horizontal="left" indent="1"/>
      <protection locked="0"/>
    </xf>
    <xf numFmtId="0" fontId="0" fillId="0" borderId="10" xfId="0" applyFont="1" applyBorder="1" applyAlignment="1" applyProtection="1">
      <alignment horizontal="left" indent="1"/>
      <protection locked="0"/>
    </xf>
    <xf numFmtId="0" fontId="0" fillId="3" borderId="9" xfId="0" applyFont="1" applyFill="1" applyBorder="1" applyAlignment="1" applyProtection="1">
      <alignment horizontal="left" indent="1"/>
      <protection hidden="1"/>
    </xf>
    <xf numFmtId="0" fontId="0" fillId="0" borderId="12" xfId="0" applyFont="1" applyBorder="1" applyAlignment="1" applyProtection="1">
      <alignment horizontal="left" indent="1"/>
      <protection hidden="1"/>
    </xf>
    <xf numFmtId="0" fontId="0" fillId="0" borderId="10" xfId="0" applyFont="1" applyBorder="1" applyAlignment="1" applyProtection="1">
      <alignment horizontal="left" indent="1"/>
      <protection hidden="1"/>
    </xf>
    <xf numFmtId="14" fontId="0" fillId="4" borderId="11" xfId="0" applyNumberFormat="1" applyFill="1" applyBorder="1" applyAlignment="1" applyProtection="1">
      <alignment horizontal="left" indent="1"/>
      <protection locked="0"/>
    </xf>
    <xf numFmtId="0" fontId="44" fillId="0" borderId="40" xfId="0" applyFont="1" applyBorder="1" applyAlignment="1" applyProtection="1">
      <alignment horizontal="left" vertical="center" wrapText="1" indent="4"/>
      <protection hidden="1"/>
    </xf>
    <xf numFmtId="0" fontId="45" fillId="0" borderId="18" xfId="0" applyFont="1" applyBorder="1" applyAlignment="1" applyProtection="1">
      <alignment horizontal="left" vertical="center" wrapText="1" indent="4"/>
      <protection hidden="1"/>
    </xf>
    <xf numFmtId="0" fontId="45" fillId="0" borderId="19" xfId="0" applyFont="1" applyBorder="1" applyAlignment="1" applyProtection="1">
      <alignment horizontal="left" vertical="center" wrapText="1" indent="4"/>
      <protection hidden="1"/>
    </xf>
    <xf numFmtId="49" fontId="0" fillId="4" borderId="9" xfId="0" applyNumberFormat="1" applyFill="1" applyBorder="1" applyAlignment="1" applyProtection="1">
      <alignment horizontal="left" indent="1"/>
      <protection locked="0"/>
    </xf>
    <xf numFmtId="0" fontId="0" fillId="0" borderId="12" xfId="0" applyBorder="1" applyProtection="1">
      <protection locked="0"/>
    </xf>
    <xf numFmtId="0" fontId="0" fillId="0" borderId="10" xfId="0" applyBorder="1" applyProtection="1">
      <protection locked="0"/>
    </xf>
    <xf numFmtId="166" fontId="0" fillId="4" borderId="9" xfId="0" applyNumberFormat="1" applyFill="1" applyBorder="1" applyAlignment="1" applyProtection="1">
      <alignment horizontal="left" indent="1"/>
      <protection locked="0"/>
    </xf>
    <xf numFmtId="165" fontId="0" fillId="4" borderId="9" xfId="0" applyNumberFormat="1" applyFont="1" applyFill="1" applyBorder="1" applyAlignment="1" applyProtection="1">
      <alignment horizontal="left" indent="1"/>
      <protection locked="0"/>
    </xf>
    <xf numFmtId="165" fontId="0" fillId="0" borderId="12" xfId="0" applyNumberFormat="1" applyFont="1" applyBorder="1" applyAlignment="1" applyProtection="1">
      <alignment horizontal="left" indent="1"/>
      <protection locked="0"/>
    </xf>
    <xf numFmtId="165" fontId="0" fillId="0" borderId="10" xfId="0" applyNumberFormat="1" applyFont="1" applyBorder="1" applyAlignment="1" applyProtection="1">
      <alignment horizontal="left" indent="1"/>
      <protection locked="0"/>
    </xf>
    <xf numFmtId="49" fontId="0" fillId="4" borderId="11" xfId="0" applyNumberFormat="1" applyFill="1" applyBorder="1" applyAlignment="1" applyProtection="1">
      <alignment horizontal="left" indent="1"/>
      <protection locked="0"/>
    </xf>
    <xf numFmtId="0" fontId="0" fillId="0" borderId="11" xfId="0" applyNumberFormat="1" applyFont="1" applyBorder="1" applyAlignment="1" applyProtection="1">
      <alignment horizontal="left" indent="1"/>
      <protection locked="0"/>
    </xf>
    <xf numFmtId="49" fontId="0" fillId="0" borderId="11" xfId="0" applyNumberFormat="1" applyFont="1" applyBorder="1" applyAlignment="1" applyProtection="1">
      <alignment horizontal="left" indent="1"/>
      <protection locked="0"/>
    </xf>
    <xf numFmtId="0" fontId="47" fillId="0" borderId="4" xfId="0" applyFont="1" applyFill="1" applyBorder="1" applyAlignment="1" applyProtection="1">
      <alignment horizontal="center" vertical="center"/>
      <protection hidden="1"/>
    </xf>
    <xf numFmtId="0" fontId="47" fillId="0" borderId="0" xfId="0" applyFont="1" applyFill="1" applyBorder="1" applyAlignment="1" applyProtection="1">
      <alignment horizontal="center" vertical="center"/>
      <protection hidden="1"/>
    </xf>
    <xf numFmtId="0" fontId="47" fillId="0" borderId="5" xfId="0" applyFont="1" applyFill="1" applyBorder="1" applyAlignment="1" applyProtection="1">
      <alignment horizontal="center" vertical="center"/>
      <protection hidden="1"/>
    </xf>
    <xf numFmtId="0" fontId="47" fillId="0" borderId="6" xfId="0" applyFont="1" applyFill="1" applyBorder="1" applyAlignment="1" applyProtection="1">
      <alignment horizontal="center" vertical="center"/>
      <protection hidden="1"/>
    </xf>
    <xf numFmtId="0" fontId="47" fillId="0" borderId="7" xfId="0" applyFont="1" applyFill="1" applyBorder="1" applyAlignment="1" applyProtection="1">
      <alignment horizontal="center" vertical="center"/>
      <protection hidden="1"/>
    </xf>
    <xf numFmtId="0" fontId="47" fillId="0" borderId="8" xfId="0" applyFont="1" applyFill="1" applyBorder="1" applyAlignment="1" applyProtection="1">
      <alignment horizontal="center" vertical="center"/>
      <protection hidden="1"/>
    </xf>
    <xf numFmtId="0" fontId="0" fillId="3" borderId="9" xfId="0" applyFont="1" applyFill="1" applyBorder="1" applyAlignment="1" applyProtection="1">
      <alignment horizontal="left" vertical="center" indent="1"/>
      <protection hidden="1"/>
    </xf>
    <xf numFmtId="0" fontId="0" fillId="3" borderId="12" xfId="0" applyFont="1" applyFill="1" applyBorder="1" applyAlignment="1" applyProtection="1">
      <alignment horizontal="left" vertical="center" indent="1"/>
      <protection hidden="1"/>
    </xf>
    <xf numFmtId="0" fontId="0" fillId="3" borderId="10" xfId="0" applyFont="1" applyFill="1" applyBorder="1" applyAlignment="1" applyProtection="1">
      <alignment horizontal="left" vertical="center" indent="1"/>
      <protection hidden="1"/>
    </xf>
    <xf numFmtId="0" fontId="0" fillId="4" borderId="9" xfId="0" applyFont="1" applyFill="1" applyBorder="1" applyAlignment="1" applyProtection="1">
      <alignment horizontal="left" indent="1"/>
      <protection locked="0"/>
    </xf>
    <xf numFmtId="0" fontId="0" fillId="4" borderId="12" xfId="0" applyFont="1" applyFill="1" applyBorder="1" applyAlignment="1" applyProtection="1">
      <alignment horizontal="left" indent="1"/>
      <protection locked="0"/>
    </xf>
    <xf numFmtId="0" fontId="0" fillId="4" borderId="10" xfId="0" applyFont="1" applyFill="1" applyBorder="1" applyAlignment="1" applyProtection="1">
      <alignment horizontal="left" indent="1"/>
      <protection locked="0"/>
    </xf>
    <xf numFmtId="0" fontId="0" fillId="0" borderId="0" xfId="0" applyBorder="1" applyAlignment="1" applyProtection="1">
      <alignment horizontal="left" wrapText="1"/>
      <protection hidden="1"/>
    </xf>
    <xf numFmtId="0" fontId="0" fillId="0" borderId="0" xfId="0" applyFont="1" applyBorder="1" applyAlignment="1" applyProtection="1">
      <alignment horizontal="left"/>
      <protection hidden="1"/>
    </xf>
    <xf numFmtId="1" fontId="15" fillId="0" borderId="9" xfId="54" applyNumberFormat="1" applyFont="1" applyBorder="1" applyAlignment="1" applyProtection="1">
      <alignment horizontal="left" vertical="center" indent="1"/>
      <protection hidden="1"/>
    </xf>
    <xf numFmtId="1" fontId="15" fillId="0" borderId="10" xfId="54" applyNumberFormat="1" applyFont="1" applyBorder="1" applyAlignment="1" applyProtection="1">
      <alignment horizontal="left" vertical="center" indent="1"/>
      <protection hidden="1"/>
    </xf>
    <xf numFmtId="0" fontId="15" fillId="0" borderId="9" xfId="54" applyFont="1" applyBorder="1" applyAlignment="1" applyProtection="1">
      <alignment horizontal="left" vertical="center" indent="1"/>
      <protection locked="0"/>
    </xf>
    <xf numFmtId="0" fontId="15" fillId="0" borderId="12" xfId="54" applyFont="1" applyBorder="1" applyAlignment="1" applyProtection="1">
      <alignment horizontal="left" vertical="center" indent="1"/>
      <protection locked="0"/>
    </xf>
    <xf numFmtId="0" fontId="15" fillId="0" borderId="10" xfId="54" applyFont="1" applyBorder="1" applyAlignment="1" applyProtection="1">
      <alignment horizontal="left" vertical="center" indent="1"/>
      <protection locked="0"/>
    </xf>
    <xf numFmtId="0" fontId="15" fillId="0" borderId="9" xfId="54" applyFont="1" applyBorder="1" applyAlignment="1" applyProtection="1">
      <alignment horizontal="left" vertical="center" indent="1"/>
      <protection hidden="1"/>
    </xf>
    <xf numFmtId="0" fontId="15" fillId="0" borderId="10" xfId="54" applyFont="1" applyBorder="1" applyAlignment="1" applyProtection="1">
      <alignment horizontal="left" vertical="center" indent="1"/>
      <protection hidden="1"/>
    </xf>
    <xf numFmtId="174" fontId="15" fillId="0" borderId="9" xfId="54" applyNumberFormat="1" applyFont="1" applyBorder="1" applyAlignment="1" applyProtection="1">
      <alignment horizontal="left" vertical="center" indent="1"/>
      <protection hidden="1"/>
    </xf>
    <xf numFmtId="174" fontId="15" fillId="0" borderId="10" xfId="54" applyNumberFormat="1" applyFont="1" applyBorder="1" applyAlignment="1" applyProtection="1">
      <alignment horizontal="left" vertical="center" indent="1"/>
      <protection hidden="1"/>
    </xf>
    <xf numFmtId="0" fontId="66" fillId="0" borderId="0" xfId="54" applyFont="1" applyBorder="1" applyAlignment="1" applyProtection="1">
      <alignment horizontal="center"/>
      <protection hidden="1"/>
    </xf>
    <xf numFmtId="0" fontId="15" fillId="0" borderId="9" xfId="54" applyFont="1" applyBorder="1" applyAlignment="1" applyProtection="1">
      <alignment horizontal="center" vertical="center"/>
      <protection locked="0"/>
    </xf>
    <xf numFmtId="0" fontId="15" fillId="0" borderId="10" xfId="54" applyFont="1" applyBorder="1" applyAlignment="1" applyProtection="1">
      <alignment horizontal="center" vertical="center"/>
      <protection locked="0"/>
    </xf>
    <xf numFmtId="0" fontId="15" fillId="0" borderId="9" xfId="54" applyFont="1" applyBorder="1" applyAlignment="1" applyProtection="1">
      <alignment horizontal="left" vertical="center"/>
      <protection locked="0"/>
    </xf>
    <xf numFmtId="0" fontId="15" fillId="0" borderId="12" xfId="54" applyFont="1" applyBorder="1" applyAlignment="1" applyProtection="1">
      <alignment horizontal="left" vertical="center"/>
      <protection locked="0"/>
    </xf>
    <xf numFmtId="0" fontId="15" fillId="0" borderId="10" xfId="54" applyFont="1" applyBorder="1" applyAlignment="1" applyProtection="1">
      <alignment horizontal="left" vertical="center"/>
      <protection locked="0"/>
    </xf>
    <xf numFmtId="0" fontId="15" fillId="0" borderId="12" xfId="54" applyFont="1" applyBorder="1" applyAlignment="1" applyProtection="1">
      <alignment horizontal="center" vertical="center"/>
      <protection locked="0"/>
    </xf>
    <xf numFmtId="0" fontId="66" fillId="0" borderId="0" xfId="54" applyFont="1" applyBorder="1" applyAlignment="1" applyProtection="1">
      <alignment horizontal="center" vertical="center"/>
      <protection hidden="1"/>
    </xf>
    <xf numFmtId="0" fontId="15" fillId="0" borderId="0" xfId="54" applyFont="1" applyBorder="1" applyAlignment="1" applyProtection="1">
      <alignment horizontal="left" vertical="top" wrapText="1"/>
      <protection hidden="1"/>
    </xf>
    <xf numFmtId="167" fontId="15" fillId="0" borderId="9" xfId="54" applyNumberFormat="1" applyFont="1" applyBorder="1" applyAlignment="1" applyProtection="1">
      <alignment horizontal="left" vertical="center"/>
      <protection hidden="1"/>
    </xf>
    <xf numFmtId="167" fontId="15" fillId="0" borderId="10" xfId="54" applyNumberFormat="1" applyFont="1" applyBorder="1" applyAlignment="1" applyProtection="1">
      <alignment horizontal="left" vertical="center"/>
      <protection hidden="1"/>
    </xf>
    <xf numFmtId="1" fontId="15" fillId="6" borderId="9" xfId="42" applyNumberFormat="1" applyFont="1" applyFill="1" applyBorder="1" applyAlignment="1" applyProtection="1">
      <alignment horizontal="left" vertical="center"/>
      <protection hidden="1"/>
    </xf>
    <xf numFmtId="1" fontId="15" fillId="6" borderId="12" xfId="42" applyNumberFormat="1" applyFont="1" applyFill="1" applyBorder="1" applyAlignment="1" applyProtection="1">
      <alignment horizontal="left" vertical="center"/>
      <protection hidden="1"/>
    </xf>
    <xf numFmtId="1" fontId="15" fillId="6" borderId="10" xfId="42" applyNumberFormat="1" applyFont="1" applyFill="1" applyBorder="1" applyAlignment="1" applyProtection="1">
      <alignment horizontal="left" vertical="center"/>
      <protection hidden="1"/>
    </xf>
    <xf numFmtId="0" fontId="62" fillId="0" borderId="9" xfId="54" applyFont="1" applyBorder="1" applyAlignment="1" applyProtection="1">
      <alignment horizontal="left" vertical="center"/>
      <protection hidden="1"/>
    </xf>
    <xf numFmtId="0" fontId="62" fillId="0" borderId="12" xfId="54" applyFont="1" applyBorder="1" applyAlignment="1" applyProtection="1">
      <alignment horizontal="left" vertical="center"/>
      <protection hidden="1"/>
    </xf>
    <xf numFmtId="0" fontId="62" fillId="0" borderId="10" xfId="54" applyFont="1" applyBorder="1" applyAlignment="1" applyProtection="1">
      <alignment horizontal="left" vertical="center"/>
      <protection hidden="1"/>
    </xf>
    <xf numFmtId="0" fontId="15" fillId="0" borderId="0" xfId="54" applyFont="1" applyBorder="1" applyAlignment="1" applyProtection="1">
      <alignment horizontal="left" wrapText="1"/>
      <protection hidden="1"/>
    </xf>
    <xf numFmtId="168" fontId="15" fillId="0" borderId="9" xfId="54" applyNumberFormat="1" applyFont="1" applyBorder="1" applyAlignment="1" applyProtection="1">
      <alignment horizontal="center" vertical="center"/>
      <protection locked="0"/>
    </xf>
    <xf numFmtId="168" fontId="15" fillId="0" borderId="10" xfId="54" applyNumberFormat="1" applyFont="1" applyBorder="1" applyAlignment="1" applyProtection="1">
      <alignment horizontal="center" vertical="center"/>
      <protection locked="0"/>
    </xf>
    <xf numFmtId="0" fontId="53" fillId="6" borderId="0" xfId="42" applyFont="1" applyFill="1" applyBorder="1" applyAlignment="1" applyProtection="1">
      <alignment horizontal="center" wrapText="1"/>
      <protection hidden="1"/>
    </xf>
    <xf numFmtId="0" fontId="53" fillId="6" borderId="50" xfId="42" applyFont="1" applyFill="1" applyBorder="1" applyAlignment="1" applyProtection="1">
      <alignment horizontal="center" wrapText="1"/>
      <protection hidden="1"/>
    </xf>
    <xf numFmtId="0" fontId="48" fillId="6" borderId="0" xfId="42" applyFont="1" applyFill="1" applyBorder="1" applyAlignment="1" applyProtection="1">
      <alignment horizontal="right" wrapText="1"/>
      <protection hidden="1"/>
    </xf>
    <xf numFmtId="0" fontId="48" fillId="6" borderId="50" xfId="42" applyFont="1" applyFill="1" applyBorder="1" applyAlignment="1" applyProtection="1">
      <alignment horizontal="right" wrapText="1"/>
      <protection hidden="1"/>
    </xf>
    <xf numFmtId="0" fontId="53" fillId="6" borderId="53" xfId="42" applyFont="1" applyFill="1" applyBorder="1" applyAlignment="1" applyProtection="1">
      <alignment horizontal="left" wrapText="1" indent="2"/>
      <protection hidden="1"/>
    </xf>
    <xf numFmtId="0" fontId="53" fillId="6" borderId="54" xfId="42" applyFont="1" applyFill="1" applyBorder="1" applyAlignment="1" applyProtection="1">
      <alignment horizontal="left" wrapText="1" indent="2"/>
      <protection hidden="1"/>
    </xf>
    <xf numFmtId="0" fontId="48" fillId="6" borderId="70" xfId="42" applyFont="1" applyFill="1" applyBorder="1" applyAlignment="1" applyProtection="1">
      <alignment horizontal="left"/>
      <protection hidden="1"/>
    </xf>
    <xf numFmtId="0" fontId="48" fillId="6" borderId="71" xfId="42" applyFont="1" applyFill="1" applyBorder="1" applyAlignment="1" applyProtection="1">
      <alignment horizontal="left"/>
      <protection hidden="1"/>
    </xf>
    <xf numFmtId="0" fontId="53" fillId="6" borderId="63" xfId="42" applyFont="1" applyFill="1" applyBorder="1" applyAlignment="1" applyProtection="1">
      <alignment horizontal="center" vertical="center"/>
      <protection hidden="1"/>
    </xf>
    <xf numFmtId="0" fontId="53" fillId="6" borderId="64" xfId="42" applyFont="1" applyFill="1" applyBorder="1" applyAlignment="1" applyProtection="1">
      <alignment horizontal="center" vertical="center"/>
      <protection hidden="1"/>
    </xf>
    <xf numFmtId="0" fontId="53" fillId="6" borderId="58" xfId="42" applyFont="1" applyFill="1" applyBorder="1" applyAlignment="1" applyProtection="1">
      <alignment horizontal="center" vertical="center"/>
      <protection hidden="1"/>
    </xf>
    <xf numFmtId="0" fontId="48" fillId="6" borderId="49" xfId="42" applyFont="1" applyFill="1" applyBorder="1" applyAlignment="1" applyProtection="1">
      <alignment horizontal="left" wrapText="1"/>
      <protection hidden="1"/>
    </xf>
    <xf numFmtId="0" fontId="48" fillId="6" borderId="0" xfId="42" applyFont="1" applyFill="1" applyBorder="1" applyAlignment="1" applyProtection="1">
      <alignment horizontal="left" wrapText="1"/>
      <protection hidden="1"/>
    </xf>
    <xf numFmtId="0" fontId="48" fillId="6" borderId="50" xfId="42" applyFont="1" applyFill="1" applyBorder="1" applyAlignment="1" applyProtection="1">
      <alignment horizontal="left" wrapText="1"/>
      <protection hidden="1"/>
    </xf>
    <xf numFmtId="0" fontId="48" fillId="6" borderId="0" xfId="42" applyFont="1" applyFill="1" applyBorder="1" applyAlignment="1" applyProtection="1">
      <alignment horizontal="center" wrapText="1"/>
      <protection hidden="1"/>
    </xf>
    <xf numFmtId="0" fontId="48" fillId="6" borderId="51" xfId="42" applyFont="1" applyFill="1" applyBorder="1" applyAlignment="1" applyProtection="1">
      <alignment horizontal="center"/>
      <protection hidden="1"/>
    </xf>
    <xf numFmtId="0" fontId="48" fillId="6" borderId="48" xfId="42" applyFont="1" applyFill="1" applyBorder="1" applyAlignment="1" applyProtection="1">
      <alignment horizontal="center"/>
      <protection hidden="1"/>
    </xf>
    <xf numFmtId="0" fontId="48" fillId="6" borderId="65" xfId="42" applyFont="1" applyFill="1" applyBorder="1" applyAlignment="1" applyProtection="1">
      <alignment horizontal="center"/>
      <protection hidden="1"/>
    </xf>
    <xf numFmtId="0" fontId="48" fillId="6" borderId="51" xfId="42" applyFont="1" applyFill="1" applyBorder="1" applyAlignment="1" applyProtection="1">
      <alignment horizontal="center" wrapText="1"/>
      <protection hidden="1"/>
    </xf>
    <xf numFmtId="0" fontId="48" fillId="6" borderId="65" xfId="42" applyFont="1" applyFill="1" applyBorder="1" applyAlignment="1" applyProtection="1">
      <alignment horizontal="center" wrapText="1"/>
      <protection hidden="1"/>
    </xf>
    <xf numFmtId="0" fontId="48" fillId="31" borderId="51" xfId="42" applyFont="1" applyFill="1" applyBorder="1" applyAlignment="1" applyProtection="1">
      <alignment horizontal="center"/>
      <protection hidden="1"/>
    </xf>
    <xf numFmtId="0" fontId="48" fillId="31" borderId="48" xfId="42" applyFont="1" applyFill="1" applyBorder="1" applyAlignment="1" applyProtection="1">
      <alignment horizontal="center"/>
      <protection hidden="1"/>
    </xf>
    <xf numFmtId="0" fontId="48" fillId="31" borderId="65" xfId="42" applyFont="1" applyFill="1" applyBorder="1" applyAlignment="1" applyProtection="1">
      <alignment horizontal="center"/>
      <protection hidden="1"/>
    </xf>
    <xf numFmtId="0" fontId="48" fillId="31" borderId="51" xfId="42" applyFont="1" applyFill="1" applyBorder="1" applyAlignment="1" applyProtection="1">
      <alignment horizontal="center" wrapText="1"/>
      <protection hidden="1"/>
    </xf>
    <xf numFmtId="0" fontId="48" fillId="31" borderId="65" xfId="42" applyFont="1" applyFill="1" applyBorder="1" applyAlignment="1" applyProtection="1">
      <alignment horizontal="center" wrapText="1"/>
      <protection hidden="1"/>
    </xf>
    <xf numFmtId="0" fontId="48" fillId="31" borderId="72" xfId="42" applyFont="1" applyFill="1" applyBorder="1" applyAlignment="1" applyProtection="1">
      <alignment horizontal="center"/>
      <protection hidden="1"/>
    </xf>
    <xf numFmtId="0" fontId="48" fillId="31" borderId="76" xfId="42" applyFont="1" applyFill="1" applyBorder="1" applyAlignment="1" applyProtection="1">
      <alignment horizontal="center"/>
      <protection hidden="1"/>
    </xf>
    <xf numFmtId="0" fontId="48" fillId="31" borderId="77" xfId="42" applyFont="1" applyFill="1" applyBorder="1" applyAlignment="1" applyProtection="1">
      <alignment horizontal="center"/>
      <protection hidden="1"/>
    </xf>
    <xf numFmtId="0" fontId="48" fillId="31" borderId="72" xfId="42" applyFont="1" applyFill="1" applyBorder="1" applyAlignment="1" applyProtection="1">
      <alignment horizontal="center" wrapText="1"/>
      <protection hidden="1"/>
    </xf>
    <xf numFmtId="0" fontId="48" fillId="31" borderId="77" xfId="42" applyFont="1" applyFill="1" applyBorder="1" applyAlignment="1" applyProtection="1">
      <alignment horizontal="center" wrapText="1"/>
      <protection hidden="1"/>
    </xf>
    <xf numFmtId="0" fontId="48" fillId="6" borderId="63" xfId="42" applyFont="1" applyFill="1" applyBorder="1" applyAlignment="1" applyProtection="1">
      <alignment horizontal="center" wrapText="1"/>
      <protection hidden="1"/>
    </xf>
    <xf numFmtId="0" fontId="48" fillId="6" borderId="64" xfId="42" applyFont="1" applyFill="1" applyBorder="1" applyAlignment="1" applyProtection="1">
      <alignment horizontal="center" wrapText="1"/>
      <protection hidden="1"/>
    </xf>
    <xf numFmtId="0" fontId="48" fillId="6" borderId="58" xfId="42" applyFont="1" applyFill="1" applyBorder="1" applyAlignment="1" applyProtection="1">
      <alignment horizontal="center" wrapText="1"/>
      <protection hidden="1"/>
    </xf>
    <xf numFmtId="0" fontId="48" fillId="6" borderId="79" xfId="42" applyFont="1" applyFill="1" applyBorder="1" applyAlignment="1" applyProtection="1">
      <alignment horizontal="left" wrapText="1"/>
      <protection hidden="1"/>
    </xf>
    <xf numFmtId="0" fontId="48" fillId="6" borderId="78" xfId="42" applyFont="1" applyFill="1" applyBorder="1" applyAlignment="1" applyProtection="1">
      <alignment horizontal="left" wrapText="1"/>
      <protection hidden="1"/>
    </xf>
    <xf numFmtId="0" fontId="48" fillId="6" borderId="70" xfId="42" applyNumberFormat="1" applyFont="1" applyFill="1" applyBorder="1" applyAlignment="1" applyProtection="1">
      <alignment horizontal="left" wrapText="1"/>
      <protection hidden="1"/>
    </xf>
    <xf numFmtId="0" fontId="48" fillId="6" borderId="75" xfId="42" applyNumberFormat="1" applyFont="1" applyFill="1" applyBorder="1" applyAlignment="1" applyProtection="1">
      <alignment horizontal="left" wrapText="1"/>
      <protection hidden="1"/>
    </xf>
    <xf numFmtId="0" fontId="48" fillId="6" borderId="71" xfId="42" applyNumberFormat="1" applyFont="1" applyFill="1" applyBorder="1" applyAlignment="1" applyProtection="1">
      <alignment horizontal="left" wrapText="1"/>
      <protection hidden="1"/>
    </xf>
    <xf numFmtId="0" fontId="26" fillId="0" borderId="49" xfId="42" applyFont="1" applyBorder="1" applyAlignment="1" applyProtection="1">
      <alignment horizontal="left" vertical="top" wrapText="1"/>
      <protection hidden="1"/>
    </xf>
    <xf numFmtId="0" fontId="26" fillId="0" borderId="0" xfId="42" applyFont="1" applyBorder="1" applyAlignment="1" applyProtection="1">
      <alignment horizontal="left" vertical="top" wrapText="1"/>
      <protection hidden="1"/>
    </xf>
    <xf numFmtId="0" fontId="48" fillId="6" borderId="70" xfId="42" applyFont="1" applyFill="1" applyBorder="1" applyAlignment="1" applyProtection="1">
      <alignment horizontal="left" wrapText="1"/>
      <protection hidden="1"/>
    </xf>
    <xf numFmtId="0" fontId="48" fillId="6" borderId="71" xfId="42" applyFont="1" applyFill="1" applyBorder="1" applyAlignment="1" applyProtection="1">
      <alignment horizontal="left" wrapText="1"/>
      <protection hidden="1"/>
    </xf>
    <xf numFmtId="0" fontId="48" fillId="6" borderId="72" xfId="42" applyFont="1" applyFill="1" applyBorder="1" applyAlignment="1" applyProtection="1">
      <alignment horizontal="left" wrapText="1"/>
      <protection hidden="1"/>
    </xf>
    <xf numFmtId="0" fontId="48" fillId="6" borderId="77" xfId="42" applyFont="1" applyFill="1" applyBorder="1" applyAlignment="1" applyProtection="1">
      <alignment horizontal="left" wrapText="1"/>
      <protection hidden="1"/>
    </xf>
    <xf numFmtId="0" fontId="48" fillId="6" borderId="72" xfId="42" applyNumberFormat="1" applyFont="1" applyFill="1" applyBorder="1" applyAlignment="1" applyProtection="1">
      <alignment horizontal="left" wrapText="1"/>
      <protection hidden="1"/>
    </xf>
    <xf numFmtId="0" fontId="48" fillId="6" borderId="76" xfId="42" applyNumberFormat="1" applyFont="1" applyFill="1" applyBorder="1" applyAlignment="1" applyProtection="1">
      <alignment horizontal="left" wrapText="1"/>
      <protection hidden="1"/>
    </xf>
    <xf numFmtId="0" fontId="48" fillId="6" borderId="77" xfId="42" applyNumberFormat="1" applyFont="1" applyFill="1" applyBorder="1" applyAlignment="1" applyProtection="1">
      <alignment horizontal="left" wrapText="1"/>
      <protection hidden="1"/>
    </xf>
    <xf numFmtId="0" fontId="48" fillId="6" borderId="81" xfId="42" applyNumberFormat="1" applyFont="1" applyFill="1" applyBorder="1" applyAlignment="1" applyProtection="1">
      <alignment horizontal="left" wrapText="1"/>
      <protection hidden="1"/>
    </xf>
    <xf numFmtId="0" fontId="48" fillId="6" borderId="84" xfId="42" applyNumberFormat="1" applyFont="1" applyFill="1" applyBorder="1" applyAlignment="1" applyProtection="1">
      <alignment horizontal="left" wrapText="1"/>
      <protection hidden="1"/>
    </xf>
    <xf numFmtId="0" fontId="48" fillId="6" borderId="81" xfId="42" applyNumberFormat="1" applyFont="1" applyFill="1" applyBorder="1" applyAlignment="1" applyProtection="1">
      <alignment horizontal="left"/>
      <protection hidden="1"/>
    </xf>
    <xf numFmtId="0" fontId="48" fillId="6" borderId="84" xfId="42" applyNumberFormat="1" applyFont="1" applyFill="1" applyBorder="1" applyAlignment="1" applyProtection="1">
      <alignment horizontal="left"/>
      <protection hidden="1"/>
    </xf>
    <xf numFmtId="0" fontId="26" fillId="0" borderId="58" xfId="42" applyBorder="1" applyProtection="1">
      <protection hidden="1"/>
    </xf>
    <xf numFmtId="0" fontId="26" fillId="0" borderId="64" xfId="42" applyBorder="1" applyProtection="1">
      <protection hidden="1"/>
    </xf>
    <xf numFmtId="0" fontId="48" fillId="6" borderId="72" xfId="42" applyFont="1" applyFill="1" applyBorder="1" applyAlignment="1" applyProtection="1">
      <alignment horizontal="left"/>
      <protection hidden="1"/>
    </xf>
    <xf numFmtId="0" fontId="48" fillId="6" borderId="77" xfId="42" applyFont="1" applyFill="1" applyBorder="1" applyAlignment="1" applyProtection="1">
      <alignment horizontal="left"/>
      <protection hidden="1"/>
    </xf>
    <xf numFmtId="0" fontId="48" fillId="6" borderId="82" xfId="42" applyNumberFormat="1" applyFont="1" applyFill="1" applyBorder="1" applyAlignment="1" applyProtection="1">
      <alignment horizontal="left"/>
      <protection hidden="1"/>
    </xf>
    <xf numFmtId="0" fontId="48" fillId="6" borderId="83" xfId="42" applyNumberFormat="1" applyFont="1" applyFill="1" applyBorder="1" applyAlignment="1" applyProtection="1">
      <alignment horizontal="left"/>
      <protection hidden="1"/>
    </xf>
    <xf numFmtId="0" fontId="48" fillId="6" borderId="63" xfId="42" applyFont="1" applyFill="1" applyBorder="1" applyAlignment="1" applyProtection="1">
      <alignment horizontal="center" vertical="center"/>
      <protection hidden="1"/>
    </xf>
    <xf numFmtId="0" fontId="48" fillId="6" borderId="58" xfId="42" applyFont="1" applyFill="1" applyBorder="1" applyAlignment="1" applyProtection="1">
      <alignment horizontal="center" vertical="center"/>
      <protection hidden="1"/>
    </xf>
    <xf numFmtId="0" fontId="48" fillId="6" borderId="49" xfId="42" applyFont="1" applyFill="1" applyBorder="1" applyAlignment="1" applyProtection="1">
      <alignment horizontal="center" wrapText="1"/>
      <protection hidden="1"/>
    </xf>
    <xf numFmtId="0" fontId="48" fillId="6" borderId="50" xfId="42" applyFont="1" applyFill="1" applyBorder="1" applyAlignment="1" applyProtection="1">
      <alignment horizontal="center" wrapText="1"/>
      <protection hidden="1"/>
    </xf>
    <xf numFmtId="0" fontId="48" fillId="6" borderId="63" xfId="42" applyFont="1" applyFill="1" applyBorder="1" applyAlignment="1" applyProtection="1">
      <alignment horizontal="left"/>
      <protection hidden="1"/>
    </xf>
    <xf numFmtId="0" fontId="48" fillId="6" borderId="64" xfId="42" applyFont="1" applyFill="1" applyBorder="1" applyAlignment="1" applyProtection="1">
      <alignment horizontal="left"/>
      <protection hidden="1"/>
    </xf>
    <xf numFmtId="0" fontId="48" fillId="6" borderId="51" xfId="42" applyNumberFormat="1" applyFont="1" applyFill="1" applyBorder="1" applyAlignment="1" applyProtection="1">
      <alignment horizontal="left" vertical="center"/>
      <protection locked="0"/>
    </xf>
    <xf numFmtId="0" fontId="48" fillId="6" borderId="48" xfId="42" applyNumberFormat="1" applyFont="1" applyFill="1" applyBorder="1" applyAlignment="1" applyProtection="1">
      <alignment horizontal="left" vertical="center"/>
      <protection locked="0"/>
    </xf>
    <xf numFmtId="0" fontId="48" fillId="6" borderId="65" xfId="42" applyNumberFormat="1" applyFont="1" applyFill="1" applyBorder="1" applyAlignment="1" applyProtection="1">
      <alignment horizontal="left" vertical="center"/>
      <protection locked="0"/>
    </xf>
    <xf numFmtId="0" fontId="48" fillId="6" borderId="52" xfId="42" applyNumberFormat="1" applyFont="1" applyFill="1" applyBorder="1" applyAlignment="1" applyProtection="1">
      <alignment horizontal="left" vertical="center"/>
      <protection locked="0"/>
    </xf>
    <xf numFmtId="0" fontId="48" fillId="6" borderId="53" xfId="42" applyNumberFormat="1" applyFont="1" applyFill="1" applyBorder="1" applyAlignment="1" applyProtection="1">
      <alignment horizontal="left" vertical="center"/>
      <protection locked="0"/>
    </xf>
    <xf numFmtId="0" fontId="48" fillId="6" borderId="54" xfId="42" applyNumberFormat="1" applyFont="1" applyFill="1" applyBorder="1" applyAlignment="1" applyProtection="1">
      <alignment horizontal="left" vertical="center"/>
      <protection locked="0"/>
    </xf>
    <xf numFmtId="0" fontId="48" fillId="6" borderId="63" xfId="42" applyFont="1" applyFill="1" applyBorder="1" applyAlignment="1" applyProtection="1">
      <alignment horizontal="left" indent="1"/>
      <protection hidden="1"/>
    </xf>
    <xf numFmtId="0" fontId="48" fillId="6" borderId="58" xfId="42" applyFont="1" applyFill="1" applyBorder="1" applyAlignment="1" applyProtection="1">
      <alignment horizontal="left" indent="1"/>
      <protection hidden="1"/>
    </xf>
    <xf numFmtId="0" fontId="48" fillId="6" borderId="89" xfId="42" applyFont="1" applyFill="1" applyBorder="1" applyAlignment="1" applyProtection="1">
      <alignment horizontal="left"/>
      <protection hidden="1"/>
    </xf>
    <xf numFmtId="0" fontId="48" fillId="6" borderId="90" xfId="42" applyFont="1" applyFill="1" applyBorder="1" applyAlignment="1" applyProtection="1">
      <alignment horizontal="left"/>
      <protection hidden="1"/>
    </xf>
    <xf numFmtId="0" fontId="48" fillId="6" borderId="85" xfId="42" applyNumberFormat="1" applyFont="1" applyFill="1" applyBorder="1" applyAlignment="1" applyProtection="1">
      <alignment horizontal="left" wrapText="1"/>
      <protection hidden="1"/>
    </xf>
    <xf numFmtId="0" fontId="48" fillId="6" borderId="86" xfId="42" applyNumberFormat="1" applyFont="1" applyFill="1" applyBorder="1" applyAlignment="1" applyProtection="1">
      <alignment horizontal="left" wrapText="1"/>
      <protection hidden="1"/>
    </xf>
    <xf numFmtId="0" fontId="48" fillId="6" borderId="87" xfId="42" applyFont="1" applyFill="1" applyBorder="1" applyAlignment="1" applyProtection="1">
      <alignment horizontal="left"/>
      <protection hidden="1"/>
    </xf>
    <xf numFmtId="0" fontId="48" fillId="6" borderId="88" xfId="42" applyFont="1" applyFill="1" applyBorder="1" applyAlignment="1" applyProtection="1">
      <alignment horizontal="left"/>
      <protection hidden="1"/>
    </xf>
    <xf numFmtId="0" fontId="26" fillId="6" borderId="63" xfId="42" applyFont="1" applyFill="1" applyBorder="1" applyAlignment="1" applyProtection="1">
      <alignment horizontal="center" vertical="center" wrapText="1"/>
      <protection hidden="1"/>
    </xf>
    <xf numFmtId="0" fontId="26" fillId="6" borderId="58" xfId="42" applyFont="1" applyFill="1" applyBorder="1" applyAlignment="1" applyProtection="1">
      <alignment horizontal="center" vertical="center" wrapText="1"/>
      <protection hidden="1"/>
    </xf>
    <xf numFmtId="0" fontId="56" fillId="6" borderId="51" xfId="42" applyFont="1" applyFill="1" applyBorder="1" applyAlignment="1" applyProtection="1">
      <alignment horizontal="left" vertical="top" wrapText="1"/>
    </xf>
    <xf numFmtId="0" fontId="56" fillId="6" borderId="65" xfId="42" applyFont="1" applyFill="1" applyBorder="1" applyAlignment="1" applyProtection="1">
      <alignment horizontal="left" vertical="top" wrapText="1"/>
    </xf>
    <xf numFmtId="0" fontId="56" fillId="6" borderId="49" xfId="42" applyFont="1" applyFill="1" applyBorder="1" applyAlignment="1" applyProtection="1">
      <alignment horizontal="left" vertical="top" wrapText="1"/>
    </xf>
    <xf numFmtId="0" fontId="56" fillId="6" borderId="50" xfId="42" applyFont="1" applyFill="1" applyBorder="1" applyAlignment="1" applyProtection="1">
      <alignment horizontal="left" vertical="top" wrapText="1"/>
    </xf>
    <xf numFmtId="0" fontId="56" fillId="6" borderId="52" xfId="42" applyFont="1" applyFill="1" applyBorder="1" applyAlignment="1" applyProtection="1">
      <alignment horizontal="left" vertical="top" wrapText="1"/>
    </xf>
    <xf numFmtId="0" fontId="56" fillId="6" borderId="54" xfId="42" applyFont="1" applyFill="1" applyBorder="1" applyAlignment="1" applyProtection="1">
      <alignment horizontal="left" vertical="top" wrapText="1"/>
    </xf>
    <xf numFmtId="0" fontId="26" fillId="0" borderId="53" xfId="42" applyFont="1" applyBorder="1" applyAlignment="1" applyProtection="1">
      <alignment horizontal="left" shrinkToFit="1"/>
      <protection hidden="1"/>
    </xf>
    <xf numFmtId="0" fontId="26" fillId="0" borderId="54" xfId="42" applyFont="1" applyBorder="1" applyAlignment="1" applyProtection="1">
      <alignment horizontal="left" shrinkToFit="1"/>
      <protection hidden="1"/>
    </xf>
    <xf numFmtId="0" fontId="26" fillId="0" borderId="2" xfId="42" applyFont="1" applyBorder="1" applyAlignment="1" applyProtection="1">
      <alignment horizontal="center"/>
    </xf>
    <xf numFmtId="0" fontId="26" fillId="0" borderId="0" xfId="42" applyFont="1" applyAlignment="1" applyProtection="1">
      <alignment horizontal="center"/>
    </xf>
    <xf numFmtId="0" fontId="26" fillId="0" borderId="0" xfId="42" applyFont="1" applyBorder="1" applyAlignment="1" applyProtection="1">
      <alignment horizontal="left" shrinkToFit="1"/>
      <protection hidden="1"/>
    </xf>
    <xf numFmtId="0" fontId="26" fillId="0" borderId="50" xfId="42" applyFont="1" applyBorder="1" applyAlignment="1" applyProtection="1">
      <alignment horizontal="left" shrinkToFit="1"/>
      <protection hidden="1"/>
    </xf>
    <xf numFmtId="170" fontId="26" fillId="6" borderId="63" xfId="42" applyNumberFormat="1" applyFont="1" applyFill="1" applyBorder="1" applyAlignment="1" applyProtection="1">
      <alignment horizontal="center" vertical="center" wrapText="1"/>
      <protection hidden="1"/>
    </xf>
    <xf numFmtId="170" fontId="26" fillId="6" borderId="64" xfId="42" applyNumberFormat="1" applyFont="1" applyFill="1" applyBorder="1" applyAlignment="1" applyProtection="1">
      <alignment horizontal="center" vertical="center" wrapText="1"/>
      <protection hidden="1"/>
    </xf>
    <xf numFmtId="170" fontId="26" fillId="6" borderId="58" xfId="42" applyNumberFormat="1" applyFont="1" applyFill="1" applyBorder="1" applyAlignment="1" applyProtection="1">
      <alignment horizontal="center" vertical="center" wrapText="1"/>
      <protection hidden="1"/>
    </xf>
    <xf numFmtId="0" fontId="26" fillId="0" borderId="48" xfId="42" applyFont="1" applyBorder="1" applyAlignment="1" applyProtection="1">
      <alignment horizontal="left" shrinkToFit="1"/>
      <protection hidden="1"/>
    </xf>
    <xf numFmtId="0" fontId="26" fillId="0" borderId="65" xfId="42" applyFont="1" applyBorder="1" applyAlignment="1" applyProtection="1">
      <alignment horizontal="left" shrinkToFit="1"/>
      <protection hidden="1"/>
    </xf>
    <xf numFmtId="0" fontId="26" fillId="0" borderId="2" xfId="42" applyFont="1" applyBorder="1" applyAlignment="1" applyProtection="1">
      <alignment horizontal="left"/>
    </xf>
    <xf numFmtId="0" fontId="26" fillId="0" borderId="0" xfId="42" applyFont="1" applyAlignment="1" applyProtection="1">
      <alignment horizontal="left" wrapText="1"/>
    </xf>
    <xf numFmtId="0" fontId="26" fillId="0" borderId="56" xfId="42" applyFont="1" applyBorder="1" applyAlignment="1" applyProtection="1">
      <alignment horizontal="center" wrapText="1"/>
    </xf>
    <xf numFmtId="0" fontId="26" fillId="6" borderId="63" xfId="42" applyFont="1" applyFill="1" applyBorder="1" applyAlignment="1" applyProtection="1">
      <alignment horizontal="left" wrapText="1"/>
      <protection hidden="1"/>
    </xf>
    <xf numFmtId="0" fontId="26" fillId="6" borderId="58" xfId="42" applyFont="1" applyFill="1" applyBorder="1" applyAlignment="1" applyProtection="1">
      <alignment horizontal="left" wrapText="1"/>
      <protection hidden="1"/>
    </xf>
    <xf numFmtId="0" fontId="26" fillId="6" borderId="63" xfId="42" applyFont="1" applyFill="1" applyBorder="1" applyAlignment="1" applyProtection="1">
      <alignment horizontal="center" wrapText="1"/>
      <protection hidden="1"/>
    </xf>
    <xf numFmtId="0" fontId="26" fillId="6" borderId="58" xfId="42" applyFont="1" applyFill="1" applyBorder="1" applyAlignment="1" applyProtection="1">
      <alignment horizontal="center" wrapText="1"/>
      <protection hidden="1"/>
    </xf>
    <xf numFmtId="0" fontId="26" fillId="6" borderId="64" xfId="42" applyFont="1" applyFill="1" applyBorder="1" applyAlignment="1" applyProtection="1">
      <alignment horizontal="center" wrapText="1"/>
      <protection hidden="1"/>
    </xf>
    <xf numFmtId="0" fontId="26" fillId="6" borderId="49" xfId="42" applyFont="1" applyFill="1" applyBorder="1" applyAlignment="1" applyProtection="1">
      <alignment horizontal="left" wrapText="1" indent="1"/>
    </xf>
    <xf numFmtId="0" fontId="26" fillId="6" borderId="0" xfId="42" applyFont="1" applyFill="1" applyBorder="1" applyAlignment="1" applyProtection="1">
      <alignment horizontal="left" wrapText="1" indent="1"/>
    </xf>
    <xf numFmtId="0" fontId="26" fillId="6" borderId="80" xfId="42" applyFont="1" applyFill="1" applyBorder="1" applyAlignment="1" applyProtection="1">
      <alignment horizontal="left"/>
    </xf>
    <xf numFmtId="0" fontId="26" fillId="6" borderId="49" xfId="42" applyFont="1" applyFill="1" applyBorder="1" applyAlignment="1" applyProtection="1">
      <alignment horizontal="left" vertical="top" wrapText="1" indent="1"/>
    </xf>
    <xf numFmtId="0" fontId="26" fillId="6" borderId="0" xfId="42" applyFont="1" applyFill="1" applyBorder="1" applyAlignment="1" applyProtection="1">
      <alignment horizontal="left" vertical="top" wrapText="1" indent="1"/>
    </xf>
    <xf numFmtId="0" fontId="26" fillId="6" borderId="49" xfId="42" applyFont="1" applyFill="1" applyBorder="1" applyAlignment="1" applyProtection="1">
      <alignment horizontal="center" vertical="center" wrapText="1"/>
    </xf>
    <xf numFmtId="0" fontId="26" fillId="6" borderId="0" xfId="42" applyFont="1" applyFill="1" applyBorder="1" applyAlignment="1" applyProtection="1">
      <alignment horizontal="center" vertical="center" wrapText="1"/>
    </xf>
    <xf numFmtId="0" fontId="0" fillId="0" borderId="63" xfId="0" applyBorder="1" applyAlignment="1">
      <alignment horizontal="left" vertical="center" indent="1"/>
    </xf>
    <xf numFmtId="0" fontId="0" fillId="0" borderId="64" xfId="0" applyBorder="1" applyAlignment="1">
      <alignment horizontal="left" vertical="center" indent="1"/>
    </xf>
    <xf numFmtId="0" fontId="0" fillId="0" borderId="58" xfId="0" applyBorder="1" applyAlignment="1">
      <alignment horizontal="left" vertical="center" indent="1"/>
    </xf>
    <xf numFmtId="0" fontId="0" fillId="0" borderId="63" xfId="0" applyBorder="1" applyAlignment="1">
      <alignment horizontal="center"/>
    </xf>
    <xf numFmtId="0" fontId="0" fillId="0" borderId="64" xfId="0" applyBorder="1" applyAlignment="1">
      <alignment horizontal="center"/>
    </xf>
    <xf numFmtId="0" fontId="0" fillId="0" borderId="58" xfId="0" applyBorder="1" applyAlignment="1">
      <alignment horizontal="center"/>
    </xf>
    <xf numFmtId="0" fontId="46" fillId="0" borderId="0" xfId="0" applyFont="1" applyAlignment="1">
      <alignment horizontal="center" vertical="center"/>
    </xf>
    <xf numFmtId="0" fontId="0" fillId="0" borderId="0" xfId="0" applyAlignment="1">
      <alignment horizontal="left" vertical="center"/>
    </xf>
    <xf numFmtId="0" fontId="98" fillId="0" borderId="0" xfId="0" applyFont="1" applyAlignment="1">
      <alignment horizontal="center"/>
    </xf>
    <xf numFmtId="0" fontId="0" fillId="0" borderId="0" xfId="0" applyAlignment="1">
      <alignment horizontal="center" wrapText="1"/>
    </xf>
    <xf numFmtId="0" fontId="0" fillId="0" borderId="0" xfId="0" applyAlignment="1">
      <alignment horizontal="center"/>
    </xf>
    <xf numFmtId="0" fontId="0" fillId="0" borderId="63" xfId="0" applyBorder="1" applyAlignment="1">
      <alignment horizontal="left" vertical="center" wrapText="1" indent="1"/>
    </xf>
    <xf numFmtId="0" fontId="46" fillId="0" borderId="63" xfId="0" applyFont="1" applyBorder="1" applyAlignment="1">
      <alignment horizontal="center" vertical="center"/>
    </xf>
    <xf numFmtId="0" fontId="46" fillId="0" borderId="64" xfId="0" applyFont="1" applyBorder="1" applyAlignment="1">
      <alignment horizontal="center" vertical="center"/>
    </xf>
    <xf numFmtId="0" fontId="46" fillId="0" borderId="58" xfId="0" applyFont="1" applyBorder="1" applyAlignment="1">
      <alignment horizontal="center" vertical="center"/>
    </xf>
    <xf numFmtId="0" fontId="0" fillId="0" borderId="20" xfId="0" applyBorder="1" applyAlignment="1">
      <alignment horizontal="center" vertical="center"/>
    </xf>
    <xf numFmtId="0" fontId="0" fillId="0" borderId="51" xfId="0" applyBorder="1" applyAlignment="1">
      <alignment horizontal="left" vertical="center" wrapText="1" indent="1"/>
    </xf>
    <xf numFmtId="0" fontId="0" fillId="0" borderId="48" xfId="0" applyBorder="1" applyAlignment="1">
      <alignment horizontal="left" vertical="center" wrapText="1" indent="1"/>
    </xf>
    <xf numFmtId="0" fontId="0" fillId="0" borderId="65" xfId="0" applyBorder="1" applyAlignment="1">
      <alignment horizontal="left" vertical="center" wrapText="1" indent="1"/>
    </xf>
    <xf numFmtId="0" fontId="0" fillId="0" borderId="52" xfId="0" applyBorder="1" applyAlignment="1">
      <alignment horizontal="left" vertical="center" wrapText="1" indent="1"/>
    </xf>
    <xf numFmtId="0" fontId="0" fillId="0" borderId="53" xfId="0" applyBorder="1" applyAlignment="1">
      <alignment horizontal="left" vertical="center" wrapText="1" indent="1"/>
    </xf>
    <xf numFmtId="0" fontId="0" fillId="0" borderId="54" xfId="0" applyBorder="1" applyAlignment="1">
      <alignment horizontal="left" vertical="center" wrapText="1" indent="1"/>
    </xf>
    <xf numFmtId="0" fontId="0" fillId="0" borderId="51" xfId="0" applyBorder="1" applyAlignment="1">
      <alignment horizontal="center"/>
    </xf>
    <xf numFmtId="0" fontId="0" fillId="0" borderId="48" xfId="0" applyBorder="1" applyAlignment="1">
      <alignment horizontal="center"/>
    </xf>
    <xf numFmtId="0" fontId="0" fillId="0" borderId="65" xfId="0" applyBorder="1" applyAlignment="1">
      <alignment horizontal="center"/>
    </xf>
    <xf numFmtId="0" fontId="0" fillId="0" borderId="52" xfId="0" applyBorder="1" applyAlignment="1">
      <alignment horizontal="center"/>
    </xf>
    <xf numFmtId="0" fontId="0" fillId="0" borderId="53" xfId="0" applyBorder="1" applyAlignment="1">
      <alignment horizontal="center"/>
    </xf>
    <xf numFmtId="0" fontId="0" fillId="0" borderId="54" xfId="0" applyBorder="1" applyAlignment="1">
      <alignment horizontal="center"/>
    </xf>
    <xf numFmtId="168" fontId="0" fillId="0" borderId="63" xfId="0" applyNumberFormat="1" applyBorder="1" applyAlignment="1">
      <alignment horizontal="center"/>
    </xf>
    <xf numFmtId="168" fontId="0" fillId="0" borderId="64" xfId="0" applyNumberFormat="1" applyBorder="1" applyAlignment="1">
      <alignment horizontal="center"/>
    </xf>
    <xf numFmtId="168" fontId="0" fillId="0" borderId="58" xfId="0" applyNumberFormat="1" applyBorder="1" applyAlignment="1">
      <alignment horizontal="center"/>
    </xf>
    <xf numFmtId="0" fontId="0" fillId="0" borderId="52" xfId="0" applyBorder="1" applyAlignment="1">
      <alignment horizontal="center" wrapText="1"/>
    </xf>
    <xf numFmtId="0" fontId="0" fillId="0" borderId="64" xfId="0" applyBorder="1" applyAlignment="1">
      <alignment horizontal="left" vertical="center" wrapText="1" indent="1"/>
    </xf>
    <xf numFmtId="0" fontId="0" fillId="0" borderId="58" xfId="0" applyBorder="1" applyAlignment="1">
      <alignment horizontal="left" vertical="center" wrapText="1" indent="1"/>
    </xf>
    <xf numFmtId="0" fontId="0" fillId="0" borderId="59" xfId="0" applyFill="1" applyBorder="1" applyAlignment="1">
      <alignment horizontal="center" vertical="center"/>
    </xf>
    <xf numFmtId="0" fontId="0" fillId="0" borderId="67" xfId="0" applyFill="1" applyBorder="1" applyAlignment="1">
      <alignment horizontal="center" vertical="center"/>
    </xf>
    <xf numFmtId="0" fontId="0" fillId="0" borderId="66" xfId="0" applyFill="1" applyBorder="1" applyAlignment="1">
      <alignment horizontal="center" vertical="center"/>
    </xf>
    <xf numFmtId="168" fontId="0" fillId="0" borderId="63" xfId="0" applyNumberFormat="1" applyBorder="1" applyAlignment="1">
      <alignment horizontal="right" vertical="center"/>
    </xf>
    <xf numFmtId="168" fontId="0" fillId="0" borderId="64" xfId="0" applyNumberFormat="1" applyBorder="1" applyAlignment="1">
      <alignment horizontal="right" vertical="center"/>
    </xf>
    <xf numFmtId="168" fontId="0" fillId="0" borderId="64" xfId="0" applyNumberFormat="1" applyBorder="1" applyAlignment="1">
      <alignment horizontal="center" vertical="center"/>
    </xf>
    <xf numFmtId="168" fontId="0" fillId="0" borderId="64" xfId="0" applyNumberFormat="1" applyBorder="1" applyAlignment="1">
      <alignment horizontal="left" vertical="center"/>
    </xf>
    <xf numFmtId="168" fontId="0" fillId="0" borderId="58" xfId="0" applyNumberFormat="1" applyBorder="1" applyAlignment="1">
      <alignment horizontal="left" vertical="center"/>
    </xf>
    <xf numFmtId="0" fontId="0" fillId="0" borderId="59" xfId="0" applyBorder="1" applyAlignment="1">
      <alignment horizontal="center" vertical="center"/>
    </xf>
    <xf numFmtId="0" fontId="0" fillId="0" borderId="67" xfId="0" applyBorder="1" applyAlignment="1">
      <alignment horizontal="center" vertical="center"/>
    </xf>
    <xf numFmtId="0" fontId="0" fillId="0" borderId="66" xfId="0" applyBorder="1" applyAlignment="1">
      <alignment horizontal="center" vertical="center"/>
    </xf>
    <xf numFmtId="1" fontId="0" fillId="0" borderId="63" xfId="0" applyNumberFormat="1" applyBorder="1" applyAlignment="1">
      <alignment horizontal="center"/>
    </xf>
    <xf numFmtId="1" fontId="0" fillId="0" borderId="64" xfId="0" applyNumberFormat="1" applyBorder="1" applyAlignment="1">
      <alignment horizontal="center"/>
    </xf>
    <xf numFmtId="1" fontId="0" fillId="0" borderId="58" xfId="0" applyNumberFormat="1" applyBorder="1" applyAlignment="1">
      <alignment horizontal="center"/>
    </xf>
    <xf numFmtId="0" fontId="0" fillId="0" borderId="63" xfId="0" applyBorder="1" applyAlignment="1">
      <alignment horizontal="left" indent="1"/>
    </xf>
    <xf numFmtId="0" fontId="0" fillId="0" borderId="64" xfId="0" applyBorder="1" applyAlignment="1">
      <alignment horizontal="left" indent="1"/>
    </xf>
    <xf numFmtId="0" fontId="0" fillId="0" borderId="58" xfId="0" applyBorder="1" applyAlignment="1">
      <alignment horizontal="left" indent="1"/>
    </xf>
    <xf numFmtId="0" fontId="0" fillId="0" borderId="0" xfId="0" applyAlignment="1">
      <alignment horizontal="left" vertical="center" wrapText="1"/>
    </xf>
    <xf numFmtId="0" fontId="0" fillId="0" borderId="0" xfId="0" applyAlignment="1">
      <alignment horizontal="center" vertical="center"/>
    </xf>
    <xf numFmtId="0" fontId="96" fillId="0" borderId="48" xfId="0" applyFont="1" applyBorder="1" applyAlignment="1">
      <alignment horizontal="right"/>
    </xf>
    <xf numFmtId="0" fontId="94" fillId="0" borderId="0" xfId="0" applyFont="1" applyAlignment="1">
      <alignment horizontal="right"/>
    </xf>
    <xf numFmtId="0" fontId="26" fillId="0" borderId="0" xfId="45" applyBorder="1" applyAlignment="1" applyProtection="1">
      <alignment horizontal="left" vertical="top" wrapText="1"/>
      <protection hidden="1"/>
    </xf>
    <xf numFmtId="0" fontId="26" fillId="0" borderId="63" xfId="45" applyBorder="1" applyAlignment="1" applyProtection="1">
      <alignment horizontal="left" shrinkToFit="1"/>
      <protection hidden="1"/>
    </xf>
    <xf numFmtId="0" fontId="26" fillId="0" borderId="64" xfId="45" applyBorder="1" applyAlignment="1" applyProtection="1">
      <alignment horizontal="left" shrinkToFit="1"/>
      <protection hidden="1"/>
    </xf>
    <xf numFmtId="0" fontId="26" fillId="0" borderId="58" xfId="45" applyBorder="1" applyAlignment="1" applyProtection="1">
      <alignment horizontal="left" shrinkToFit="1"/>
      <protection hidden="1"/>
    </xf>
    <xf numFmtId="0" fontId="26" fillId="0" borderId="0" xfId="45" applyAlignment="1" applyProtection="1">
      <alignment horizontal="left" wrapText="1"/>
      <protection hidden="1"/>
    </xf>
    <xf numFmtId="0" fontId="78" fillId="31" borderId="96" xfId="42" applyFont="1" applyFill="1" applyBorder="1" applyAlignment="1" applyProtection="1">
      <alignment horizontal="right" wrapText="1" indent="1"/>
      <protection hidden="1"/>
    </xf>
    <xf numFmtId="0" fontId="82" fillId="31" borderId="9" xfId="42" applyFont="1" applyFill="1" applyBorder="1" applyAlignment="1" applyProtection="1">
      <alignment horizontal="left" vertical="center" wrapText="1"/>
      <protection hidden="1"/>
    </xf>
    <xf numFmtId="0" fontId="82" fillId="31" borderId="12" xfId="42" applyFont="1" applyFill="1" applyBorder="1" applyAlignment="1" applyProtection="1">
      <alignment horizontal="left" vertical="center" wrapText="1"/>
      <protection hidden="1"/>
    </xf>
    <xf numFmtId="0" fontId="82" fillId="31" borderId="10" xfId="42" applyFont="1" applyFill="1" applyBorder="1" applyAlignment="1" applyProtection="1">
      <alignment horizontal="left" vertical="center" wrapText="1"/>
      <protection hidden="1"/>
    </xf>
    <xf numFmtId="0" fontId="89" fillId="31" borderId="9" xfId="54" applyFont="1" applyFill="1" applyBorder="1" applyAlignment="1" applyProtection="1">
      <alignment horizontal="left" vertical="center" indent="1"/>
      <protection hidden="1"/>
    </xf>
    <xf numFmtId="0" fontId="89" fillId="31" borderId="12" xfId="54" applyFont="1" applyFill="1" applyBorder="1" applyAlignment="1" applyProtection="1">
      <alignment horizontal="left" vertical="center" indent="1"/>
      <protection hidden="1"/>
    </xf>
    <xf numFmtId="0" fontId="89" fillId="31" borderId="10" xfId="54" applyFont="1" applyFill="1" applyBorder="1" applyAlignment="1" applyProtection="1">
      <alignment horizontal="left" vertical="center" indent="1"/>
      <protection hidden="1"/>
    </xf>
    <xf numFmtId="165" fontId="89" fillId="31" borderId="9" xfId="54" applyNumberFormat="1" applyFont="1" applyFill="1" applyBorder="1" applyAlignment="1" applyProtection="1">
      <alignment horizontal="left" vertical="center" indent="1"/>
      <protection hidden="1"/>
    </xf>
    <xf numFmtId="165" fontId="89" fillId="31" borderId="12" xfId="54" applyNumberFormat="1" applyFont="1" applyFill="1" applyBorder="1" applyAlignment="1" applyProtection="1">
      <alignment horizontal="left" vertical="center" indent="1"/>
      <protection hidden="1"/>
    </xf>
    <xf numFmtId="165" fontId="89" fillId="31" borderId="10" xfId="54" applyNumberFormat="1" applyFont="1" applyFill="1" applyBorder="1" applyAlignment="1" applyProtection="1">
      <alignment horizontal="left" vertical="center" indent="1"/>
      <protection hidden="1"/>
    </xf>
    <xf numFmtId="0" fontId="89" fillId="0" borderId="9" xfId="54" applyFont="1" applyFill="1" applyBorder="1" applyAlignment="1" applyProtection="1">
      <alignment horizontal="left" vertical="center" indent="1"/>
      <protection locked="0" hidden="1"/>
    </xf>
    <xf numFmtId="0" fontId="89" fillId="0" borderId="12" xfId="54" applyFont="1" applyFill="1" applyBorder="1" applyAlignment="1" applyProtection="1">
      <alignment horizontal="left" vertical="center" indent="1"/>
      <protection locked="0" hidden="1"/>
    </xf>
    <xf numFmtId="0" fontId="89" fillId="0" borderId="10" xfId="54" applyFont="1" applyFill="1" applyBorder="1" applyAlignment="1" applyProtection="1">
      <alignment horizontal="left" vertical="center" indent="1"/>
      <protection locked="0" hidden="1"/>
    </xf>
    <xf numFmtId="0" fontId="76" fillId="31" borderId="9" xfId="42" applyNumberFormat="1" applyFont="1" applyFill="1" applyBorder="1" applyAlignment="1" applyProtection="1">
      <alignment horizontal="left" vertical="center"/>
      <protection hidden="1"/>
    </xf>
    <xf numFmtId="0" fontId="76" fillId="31" borderId="12" xfId="42" applyNumberFormat="1" applyFont="1" applyFill="1" applyBorder="1" applyAlignment="1" applyProtection="1">
      <alignment horizontal="left" vertical="center"/>
      <protection hidden="1"/>
    </xf>
    <xf numFmtId="0" fontId="76" fillId="31" borderId="10" xfId="42" applyNumberFormat="1" applyFont="1" applyFill="1" applyBorder="1" applyAlignment="1" applyProtection="1">
      <alignment horizontal="left" vertical="center"/>
      <protection hidden="1"/>
    </xf>
    <xf numFmtId="0" fontId="82" fillId="31" borderId="45" xfId="42" applyFont="1" applyFill="1" applyBorder="1" applyAlignment="1" applyProtection="1">
      <alignment horizontal="center" vertical="center"/>
      <protection hidden="1"/>
    </xf>
    <xf numFmtId="0" fontId="82" fillId="31" borderId="0" xfId="42" applyFont="1" applyFill="1" applyBorder="1" applyAlignment="1" applyProtection="1">
      <alignment horizontal="center" vertical="center"/>
      <protection hidden="1"/>
    </xf>
    <xf numFmtId="0" fontId="12" fillId="4" borderId="11" xfId="1" applyFont="1" applyFill="1" applyBorder="1" applyAlignment="1" applyProtection="1">
      <alignment horizontal="left"/>
      <protection locked="0"/>
    </xf>
  </cellXfs>
  <cellStyles count="55">
    <cellStyle name="20% - Accent1 2" xfId="4"/>
    <cellStyle name="20% - Accent2 2" xfId="5"/>
    <cellStyle name="20% - Accent3 2" xfId="6"/>
    <cellStyle name="20% - Accent4 2" xfId="7"/>
    <cellStyle name="20% - Accent5 2" xfId="8"/>
    <cellStyle name="20% - Accent6 2" xfId="9"/>
    <cellStyle name="40% - Accent1 2" xfId="10"/>
    <cellStyle name="40% - Accent2 2" xfId="11"/>
    <cellStyle name="40% - Accent3 2" xfId="12"/>
    <cellStyle name="40% - Accent4 2" xfId="13"/>
    <cellStyle name="40% - Accent5 2" xfId="14"/>
    <cellStyle name="40% - Accent6 2" xfId="15"/>
    <cellStyle name="60% - Accent1 2" xfId="16"/>
    <cellStyle name="60% - Accent2 2" xfId="17"/>
    <cellStyle name="60% - Accent3 2" xfId="18"/>
    <cellStyle name="60% - Accent4 2" xfId="19"/>
    <cellStyle name="60% - Accent5 2" xfId="20"/>
    <cellStyle name="60% - Accent6 2" xfId="21"/>
    <cellStyle name="Accent1 2" xfId="22"/>
    <cellStyle name="Accent2 2" xfId="23"/>
    <cellStyle name="Accent3 2" xfId="24"/>
    <cellStyle name="Accent4 2" xfId="25"/>
    <cellStyle name="Accent5 2" xfId="26"/>
    <cellStyle name="Accent6 2" xfId="27"/>
    <cellStyle name="Bad 2" xfId="28"/>
    <cellStyle name="Calculation 2" xfId="29"/>
    <cellStyle name="Check Cell 2" xfId="30"/>
    <cellStyle name="Comma 2" xfId="31"/>
    <cellStyle name="Explanatory Text 2" xfId="32"/>
    <cellStyle name="Good 2" xfId="33"/>
    <cellStyle name="Heading 1 2" xfId="34"/>
    <cellStyle name="Heading 2 2" xfId="35"/>
    <cellStyle name="Heading 3 2" xfId="36"/>
    <cellStyle name="Heading 4 2" xfId="37"/>
    <cellStyle name="Hyperlink" xfId="1" builtinId="8"/>
    <cellStyle name="Hyperlink 2" xfId="52"/>
    <cellStyle name="Input 2" xfId="38"/>
    <cellStyle name="Linked Cell 2" xfId="39"/>
    <cellStyle name="Neutral 2" xfId="40"/>
    <cellStyle name="Normal" xfId="0" builtinId="0"/>
    <cellStyle name="Normal 10" xfId="41"/>
    <cellStyle name="Normal 10 2 2" xfId="42"/>
    <cellStyle name="Normal 2" xfId="3"/>
    <cellStyle name="Normal 2 2" xfId="43"/>
    <cellStyle name="Normal 2 3" xfId="53"/>
    <cellStyle name="Normal 25" xfId="44"/>
    <cellStyle name="Normal 3" xfId="45"/>
    <cellStyle name="Normal 4" xfId="46"/>
    <cellStyle name="Normal 5" xfId="2"/>
    <cellStyle name="Normal_TTK Dependents Enrolment Form" xfId="54"/>
    <cellStyle name="Note 2" xfId="47"/>
    <cellStyle name="Output 2" xfId="48"/>
    <cellStyle name="Title 2" xfId="49"/>
    <cellStyle name="Total 2" xfId="50"/>
    <cellStyle name="Warning Text 2" xfId="51"/>
  </cellStyles>
  <dxfs count="34">
    <dxf>
      <fill>
        <patternFill>
          <bgColor theme="9" tint="0.59996337778862885"/>
        </patternFill>
      </fill>
    </dxf>
    <dxf>
      <fill>
        <patternFill>
          <bgColor theme="9" tint="0.59996337778862885"/>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theme="9" tint="0.59996337778862885"/>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theme="9" tint="0.59996337778862885"/>
        </patternFill>
      </fill>
    </dxf>
    <dxf>
      <fill>
        <patternFill>
          <bgColor theme="9" tint="0.59996337778862885"/>
        </patternFill>
      </fill>
    </dxf>
    <dxf>
      <fill>
        <patternFill>
          <bgColor rgb="FFE0EB8D"/>
        </patternFill>
      </fill>
    </dxf>
    <dxf>
      <fill>
        <patternFill>
          <bgColor rgb="FFE0EB8D"/>
        </patternFill>
      </fill>
    </dxf>
    <dxf>
      <fill>
        <patternFill>
          <bgColor rgb="FFE0EB8D"/>
        </patternFill>
      </fill>
    </dxf>
    <dxf>
      <fill>
        <patternFill>
          <bgColor theme="9" tint="0.59996337778862885"/>
        </patternFill>
      </fill>
    </dxf>
    <dxf>
      <fill>
        <patternFill>
          <bgColor rgb="FFE0EB8D"/>
        </patternFill>
      </fill>
    </dxf>
    <dxf>
      <fill>
        <patternFill>
          <bgColor indexed="41"/>
        </patternFill>
      </fill>
    </dxf>
    <dxf>
      <font>
        <color theme="0"/>
      </font>
      <fill>
        <patternFill patternType="none">
          <bgColor auto="1"/>
        </patternFill>
      </fill>
      <border>
        <left style="thin">
          <color theme="0"/>
        </left>
        <right style="thin">
          <color theme="0"/>
        </right>
        <top style="thin">
          <color theme="0"/>
        </top>
        <bottom style="thin">
          <color theme="0"/>
        </bottom>
      </border>
    </dxf>
    <dxf>
      <font>
        <color theme="0"/>
      </font>
      <fill>
        <patternFill patternType="none">
          <bgColor auto="1"/>
        </patternFill>
      </fill>
      <border>
        <left style="thin">
          <color theme="0"/>
        </left>
        <right style="thin">
          <color theme="0"/>
        </right>
        <top style="thin">
          <color theme="0"/>
        </top>
        <bottom style="thin">
          <color theme="0"/>
        </bottom>
      </border>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ill>
        <patternFill>
          <bgColor indexed="41"/>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mruColors>
      <color rgb="FFF37771"/>
      <color rgb="FFFF0066"/>
      <color rgb="FFE0EB8D"/>
      <color rgb="FF008F00"/>
      <color rgb="FF558F21"/>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wmf"/><Relationship Id="rId5" Type="http://schemas.openxmlformats.org/officeDocument/2006/relationships/image" Target="../media/image8.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11.png"/><Relationship Id="rId2" Type="http://schemas.openxmlformats.org/officeDocument/2006/relationships/image" Target="../media/image4.png"/><Relationship Id="rId1" Type="http://schemas.openxmlformats.org/officeDocument/2006/relationships/image" Target="../media/image9.wmf"/><Relationship Id="rId6" Type="http://schemas.openxmlformats.org/officeDocument/2006/relationships/image" Target="../media/image10.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9.wmf"/><Relationship Id="rId5" Type="http://schemas.openxmlformats.org/officeDocument/2006/relationships/image" Target="../media/image7.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9.wmf"/><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9.wmf"/><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2.emf"/><Relationship Id="rId5" Type="http://schemas.openxmlformats.org/officeDocument/2006/relationships/image" Target="../media/image7.png"/><Relationship Id="rId4"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1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3.emf"/><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258539</xdr:colOff>
      <xdr:row>0</xdr:row>
      <xdr:rowOff>74839</xdr:rowOff>
    </xdr:from>
    <xdr:to>
      <xdr:col>2</xdr:col>
      <xdr:colOff>476253</xdr:colOff>
      <xdr:row>4</xdr:row>
      <xdr:rowOff>13836</xdr:rowOff>
    </xdr:to>
    <xdr:pic>
      <xdr:nvPicPr>
        <xdr:cNvPr id="2" name="Picture 1" descr="lock.png">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868139" y="74839"/>
          <a:ext cx="827314" cy="805772"/>
        </a:xfrm>
        <a:prstGeom prst="rect">
          <a:avLst/>
        </a:prstGeom>
        <a:noFill/>
        <a:ln w="9525">
          <a:noFill/>
          <a:miter lim="800000"/>
          <a:headEnd/>
          <a:tailEnd/>
        </a:ln>
      </xdr:spPr>
    </xdr:pic>
    <xdr:clientData/>
  </xdr:twoCellAnchor>
  <xdr:twoCellAnchor>
    <xdr:from>
      <xdr:col>0</xdr:col>
      <xdr:colOff>227320</xdr:colOff>
      <xdr:row>8</xdr:row>
      <xdr:rowOff>47276</xdr:rowOff>
    </xdr:from>
    <xdr:to>
      <xdr:col>20</xdr:col>
      <xdr:colOff>145677</xdr:colOff>
      <xdr:row>15</xdr:row>
      <xdr:rowOff>52830</xdr:rowOff>
    </xdr:to>
    <xdr:pic>
      <xdr:nvPicPr>
        <xdr:cNvPr id="3" name="Picture 6" descr="image003">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cstate="print"/>
        <a:srcRect t="2490" r="223" b="82233"/>
        <a:stretch>
          <a:fillRect/>
        </a:stretch>
      </xdr:blipFill>
      <xdr:spPr bwMode="auto">
        <a:xfrm>
          <a:off x="227320" y="1828451"/>
          <a:ext cx="12110357" cy="1405729"/>
        </a:xfrm>
        <a:prstGeom prst="rect">
          <a:avLst/>
        </a:prstGeom>
        <a:noFill/>
        <a:ln>
          <a:noFill/>
        </a:ln>
      </xdr:spPr>
    </xdr:pic>
    <xdr:clientData/>
  </xdr:twoCellAnchor>
  <xdr:twoCellAnchor>
    <xdr:from>
      <xdr:col>0</xdr:col>
      <xdr:colOff>257735</xdr:colOff>
      <xdr:row>12</xdr:row>
      <xdr:rowOff>145675</xdr:rowOff>
    </xdr:from>
    <xdr:to>
      <xdr:col>7</xdr:col>
      <xdr:colOff>-1</xdr:colOff>
      <xdr:row>15</xdr:row>
      <xdr:rowOff>134469</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257735" y="2726950"/>
          <a:ext cx="4009464" cy="588869"/>
        </a:xfrm>
        <a:prstGeom prst="rect">
          <a:avLst/>
        </a:prstGeom>
        <a:no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248849</xdr:colOff>
      <xdr:row>17</xdr:row>
      <xdr:rowOff>200666</xdr:rowOff>
    </xdr:from>
    <xdr:to>
      <xdr:col>8</xdr:col>
      <xdr:colOff>84683</xdr:colOff>
      <xdr:row>39</xdr:row>
      <xdr:rowOff>147999</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248849" y="3738523"/>
          <a:ext cx="4799720" cy="4290733"/>
          <a:chOff x="239244" y="4135532"/>
          <a:chExt cx="4676775" cy="4171950"/>
        </a:xfrm>
      </xdr:grpSpPr>
      <xdr:pic>
        <xdr:nvPicPr>
          <xdr:cNvPr id="6" name="Picture 4" descr="image002">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3" cstate="print"/>
          <a:stretch>
            <a:fillRect/>
          </a:stretch>
        </xdr:blipFill>
        <xdr:spPr bwMode="auto">
          <a:xfrm>
            <a:off x="239244" y="4135532"/>
            <a:ext cx="4676775" cy="4171950"/>
          </a:xfrm>
          <a:prstGeom prst="rect">
            <a:avLst/>
          </a:prstGeom>
          <a:noFill/>
          <a:ln>
            <a:noFill/>
          </a:ln>
        </xdr:spPr>
      </xdr:pic>
      <xdr:sp macro="" textlink="">
        <xdr:nvSpPr>
          <xdr:cNvPr id="7" name="Rectangle 6">
            <a:extLst>
              <a:ext uri="{FF2B5EF4-FFF2-40B4-BE49-F238E27FC236}">
                <a16:creationId xmlns:a16="http://schemas.microsoft.com/office/drawing/2014/main" id="{00000000-0008-0000-0200-000007000000}"/>
              </a:ext>
            </a:extLst>
          </xdr:cNvPr>
          <xdr:cNvSpPr/>
        </xdr:nvSpPr>
        <xdr:spPr>
          <a:xfrm>
            <a:off x="1303726" y="6061743"/>
            <a:ext cx="2588559" cy="112058"/>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51972</xdr:rowOff>
    </xdr:from>
    <xdr:to>
      <xdr:col>12</xdr:col>
      <xdr:colOff>481852</xdr:colOff>
      <xdr:row>5</xdr:row>
      <xdr:rowOff>8770</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123825" y="51972"/>
          <a:ext cx="7377952" cy="766423"/>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rIns="365760" rtlCol="0" anchor="ctr"/>
        <a:lstStyle/>
        <a:p>
          <a:pPr algn="r"/>
          <a:r>
            <a:rPr lang="en-US" sz="2800" b="1" baseline="0">
              <a:solidFill>
                <a:sysClr val="windowText" lastClr="000000"/>
              </a:solidFill>
            </a:rPr>
            <a:t>Employee Personal Information Form</a:t>
          </a:r>
          <a:endParaRPr lang="en-US" sz="2800" b="1">
            <a:solidFill>
              <a:sysClr val="windowText" lastClr="000000"/>
            </a:solidFill>
          </a:endParaRPr>
        </a:p>
      </xdr:txBody>
    </xdr:sp>
    <xdr:clientData/>
  </xdr:twoCellAnchor>
  <xdr:twoCellAnchor editAs="oneCell">
    <xdr:from>
      <xdr:col>8</xdr:col>
      <xdr:colOff>66675</xdr:colOff>
      <xdr:row>13</xdr:row>
      <xdr:rowOff>76982</xdr:rowOff>
    </xdr:from>
    <xdr:to>
      <xdr:col>8</xdr:col>
      <xdr:colOff>523875</xdr:colOff>
      <xdr:row>15</xdr:row>
      <xdr:rowOff>136001</xdr:rowOff>
    </xdr:to>
    <xdr:pic>
      <xdr:nvPicPr>
        <xdr:cNvPr id="7" name="Picture 6" descr="Button-Ok-icon.png">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cstate="print"/>
        <a:stretch>
          <a:fillRect/>
        </a:stretch>
      </xdr:blipFill>
      <xdr:spPr>
        <a:xfrm>
          <a:off x="4648200" y="2182007"/>
          <a:ext cx="457200" cy="440019"/>
        </a:xfrm>
        <a:prstGeom prst="rect">
          <a:avLst/>
        </a:prstGeom>
        <a:ln>
          <a:noFill/>
        </a:ln>
        <a:effectLst>
          <a:outerShdw blurRad="44450" dist="27940" dir="5400000" algn="ctr">
            <a:srgbClr val="000000">
              <a:alpha val="32000"/>
            </a:srgbClr>
          </a:outerShdw>
        </a:effectLst>
      </xdr:spPr>
    </xdr:pic>
    <xdr:clientData/>
  </xdr:twoCellAnchor>
  <xdr:twoCellAnchor editAs="oneCell">
    <xdr:from>
      <xdr:col>9</xdr:col>
      <xdr:colOff>95251</xdr:colOff>
      <xdr:row>13</xdr:row>
      <xdr:rowOff>71423</xdr:rowOff>
    </xdr:from>
    <xdr:to>
      <xdr:col>9</xdr:col>
      <xdr:colOff>552449</xdr:colOff>
      <xdr:row>15</xdr:row>
      <xdr:rowOff>141560</xdr:rowOff>
    </xdr:to>
    <xdr:pic>
      <xdr:nvPicPr>
        <xdr:cNvPr id="8" name="Picture 7" descr="Green.png">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2" cstate="print"/>
        <a:stretch>
          <a:fillRect/>
        </a:stretch>
      </xdr:blipFill>
      <xdr:spPr>
        <a:xfrm>
          <a:off x="5286376" y="2176448"/>
          <a:ext cx="457198" cy="451137"/>
        </a:xfrm>
        <a:prstGeom prst="rect">
          <a:avLst/>
        </a:prstGeom>
      </xdr:spPr>
    </xdr:pic>
    <xdr:clientData/>
  </xdr:twoCellAnchor>
  <xdr:twoCellAnchor editAs="oneCell">
    <xdr:from>
      <xdr:col>11</xdr:col>
      <xdr:colOff>79131</xdr:colOff>
      <xdr:row>13</xdr:row>
      <xdr:rowOff>74202</xdr:rowOff>
    </xdr:from>
    <xdr:to>
      <xdr:col>11</xdr:col>
      <xdr:colOff>536331</xdr:colOff>
      <xdr:row>15</xdr:row>
      <xdr:rowOff>138781</xdr:rowOff>
    </xdr:to>
    <xdr:pic macro="[0]!next_sheet">
      <xdr:nvPicPr>
        <xdr:cNvPr id="9" name="Picture 8" descr="Next.png">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3" cstate="print"/>
        <a:stretch>
          <a:fillRect/>
        </a:stretch>
      </xdr:blipFill>
      <xdr:spPr>
        <a:xfrm>
          <a:off x="6489456" y="2179227"/>
          <a:ext cx="457200" cy="445579"/>
        </a:xfrm>
        <a:prstGeom prst="rect">
          <a:avLst/>
        </a:prstGeom>
      </xdr:spPr>
    </xdr:pic>
    <xdr:clientData fLocksWithSheet="0"/>
  </xdr:twoCellAnchor>
  <xdr:twoCellAnchor editAs="oneCell">
    <xdr:from>
      <xdr:col>10</xdr:col>
      <xdr:colOff>72537</xdr:colOff>
      <xdr:row>13</xdr:row>
      <xdr:rowOff>72939</xdr:rowOff>
    </xdr:from>
    <xdr:to>
      <xdr:col>10</xdr:col>
      <xdr:colOff>529737</xdr:colOff>
      <xdr:row>15</xdr:row>
      <xdr:rowOff>140043</xdr:rowOff>
    </xdr:to>
    <xdr:pic macro="[0]!previous_sheet">
      <xdr:nvPicPr>
        <xdr:cNvPr id="10" name="Picture 9" descr="Previous-icon.png">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4" cstate="print"/>
        <a:stretch>
          <a:fillRect/>
        </a:stretch>
      </xdr:blipFill>
      <xdr:spPr>
        <a:xfrm flipV="1">
          <a:off x="5873262" y="2177964"/>
          <a:ext cx="457200" cy="448104"/>
        </a:xfrm>
        <a:prstGeom prst="rect">
          <a:avLst/>
        </a:prstGeom>
      </xdr:spPr>
    </xdr:pic>
    <xdr:clientData fLocksWithSheet="0"/>
  </xdr:twoCellAnchor>
  <xdr:twoCellAnchor editAs="oneCell">
    <xdr:from>
      <xdr:col>11</xdr:col>
      <xdr:colOff>114300</xdr:colOff>
      <xdr:row>6</xdr:row>
      <xdr:rowOff>9525</xdr:rowOff>
    </xdr:from>
    <xdr:to>
      <xdr:col>12</xdr:col>
      <xdr:colOff>323850</xdr:colOff>
      <xdr:row>11</xdr:row>
      <xdr:rowOff>19050</xdr:rowOff>
    </xdr:to>
    <xdr:pic macro="[0]!Module1.print_Option">
      <xdr:nvPicPr>
        <xdr:cNvPr id="11" name="Picture 10" descr="printer-green.png">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5" cstate="print"/>
        <a:stretch>
          <a:fillRect/>
        </a:stretch>
      </xdr:blipFill>
      <xdr:spPr>
        <a:xfrm>
          <a:off x="6524625" y="981075"/>
          <a:ext cx="819150" cy="819150"/>
        </a:xfrm>
        <a:prstGeom prst="rect">
          <a:avLst/>
        </a:prstGeom>
      </xdr:spPr>
    </xdr:pic>
    <xdr:clientData fLocksWithSheet="0"/>
  </xdr:twoCellAnchor>
  <xdr:twoCellAnchor>
    <xdr:from>
      <xdr:col>1</xdr:col>
      <xdr:colOff>9525</xdr:colOff>
      <xdr:row>6</xdr:row>
      <xdr:rowOff>104775</xdr:rowOff>
    </xdr:from>
    <xdr:to>
      <xdr:col>3</xdr:col>
      <xdr:colOff>46975</xdr:colOff>
      <xdr:row>10</xdr:row>
      <xdr:rowOff>94083</xdr:rowOff>
    </xdr:to>
    <xdr:pic>
      <xdr:nvPicPr>
        <xdr:cNvPr id="12" name="Picture 5" descr="Societe Generale Global Solution Centre">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6" cstate="print"/>
        <a:stretch>
          <a:fillRect/>
        </a:stretch>
      </xdr:blipFill>
      <xdr:spPr bwMode="auto">
        <a:xfrm>
          <a:off x="133350" y="1076325"/>
          <a:ext cx="1447150" cy="637008"/>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95118</xdr:colOff>
      <xdr:row>0</xdr:row>
      <xdr:rowOff>151835</xdr:rowOff>
    </xdr:from>
    <xdr:to>
      <xdr:col>1</xdr:col>
      <xdr:colOff>1542268</xdr:colOff>
      <xdr:row>5</xdr:row>
      <xdr:rowOff>9525</xdr:rowOff>
    </xdr:to>
    <xdr:pic>
      <xdr:nvPicPr>
        <xdr:cNvPr id="2" name="Picture 5" descr="Societe Generale Global Solution Centre">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stretch>
          <a:fillRect/>
        </a:stretch>
      </xdr:blipFill>
      <xdr:spPr bwMode="auto">
        <a:xfrm>
          <a:off x="190368" y="151835"/>
          <a:ext cx="1447150" cy="619690"/>
        </a:xfrm>
        <a:prstGeom prst="rect">
          <a:avLst/>
        </a:prstGeom>
        <a:noFill/>
        <a:ln w="9525">
          <a:noFill/>
          <a:miter lim="800000"/>
          <a:headEnd/>
          <a:tailEnd/>
        </a:ln>
      </xdr:spPr>
    </xdr:pic>
    <xdr:clientData/>
  </xdr:twoCellAnchor>
  <xdr:twoCellAnchor>
    <xdr:from>
      <xdr:col>6</xdr:col>
      <xdr:colOff>53091</xdr:colOff>
      <xdr:row>1</xdr:row>
      <xdr:rowOff>32635</xdr:rowOff>
    </xdr:from>
    <xdr:to>
      <xdr:col>7</xdr:col>
      <xdr:colOff>2279010</xdr:colOff>
      <xdr:row>4</xdr:row>
      <xdr:rowOff>120013</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rot="5400000">
          <a:off x="8027987" y="-693736"/>
          <a:ext cx="544578" cy="2302119"/>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fLocksWithSheet="0" fPrintsWithSheet="0"/>
  </xdr:twoCellAnchor>
  <xdr:twoCellAnchor editAs="oneCell">
    <xdr:from>
      <xdr:col>7</xdr:col>
      <xdr:colOff>40910</xdr:colOff>
      <xdr:row>1</xdr:row>
      <xdr:rowOff>63666</xdr:rowOff>
    </xdr:from>
    <xdr:to>
      <xdr:col>7</xdr:col>
      <xdr:colOff>500492</xdr:colOff>
      <xdr:row>4</xdr:row>
      <xdr:rowOff>50881</xdr:rowOff>
    </xdr:to>
    <xdr:pic macro="[0]!Validate_PIF">
      <xdr:nvPicPr>
        <xdr:cNvPr id="4" name="Picture 3" descr="Button-Ok-icon.png">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cstate="print"/>
        <a:stretch>
          <a:fillRect/>
        </a:stretch>
      </xdr:blipFill>
      <xdr:spPr>
        <a:xfrm>
          <a:off x="7213235" y="216066"/>
          <a:ext cx="459582" cy="444415"/>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editAs="oneCell">
    <xdr:from>
      <xdr:col>7</xdr:col>
      <xdr:colOff>625111</xdr:colOff>
      <xdr:row>1</xdr:row>
      <xdr:rowOff>78256</xdr:rowOff>
    </xdr:from>
    <xdr:to>
      <xdr:col>7</xdr:col>
      <xdr:colOff>1084691</xdr:colOff>
      <xdr:row>4</xdr:row>
      <xdr:rowOff>74391</xdr:rowOff>
    </xdr:to>
    <xdr:pic macro="[0]!Help_sheet">
      <xdr:nvPicPr>
        <xdr:cNvPr id="5" name="Picture 4" descr="Green.png">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cstate="print"/>
        <a:stretch>
          <a:fillRect/>
        </a:stretch>
      </xdr:blipFill>
      <xdr:spPr>
        <a:xfrm>
          <a:off x="7797436" y="230656"/>
          <a:ext cx="459580" cy="453335"/>
        </a:xfrm>
        <a:prstGeom prst="rect">
          <a:avLst/>
        </a:prstGeom>
      </xdr:spPr>
    </xdr:pic>
    <xdr:clientData fLocksWithSheet="0" fPrintsWithSheet="0"/>
  </xdr:twoCellAnchor>
  <xdr:twoCellAnchor editAs="oneCell">
    <xdr:from>
      <xdr:col>7</xdr:col>
      <xdr:colOff>1793510</xdr:colOff>
      <xdr:row>1</xdr:row>
      <xdr:rowOff>79936</xdr:rowOff>
    </xdr:from>
    <xdr:to>
      <xdr:col>7</xdr:col>
      <xdr:colOff>2253092</xdr:colOff>
      <xdr:row>4</xdr:row>
      <xdr:rowOff>72711</xdr:rowOff>
    </xdr:to>
    <xdr:pic macro="[0]!next_sheet">
      <xdr:nvPicPr>
        <xdr:cNvPr id="6" name="Picture 5" descr="Next.png">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4" cstate="print"/>
        <a:stretch>
          <a:fillRect/>
        </a:stretch>
      </xdr:blipFill>
      <xdr:spPr>
        <a:xfrm>
          <a:off x="8965835" y="232336"/>
          <a:ext cx="459582" cy="449975"/>
        </a:xfrm>
        <a:prstGeom prst="rect">
          <a:avLst/>
        </a:prstGeom>
      </xdr:spPr>
    </xdr:pic>
    <xdr:clientData fLocksWithSheet="0" fPrintsWithSheet="0"/>
  </xdr:twoCellAnchor>
  <xdr:twoCellAnchor editAs="oneCell">
    <xdr:from>
      <xdr:col>7</xdr:col>
      <xdr:colOff>1209310</xdr:colOff>
      <xdr:row>1</xdr:row>
      <xdr:rowOff>83320</xdr:rowOff>
    </xdr:from>
    <xdr:to>
      <xdr:col>7</xdr:col>
      <xdr:colOff>1668892</xdr:colOff>
      <xdr:row>4</xdr:row>
      <xdr:rowOff>69327</xdr:rowOff>
    </xdr:to>
    <xdr:pic macro="[0]!previous_sheet">
      <xdr:nvPicPr>
        <xdr:cNvPr id="7" name="Picture 6" descr="Previous-icon.png">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cstate="print"/>
        <a:stretch>
          <a:fillRect/>
        </a:stretch>
      </xdr:blipFill>
      <xdr:spPr>
        <a:xfrm flipV="1">
          <a:off x="8381635" y="235720"/>
          <a:ext cx="459582" cy="443207"/>
        </a:xfrm>
        <a:prstGeom prst="rect">
          <a:avLst/>
        </a:prstGeom>
      </xdr:spPr>
    </xdr:pic>
    <xdr:clientData fLocksWithSheet="0" fPrintsWithSheet="0"/>
  </xdr:twoCellAnchor>
  <xdr:twoCellAnchor editAs="oneCell">
    <xdr:from>
      <xdr:col>3</xdr:col>
      <xdr:colOff>36636</xdr:colOff>
      <xdr:row>39</xdr:row>
      <xdr:rowOff>36635</xdr:rowOff>
    </xdr:from>
    <xdr:to>
      <xdr:col>3</xdr:col>
      <xdr:colOff>432289</xdr:colOff>
      <xdr:row>41</xdr:row>
      <xdr:rowOff>168519</xdr:rowOff>
    </xdr:to>
    <xdr:pic macro="[0]!SameAsCurrent_Address">
      <xdr:nvPicPr>
        <xdr:cNvPr id="10" name="Picture 9" descr="copy-xxl.png">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6" cstate="print"/>
        <a:stretch>
          <a:fillRect/>
        </a:stretch>
      </xdr:blipFill>
      <xdr:spPr>
        <a:xfrm>
          <a:off x="2681655" y="6777404"/>
          <a:ext cx="395653" cy="395653"/>
        </a:xfrm>
        <a:prstGeom prst="rect">
          <a:avLst/>
        </a:prstGeom>
      </xdr:spPr>
    </xdr:pic>
    <xdr:clientData fLocksWithSheet="0"/>
  </xdr:twoCellAnchor>
  <xdr:twoCellAnchor editAs="oneCell">
    <xdr:from>
      <xdr:col>7</xdr:col>
      <xdr:colOff>28575</xdr:colOff>
      <xdr:row>39</xdr:row>
      <xdr:rowOff>28575</xdr:rowOff>
    </xdr:from>
    <xdr:to>
      <xdr:col>7</xdr:col>
      <xdr:colOff>430911</xdr:colOff>
      <xdr:row>41</xdr:row>
      <xdr:rowOff>164211</xdr:rowOff>
    </xdr:to>
    <xdr:pic macro="[0]!Edit_Address">
      <xdr:nvPicPr>
        <xdr:cNvPr id="13" name="Picture 12" descr="edit.png">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7" cstate="print"/>
        <a:stretch>
          <a:fillRect/>
        </a:stretch>
      </xdr:blipFill>
      <xdr:spPr>
        <a:xfrm>
          <a:off x="7286625" y="6772275"/>
          <a:ext cx="402336" cy="402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114300</xdr:colOff>
      <xdr:row>0</xdr:row>
      <xdr:rowOff>180975</xdr:rowOff>
    </xdr:from>
    <xdr:to>
      <xdr:col>1</xdr:col>
      <xdr:colOff>1247775</xdr:colOff>
      <xdr:row>3</xdr:row>
      <xdr:rowOff>94845</xdr:rowOff>
    </xdr:to>
    <xdr:pic>
      <xdr:nvPicPr>
        <xdr:cNvPr id="18" name="Picture 5" descr="Societe Generale Global Solution Centre">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cstate="print"/>
        <a:stretch>
          <a:fillRect/>
        </a:stretch>
      </xdr:blipFill>
      <xdr:spPr bwMode="auto">
        <a:xfrm>
          <a:off x="209550" y="180975"/>
          <a:ext cx="1133475" cy="485370"/>
        </a:xfrm>
        <a:prstGeom prst="rect">
          <a:avLst/>
        </a:prstGeom>
        <a:noFill/>
        <a:ln w="9525">
          <a:noFill/>
          <a:miter lim="800000"/>
          <a:headEnd/>
          <a:tailEnd/>
        </a:ln>
      </xdr:spPr>
    </xdr:pic>
    <xdr:clientData/>
  </xdr:twoCellAnchor>
  <xdr:twoCellAnchor>
    <xdr:from>
      <xdr:col>3</xdr:col>
      <xdr:colOff>2085975</xdr:colOff>
      <xdr:row>2</xdr:row>
      <xdr:rowOff>38344</xdr:rowOff>
    </xdr:from>
    <xdr:to>
      <xdr:col>6</xdr:col>
      <xdr:colOff>20703</xdr:colOff>
      <xdr:row>4</xdr:row>
      <xdr:rowOff>114300</xdr:rowOff>
    </xdr:to>
    <xdr:sp macro="" textlink="">
      <xdr:nvSpPr>
        <xdr:cNvPr id="31" name="Rectangle 30">
          <a:extLst>
            <a:ext uri="{FF2B5EF4-FFF2-40B4-BE49-F238E27FC236}">
              <a16:creationId xmlns:a16="http://schemas.microsoft.com/office/drawing/2014/main" id="{00000000-0008-0000-0500-00001F000000}"/>
            </a:ext>
          </a:extLst>
        </xdr:cNvPr>
        <xdr:cNvSpPr/>
      </xdr:nvSpPr>
      <xdr:spPr>
        <a:xfrm rot="16200000">
          <a:off x="6044561" y="-281692"/>
          <a:ext cx="456956" cy="1859028"/>
        </a:xfrm>
        <a:prstGeom prst="rect">
          <a:avLst/>
        </a:prstGeom>
        <a:gradFill rotWithShape="1">
          <a:gsLst>
            <a:gs pos="0">
              <a:srgbClr val="9BBB59">
                <a:tint val="50000"/>
                <a:satMod val="300000"/>
              </a:srgbClr>
            </a:gs>
            <a:gs pos="35000">
              <a:srgbClr val="9BBB59">
                <a:tint val="37000"/>
                <a:satMod val="300000"/>
              </a:srgbClr>
            </a:gs>
            <a:gs pos="100000">
              <a:srgbClr val="9BBB59">
                <a:tint val="15000"/>
                <a:satMod val="350000"/>
              </a:srgbClr>
            </a:gs>
          </a:gsLst>
          <a:lin ang="16200000" scaled="1"/>
        </a:gradFill>
        <a:ln w="9525" cap="flat" cmpd="sng" algn="ctr">
          <a:solidFill>
            <a:srgbClr val="9BBB59">
              <a:shade val="95000"/>
              <a:satMod val="105000"/>
            </a:srgbClr>
          </a:solidFill>
          <a:prstDash val="solid"/>
        </a:ln>
        <a:effectLst>
          <a:outerShdw blurRad="40000" dist="20000" dir="5400000" rotWithShape="0">
            <a:srgbClr val="000000">
              <a:alpha val="38000"/>
            </a:srgbClr>
          </a:outerShdw>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xdr:txBody>
    </xdr:sp>
    <xdr:clientData fLocksWithSheet="0" fPrintsWithSheet="0"/>
  </xdr:twoCellAnchor>
  <xdr:twoCellAnchor>
    <xdr:from>
      <xdr:col>3</xdr:col>
      <xdr:colOff>2135253</xdr:colOff>
      <xdr:row>2</xdr:row>
      <xdr:rowOff>89138</xdr:rowOff>
    </xdr:from>
    <xdr:to>
      <xdr:col>5</xdr:col>
      <xdr:colOff>161925</xdr:colOff>
      <xdr:row>4</xdr:row>
      <xdr:rowOff>63504</xdr:rowOff>
    </xdr:to>
    <xdr:pic macro="[0]!Module1.Validate_Admin">
      <xdr:nvPicPr>
        <xdr:cNvPr id="32" name="Picture 31" descr="Button-Ok-icon.png">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2" cstate="print"/>
        <a:stretch>
          <a:fillRect/>
        </a:stretch>
      </xdr:blipFill>
      <xdr:spPr>
        <a:xfrm>
          <a:off x="5392803" y="470138"/>
          <a:ext cx="369822" cy="355366"/>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5</xdr:col>
      <xdr:colOff>249241</xdr:colOff>
      <xdr:row>2</xdr:row>
      <xdr:rowOff>83941</xdr:rowOff>
    </xdr:from>
    <xdr:to>
      <xdr:col>5</xdr:col>
      <xdr:colOff>619665</xdr:colOff>
      <xdr:row>4</xdr:row>
      <xdr:rowOff>68701</xdr:rowOff>
    </xdr:to>
    <xdr:pic macro="[0]!Help_sheet">
      <xdr:nvPicPr>
        <xdr:cNvPr id="33" name="Picture 32" descr="Green.png">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3" cstate="print"/>
        <a:stretch>
          <a:fillRect/>
        </a:stretch>
      </xdr:blipFill>
      <xdr:spPr>
        <a:xfrm>
          <a:off x="5849941" y="464941"/>
          <a:ext cx="370424" cy="365760"/>
        </a:xfrm>
        <a:prstGeom prst="rect">
          <a:avLst/>
        </a:prstGeom>
      </xdr:spPr>
    </xdr:pic>
    <xdr:clientData fLocksWithSheet="0" fPrintsWithSheet="0"/>
  </xdr:twoCellAnchor>
  <xdr:twoCellAnchor>
    <xdr:from>
      <xdr:col>5</xdr:col>
      <xdr:colOff>1175973</xdr:colOff>
      <xdr:row>2</xdr:row>
      <xdr:rowOff>83941</xdr:rowOff>
    </xdr:from>
    <xdr:to>
      <xdr:col>5</xdr:col>
      <xdr:colOff>1550521</xdr:colOff>
      <xdr:row>4</xdr:row>
      <xdr:rowOff>68701</xdr:rowOff>
    </xdr:to>
    <xdr:pic macro="[0]!next_sheet">
      <xdr:nvPicPr>
        <xdr:cNvPr id="34" name="Picture 33" descr="Next.png">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4" cstate="print"/>
        <a:stretch>
          <a:fillRect/>
        </a:stretch>
      </xdr:blipFill>
      <xdr:spPr>
        <a:xfrm>
          <a:off x="6776673" y="464941"/>
          <a:ext cx="374548" cy="365760"/>
        </a:xfrm>
        <a:prstGeom prst="rect">
          <a:avLst/>
        </a:prstGeom>
      </xdr:spPr>
    </xdr:pic>
    <xdr:clientData fLocksWithSheet="0" fPrintsWithSheet="0"/>
  </xdr:twoCellAnchor>
  <xdr:twoCellAnchor>
    <xdr:from>
      <xdr:col>5</xdr:col>
      <xdr:colOff>706981</xdr:colOff>
      <xdr:row>2</xdr:row>
      <xdr:rowOff>83941</xdr:rowOff>
    </xdr:from>
    <xdr:to>
      <xdr:col>5</xdr:col>
      <xdr:colOff>1088658</xdr:colOff>
      <xdr:row>4</xdr:row>
      <xdr:rowOff>68701</xdr:rowOff>
    </xdr:to>
    <xdr:pic macro="[0]!previous_sheet">
      <xdr:nvPicPr>
        <xdr:cNvPr id="35" name="Picture 34" descr="Previous-icon.png">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5" cstate="print"/>
        <a:stretch>
          <a:fillRect/>
        </a:stretch>
      </xdr:blipFill>
      <xdr:spPr>
        <a:xfrm flipV="1">
          <a:off x="6307681" y="464941"/>
          <a:ext cx="381677" cy="365760"/>
        </a:xfrm>
        <a:prstGeom prst="rect">
          <a:avLst/>
        </a:prstGeom>
      </xdr:spPr>
    </xdr:pic>
    <xdr:clientData fLocksWithSheet="0" fPrintsWithSheet="0"/>
  </xdr:twoCellAnchor>
</xdr:wsDr>
</file>

<file path=xl/drawings/drawing5.xml><?xml version="1.0" encoding="utf-8"?>
<xdr:wsDr xmlns:xdr="http://schemas.openxmlformats.org/drawingml/2006/spreadsheetDrawing" xmlns:a="http://schemas.openxmlformats.org/drawingml/2006/main">
  <xdr:twoCellAnchor>
    <xdr:from>
      <xdr:col>5</xdr:col>
      <xdr:colOff>817698</xdr:colOff>
      <xdr:row>14</xdr:row>
      <xdr:rowOff>30731</xdr:rowOff>
    </xdr:from>
    <xdr:to>
      <xdr:col>5</xdr:col>
      <xdr:colOff>1362276</xdr:colOff>
      <xdr:row>26</xdr:row>
      <xdr:rowOff>46850</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a:off x="6420639" y="2484819"/>
          <a:ext cx="544578" cy="2302119"/>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fLocksWithSheet="0" fPrintsWithSheet="0"/>
  </xdr:twoCellAnchor>
  <xdr:twoCellAnchor>
    <xdr:from>
      <xdr:col>5</xdr:col>
      <xdr:colOff>860196</xdr:colOff>
      <xdr:row>14</xdr:row>
      <xdr:rowOff>102332</xdr:rowOff>
    </xdr:from>
    <xdr:to>
      <xdr:col>5</xdr:col>
      <xdr:colOff>1319778</xdr:colOff>
      <xdr:row>16</xdr:row>
      <xdr:rowOff>165747</xdr:rowOff>
    </xdr:to>
    <xdr:pic macro="[0]!Validate_JF">
      <xdr:nvPicPr>
        <xdr:cNvPr id="4" name="Picture 3" descr="Button-Ok-icon.pn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stretch>
          <a:fillRect/>
        </a:stretch>
      </xdr:blipFill>
      <xdr:spPr>
        <a:xfrm>
          <a:off x="6463137" y="2556420"/>
          <a:ext cx="459582" cy="444415"/>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5</xdr:col>
      <xdr:colOff>860197</xdr:colOff>
      <xdr:row>17</xdr:row>
      <xdr:rowOff>92485</xdr:rowOff>
    </xdr:from>
    <xdr:to>
      <xdr:col>5</xdr:col>
      <xdr:colOff>1319777</xdr:colOff>
      <xdr:row>19</xdr:row>
      <xdr:rowOff>164820</xdr:rowOff>
    </xdr:to>
    <xdr:pic macro="[0]!Help_sheet">
      <xdr:nvPicPr>
        <xdr:cNvPr id="5" name="Picture 4" descr="Green.png">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stretch>
          <a:fillRect/>
        </a:stretch>
      </xdr:blipFill>
      <xdr:spPr>
        <a:xfrm>
          <a:off x="6463138" y="3118073"/>
          <a:ext cx="459580" cy="453335"/>
        </a:xfrm>
        <a:prstGeom prst="rect">
          <a:avLst/>
        </a:prstGeom>
      </xdr:spPr>
    </xdr:pic>
    <xdr:clientData fLocksWithSheet="0" fPrintsWithSheet="0"/>
  </xdr:twoCellAnchor>
  <xdr:twoCellAnchor>
    <xdr:from>
      <xdr:col>5</xdr:col>
      <xdr:colOff>860196</xdr:colOff>
      <xdr:row>23</xdr:row>
      <xdr:rowOff>80502</xdr:rowOff>
    </xdr:from>
    <xdr:to>
      <xdr:col>5</xdr:col>
      <xdr:colOff>1319778</xdr:colOff>
      <xdr:row>25</xdr:row>
      <xdr:rowOff>149477</xdr:rowOff>
    </xdr:to>
    <xdr:pic macro="[0]!next_sheet">
      <xdr:nvPicPr>
        <xdr:cNvPr id="6" name="Picture 5" descr="Next.png">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3" cstate="print"/>
        <a:stretch>
          <a:fillRect/>
        </a:stretch>
      </xdr:blipFill>
      <xdr:spPr>
        <a:xfrm>
          <a:off x="6463137" y="4249090"/>
          <a:ext cx="459582" cy="449975"/>
        </a:xfrm>
        <a:prstGeom prst="rect">
          <a:avLst/>
        </a:prstGeom>
      </xdr:spPr>
    </xdr:pic>
    <xdr:clientData fLocksWithSheet="0" fPrintsWithSheet="0"/>
  </xdr:twoCellAnchor>
  <xdr:twoCellAnchor>
    <xdr:from>
      <xdr:col>5</xdr:col>
      <xdr:colOff>860196</xdr:colOff>
      <xdr:row>20</xdr:row>
      <xdr:rowOff>91558</xdr:rowOff>
    </xdr:from>
    <xdr:to>
      <xdr:col>5</xdr:col>
      <xdr:colOff>1319778</xdr:colOff>
      <xdr:row>22</xdr:row>
      <xdr:rowOff>153765</xdr:rowOff>
    </xdr:to>
    <xdr:pic macro="[0]!previous_sheet">
      <xdr:nvPicPr>
        <xdr:cNvPr id="7" name="Picture 6" descr="Previous-icon.png">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4" cstate="print"/>
        <a:stretch>
          <a:fillRect/>
        </a:stretch>
      </xdr:blipFill>
      <xdr:spPr>
        <a:xfrm flipV="1">
          <a:off x="6463137" y="3688646"/>
          <a:ext cx="459582" cy="443207"/>
        </a:xfrm>
        <a:prstGeom prst="rect">
          <a:avLst/>
        </a:prstGeom>
      </xdr:spPr>
    </xdr:pic>
    <xdr:clientData fLocksWithSheet="0" fPrintsWithSheet="0"/>
  </xdr:twoCellAnchor>
  <xdr:twoCellAnchor>
    <xdr:from>
      <xdr:col>1</xdr:col>
      <xdr:colOff>38100</xdr:colOff>
      <xdr:row>1</xdr:row>
      <xdr:rowOff>38100</xdr:rowOff>
    </xdr:from>
    <xdr:to>
      <xdr:col>1</xdr:col>
      <xdr:colOff>1171575</xdr:colOff>
      <xdr:row>3</xdr:row>
      <xdr:rowOff>142470</xdr:rowOff>
    </xdr:to>
    <xdr:pic>
      <xdr:nvPicPr>
        <xdr:cNvPr id="8" name="Picture 5" descr="Societe Generale Global Solution Centre">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5" cstate="print"/>
        <a:stretch>
          <a:fillRect/>
        </a:stretch>
      </xdr:blipFill>
      <xdr:spPr bwMode="auto">
        <a:xfrm>
          <a:off x="133350" y="228600"/>
          <a:ext cx="1133475" cy="48537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940962</xdr:colOff>
      <xdr:row>2</xdr:row>
      <xdr:rowOff>134470</xdr:rowOff>
    </xdr:from>
    <xdr:to>
      <xdr:col>5</xdr:col>
      <xdr:colOff>1485540</xdr:colOff>
      <xdr:row>14</xdr:row>
      <xdr:rowOff>102878</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6006021" y="515470"/>
          <a:ext cx="544578" cy="21535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fLocksWithSheet="0" fPrintsWithSheet="0"/>
  </xdr:twoCellAnchor>
  <xdr:twoCellAnchor>
    <xdr:from>
      <xdr:col>5</xdr:col>
      <xdr:colOff>983460</xdr:colOff>
      <xdr:row>3</xdr:row>
      <xdr:rowOff>10950</xdr:rowOff>
    </xdr:from>
    <xdr:to>
      <xdr:col>5</xdr:col>
      <xdr:colOff>1443042</xdr:colOff>
      <xdr:row>5</xdr:row>
      <xdr:rowOff>45685</xdr:rowOff>
    </xdr:to>
    <xdr:pic macro="[0]!Validate_RFM">
      <xdr:nvPicPr>
        <xdr:cNvPr id="4" name="Picture 3" descr="Button-Ok-icon.png">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cstate="print"/>
        <a:stretch>
          <a:fillRect/>
        </a:stretch>
      </xdr:blipFill>
      <xdr:spPr>
        <a:xfrm>
          <a:off x="6048519" y="582450"/>
          <a:ext cx="459582" cy="415735"/>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5</xdr:col>
      <xdr:colOff>983461</xdr:colOff>
      <xdr:row>5</xdr:row>
      <xdr:rowOff>155358</xdr:rowOff>
    </xdr:from>
    <xdr:to>
      <xdr:col>5</xdr:col>
      <xdr:colOff>1443041</xdr:colOff>
      <xdr:row>8</xdr:row>
      <xdr:rowOff>108791</xdr:rowOff>
    </xdr:to>
    <xdr:pic macro="[0]!Help_sheet">
      <xdr:nvPicPr>
        <xdr:cNvPr id="5" name="Picture 4" descr="Green.png">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stretch>
          <a:fillRect/>
        </a:stretch>
      </xdr:blipFill>
      <xdr:spPr>
        <a:xfrm>
          <a:off x="6048520" y="1107858"/>
          <a:ext cx="459580" cy="424080"/>
        </a:xfrm>
        <a:prstGeom prst="rect">
          <a:avLst/>
        </a:prstGeom>
      </xdr:spPr>
    </xdr:pic>
    <xdr:clientData fLocksWithSheet="0" fPrintsWithSheet="0"/>
  </xdr:twoCellAnchor>
  <xdr:twoCellAnchor>
    <xdr:from>
      <xdr:col>5</xdr:col>
      <xdr:colOff>983460</xdr:colOff>
      <xdr:row>11</xdr:row>
      <xdr:rowOff>171239</xdr:rowOff>
    </xdr:from>
    <xdr:to>
      <xdr:col>5</xdr:col>
      <xdr:colOff>1443042</xdr:colOff>
      <xdr:row>14</xdr:row>
      <xdr:rowOff>20675</xdr:rowOff>
    </xdr:to>
    <xdr:pic macro="[0]!next_sheet">
      <xdr:nvPicPr>
        <xdr:cNvPr id="6" name="Picture 5" descr="Next.png">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3" cstate="print"/>
        <a:stretch>
          <a:fillRect/>
        </a:stretch>
      </xdr:blipFill>
      <xdr:spPr>
        <a:xfrm>
          <a:off x="6048519" y="2165886"/>
          <a:ext cx="459582" cy="420936"/>
        </a:xfrm>
        <a:prstGeom prst="rect">
          <a:avLst/>
        </a:prstGeom>
      </xdr:spPr>
    </xdr:pic>
    <xdr:clientData fLocksWithSheet="0" fPrintsWithSheet="0"/>
  </xdr:twoCellAnchor>
  <xdr:twoCellAnchor>
    <xdr:from>
      <xdr:col>5</xdr:col>
      <xdr:colOff>983460</xdr:colOff>
      <xdr:row>9</xdr:row>
      <xdr:rowOff>27963</xdr:rowOff>
    </xdr:from>
    <xdr:to>
      <xdr:col>5</xdr:col>
      <xdr:colOff>1443042</xdr:colOff>
      <xdr:row>11</xdr:row>
      <xdr:rowOff>61568</xdr:rowOff>
    </xdr:to>
    <xdr:pic macro="[0]!previous_sheet">
      <xdr:nvPicPr>
        <xdr:cNvPr id="7" name="Picture 6" descr="Previous-icon.png">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4" cstate="print"/>
        <a:stretch>
          <a:fillRect/>
        </a:stretch>
      </xdr:blipFill>
      <xdr:spPr>
        <a:xfrm flipV="1">
          <a:off x="6048519" y="1641610"/>
          <a:ext cx="459582" cy="414605"/>
        </a:xfrm>
        <a:prstGeom prst="rect">
          <a:avLst/>
        </a:prstGeom>
      </xdr:spPr>
    </xdr:pic>
    <xdr:clientData fLocksWithSheet="0" fPrintsWithSheet="0"/>
  </xdr:twoCellAnchor>
  <xdr:twoCellAnchor>
    <xdr:from>
      <xdr:col>1</xdr:col>
      <xdr:colOff>38100</xdr:colOff>
      <xdr:row>1</xdr:row>
      <xdr:rowOff>38100</xdr:rowOff>
    </xdr:from>
    <xdr:to>
      <xdr:col>1</xdr:col>
      <xdr:colOff>1171575</xdr:colOff>
      <xdr:row>3</xdr:row>
      <xdr:rowOff>142470</xdr:rowOff>
    </xdr:to>
    <xdr:pic>
      <xdr:nvPicPr>
        <xdr:cNvPr id="8" name="Picture 5" descr="Societe Generale Global Solution Centre">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5" cstate="print"/>
        <a:stretch>
          <a:fillRect/>
        </a:stretch>
      </xdr:blipFill>
      <xdr:spPr bwMode="auto">
        <a:xfrm>
          <a:off x="133350" y="228600"/>
          <a:ext cx="1133475" cy="485370"/>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8</xdr:col>
      <xdr:colOff>721178</xdr:colOff>
      <xdr:row>1</xdr:row>
      <xdr:rowOff>54428</xdr:rowOff>
    </xdr:from>
    <xdr:to>
      <xdr:col>10</xdr:col>
      <xdr:colOff>258537</xdr:colOff>
      <xdr:row>3</xdr:row>
      <xdr:rowOff>149675</xdr:rowOff>
    </xdr:to>
    <xdr:sp macro="" textlink="">
      <xdr:nvSpPr>
        <xdr:cNvPr id="13" name="Rectangle 12">
          <a:extLst>
            <a:ext uri="{FF2B5EF4-FFF2-40B4-BE49-F238E27FC236}">
              <a16:creationId xmlns:a16="http://schemas.microsoft.com/office/drawing/2014/main" id="{00000000-0008-0000-0800-00000D000000}"/>
            </a:ext>
          </a:extLst>
        </xdr:cNvPr>
        <xdr:cNvSpPr/>
      </xdr:nvSpPr>
      <xdr:spPr>
        <a:xfrm rot="16200000">
          <a:off x="8824234" y="-809628"/>
          <a:ext cx="544283" cy="2435681"/>
        </a:xfrm>
        <a:prstGeom prst="rect">
          <a:avLst/>
        </a:prstGeom>
        <a:gradFill rotWithShape="1">
          <a:gsLst>
            <a:gs pos="0">
              <a:srgbClr val="9BBB59">
                <a:tint val="50000"/>
                <a:satMod val="300000"/>
              </a:srgbClr>
            </a:gs>
            <a:gs pos="35000">
              <a:srgbClr val="9BBB59">
                <a:tint val="37000"/>
                <a:satMod val="300000"/>
              </a:srgbClr>
            </a:gs>
            <a:gs pos="100000">
              <a:srgbClr val="9BBB59">
                <a:tint val="15000"/>
                <a:satMod val="350000"/>
              </a:srgbClr>
            </a:gs>
          </a:gsLst>
          <a:lin ang="16200000" scaled="1"/>
        </a:gradFill>
        <a:ln w="9525" cap="flat" cmpd="sng" algn="ctr">
          <a:solidFill>
            <a:srgbClr val="9BBB59">
              <a:shade val="95000"/>
              <a:satMod val="105000"/>
            </a:srgbClr>
          </a:solidFill>
          <a:prstDash val="solid"/>
        </a:ln>
        <a:effectLst>
          <a:outerShdw blurRad="40000" dist="20000" dir="5400000" rotWithShape="0">
            <a:srgbClr val="000000">
              <a:alpha val="38000"/>
            </a:srgbClr>
          </a:outerShdw>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xdr:txBody>
    </xdr:sp>
    <xdr:clientData fLocksWithSheet="0" fPrintsWithSheet="0"/>
  </xdr:twoCellAnchor>
  <xdr:twoCellAnchor>
    <xdr:from>
      <xdr:col>8</xdr:col>
      <xdr:colOff>770457</xdr:colOff>
      <xdr:row>1</xdr:row>
      <xdr:rowOff>102725</xdr:rowOff>
    </xdr:from>
    <xdr:to>
      <xdr:col>9</xdr:col>
      <xdr:colOff>324677</xdr:colOff>
      <xdr:row>3</xdr:row>
      <xdr:rowOff>101377</xdr:rowOff>
    </xdr:to>
    <xdr:pic macro="[0]!Module1.Validate_Insurance">
      <xdr:nvPicPr>
        <xdr:cNvPr id="14" name="Picture 13" descr="Button-Ok-icon.png">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1" cstate="print"/>
        <a:stretch>
          <a:fillRect/>
        </a:stretch>
      </xdr:blipFill>
      <xdr:spPr>
        <a:xfrm>
          <a:off x="7927814" y="184368"/>
          <a:ext cx="465899" cy="447688"/>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9</xdr:col>
      <xdr:colOff>459979</xdr:colOff>
      <xdr:row>1</xdr:row>
      <xdr:rowOff>96178</xdr:rowOff>
    </xdr:from>
    <xdr:to>
      <xdr:col>9</xdr:col>
      <xdr:colOff>926637</xdr:colOff>
      <xdr:row>3</xdr:row>
      <xdr:rowOff>107924</xdr:rowOff>
    </xdr:to>
    <xdr:pic macro="[0]!Help_sheet">
      <xdr:nvPicPr>
        <xdr:cNvPr id="15" name="Picture 14" descr="Green.png">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2" cstate="print"/>
        <a:stretch>
          <a:fillRect/>
        </a:stretch>
      </xdr:blipFill>
      <xdr:spPr>
        <a:xfrm>
          <a:off x="8529015" y="177821"/>
          <a:ext cx="466658" cy="460782"/>
        </a:xfrm>
        <a:prstGeom prst="rect">
          <a:avLst/>
        </a:prstGeom>
      </xdr:spPr>
    </xdr:pic>
    <xdr:clientData fLocksWithSheet="0" fPrintsWithSheet="0"/>
  </xdr:twoCellAnchor>
  <xdr:twoCellAnchor>
    <xdr:from>
      <xdr:col>9</xdr:col>
      <xdr:colOff>1678075</xdr:colOff>
      <xdr:row>1</xdr:row>
      <xdr:rowOff>96178</xdr:rowOff>
    </xdr:from>
    <xdr:to>
      <xdr:col>10</xdr:col>
      <xdr:colOff>163285</xdr:colOff>
      <xdr:row>3</xdr:row>
      <xdr:rowOff>107924</xdr:rowOff>
    </xdr:to>
    <xdr:pic macro="[0]!next_sheet">
      <xdr:nvPicPr>
        <xdr:cNvPr id="16" name="Picture 15" descr="Next.png">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3" cstate="print"/>
        <a:stretch>
          <a:fillRect/>
        </a:stretch>
      </xdr:blipFill>
      <xdr:spPr>
        <a:xfrm>
          <a:off x="9747111" y="177821"/>
          <a:ext cx="471853" cy="460782"/>
        </a:xfrm>
        <a:prstGeom prst="rect">
          <a:avLst/>
        </a:prstGeom>
      </xdr:spPr>
    </xdr:pic>
    <xdr:clientData fLocksWithSheet="0" fPrintsWithSheet="0"/>
  </xdr:twoCellAnchor>
  <xdr:twoCellAnchor>
    <xdr:from>
      <xdr:col>9</xdr:col>
      <xdr:colOff>1061939</xdr:colOff>
      <xdr:row>1</xdr:row>
      <xdr:rowOff>96178</xdr:rowOff>
    </xdr:from>
    <xdr:to>
      <xdr:col>9</xdr:col>
      <xdr:colOff>1542774</xdr:colOff>
      <xdr:row>3</xdr:row>
      <xdr:rowOff>107924</xdr:rowOff>
    </xdr:to>
    <xdr:pic macro="[0]!previous_sheet">
      <xdr:nvPicPr>
        <xdr:cNvPr id="17" name="Picture 16" descr="Previous-icon.png">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4" cstate="print"/>
        <a:stretch>
          <a:fillRect/>
        </a:stretch>
      </xdr:blipFill>
      <xdr:spPr>
        <a:xfrm flipV="1">
          <a:off x="9130975" y="177821"/>
          <a:ext cx="480835" cy="460782"/>
        </a:xfrm>
        <a:prstGeom prst="rect">
          <a:avLst/>
        </a:prstGeom>
      </xdr:spPr>
    </xdr:pic>
    <xdr:clientData fLocksWithSheet="0" fPrintsWithSheet="0"/>
  </xdr:twoCellAnchor>
</xdr:wsDr>
</file>

<file path=xl/drawings/drawing8.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1</xdr:col>
      <xdr:colOff>571500</xdr:colOff>
      <xdr:row>4</xdr:row>
      <xdr:rowOff>85725</xdr:rowOff>
    </xdr:to>
    <xdr:pic>
      <xdr:nvPicPr>
        <xdr:cNvPr id="2" name="Picture 2">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38100"/>
          <a:ext cx="914400" cy="819150"/>
        </a:xfrm>
        <a:prstGeom prst="rect">
          <a:avLst/>
        </a:prstGeom>
        <a:noFill/>
        <a:ln w="9525">
          <a:noFill/>
          <a:miter lim="800000"/>
          <a:headEnd/>
          <a:tailEnd/>
        </a:ln>
      </xdr:spPr>
    </xdr:pic>
    <xdr:clientData/>
  </xdr:twoCellAnchor>
  <xdr:twoCellAnchor>
    <xdr:from>
      <xdr:col>1</xdr:col>
      <xdr:colOff>95250</xdr:colOff>
      <xdr:row>51</xdr:row>
      <xdr:rowOff>133350</xdr:rowOff>
    </xdr:from>
    <xdr:to>
      <xdr:col>4</xdr:col>
      <xdr:colOff>790575</xdr:colOff>
      <xdr:row>53</xdr:row>
      <xdr:rowOff>190500</xdr:rowOff>
    </xdr:to>
    <xdr:cxnSp macro="">
      <xdr:nvCxnSpPr>
        <xdr:cNvPr id="3" name="Straight Connector 2">
          <a:extLst>
            <a:ext uri="{FF2B5EF4-FFF2-40B4-BE49-F238E27FC236}">
              <a16:creationId xmlns:a16="http://schemas.microsoft.com/office/drawing/2014/main" id="{00000000-0008-0000-0900-000003000000}"/>
            </a:ext>
          </a:extLst>
        </xdr:cNvPr>
        <xdr:cNvCxnSpPr/>
      </xdr:nvCxnSpPr>
      <xdr:spPr bwMode="auto">
        <a:xfrm flipV="1">
          <a:off x="485775" y="16011525"/>
          <a:ext cx="2552700" cy="514350"/>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219075</xdr:colOff>
      <xdr:row>51</xdr:row>
      <xdr:rowOff>133350</xdr:rowOff>
    </xdr:from>
    <xdr:to>
      <xdr:col>6</xdr:col>
      <xdr:colOff>647700</xdr:colOff>
      <xdr:row>53</xdr:row>
      <xdr:rowOff>152400</xdr:rowOff>
    </xdr:to>
    <xdr:cxnSp macro="">
      <xdr:nvCxnSpPr>
        <xdr:cNvPr id="4" name="Straight Connector 5">
          <a:extLst>
            <a:ext uri="{FF2B5EF4-FFF2-40B4-BE49-F238E27FC236}">
              <a16:creationId xmlns:a16="http://schemas.microsoft.com/office/drawing/2014/main" id="{00000000-0008-0000-0900-000004000000}"/>
            </a:ext>
          </a:extLst>
        </xdr:cNvPr>
        <xdr:cNvCxnSpPr>
          <a:cxnSpLocks noChangeShapeType="1"/>
        </xdr:cNvCxnSpPr>
      </xdr:nvCxnSpPr>
      <xdr:spPr bwMode="auto">
        <a:xfrm flipV="1">
          <a:off x="3505200" y="16011525"/>
          <a:ext cx="1323975" cy="476250"/>
        </a:xfrm>
        <a:prstGeom prst="line">
          <a:avLst/>
        </a:prstGeom>
        <a:noFill/>
        <a:ln w="9525" algn="ctr">
          <a:noFill/>
          <a:round/>
          <a:headEnd/>
          <a:tailEnd/>
        </a:ln>
      </xdr:spPr>
    </xdr:cxnSp>
    <xdr:clientData/>
  </xdr:twoCellAnchor>
  <xdr:twoCellAnchor>
    <xdr:from>
      <xdr:col>5</xdr:col>
      <xdr:colOff>219075</xdr:colOff>
      <xdr:row>51</xdr:row>
      <xdr:rowOff>152400</xdr:rowOff>
    </xdr:from>
    <xdr:to>
      <xdr:col>6</xdr:col>
      <xdr:colOff>733425</xdr:colOff>
      <xdr:row>53</xdr:row>
      <xdr:rowOff>190501</xdr:rowOff>
    </xdr:to>
    <xdr:cxnSp macro="">
      <xdr:nvCxnSpPr>
        <xdr:cNvPr id="5" name="Straight Connector 4">
          <a:extLst>
            <a:ext uri="{FF2B5EF4-FFF2-40B4-BE49-F238E27FC236}">
              <a16:creationId xmlns:a16="http://schemas.microsoft.com/office/drawing/2014/main" id="{00000000-0008-0000-0900-000005000000}"/>
            </a:ext>
          </a:extLst>
        </xdr:cNvPr>
        <xdr:cNvCxnSpPr/>
      </xdr:nvCxnSpPr>
      <xdr:spPr bwMode="auto">
        <a:xfrm flipV="1">
          <a:off x="3505200" y="16030575"/>
          <a:ext cx="1409700" cy="495301"/>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161925</xdr:colOff>
      <xdr:row>51</xdr:row>
      <xdr:rowOff>161925</xdr:rowOff>
    </xdr:from>
    <xdr:to>
      <xdr:col>7</xdr:col>
      <xdr:colOff>1400175</xdr:colOff>
      <xdr:row>53</xdr:row>
      <xdr:rowOff>200026</xdr:rowOff>
    </xdr:to>
    <xdr:cxnSp macro="">
      <xdr:nvCxnSpPr>
        <xdr:cNvPr id="6" name="Straight Connector 5">
          <a:extLst>
            <a:ext uri="{FF2B5EF4-FFF2-40B4-BE49-F238E27FC236}">
              <a16:creationId xmlns:a16="http://schemas.microsoft.com/office/drawing/2014/main" id="{00000000-0008-0000-0900-000006000000}"/>
            </a:ext>
          </a:extLst>
        </xdr:cNvPr>
        <xdr:cNvCxnSpPr/>
      </xdr:nvCxnSpPr>
      <xdr:spPr bwMode="auto">
        <a:xfrm flipV="1">
          <a:off x="5486400" y="16040100"/>
          <a:ext cx="1238250" cy="495301"/>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885265</xdr:colOff>
      <xdr:row>0</xdr:row>
      <xdr:rowOff>112059</xdr:rowOff>
    </xdr:from>
    <xdr:to>
      <xdr:col>8</xdr:col>
      <xdr:colOff>1429843</xdr:colOff>
      <xdr:row>10</xdr:row>
      <xdr:rowOff>125290</xdr:rowOff>
    </xdr:to>
    <xdr:sp macro="" textlink="">
      <xdr:nvSpPr>
        <xdr:cNvPr id="8" name="Rectangle 7">
          <a:extLst>
            <a:ext uri="{FF2B5EF4-FFF2-40B4-BE49-F238E27FC236}">
              <a16:creationId xmlns:a16="http://schemas.microsoft.com/office/drawing/2014/main" id="{00000000-0008-0000-0900-000008000000}"/>
            </a:ext>
          </a:extLst>
        </xdr:cNvPr>
        <xdr:cNvSpPr/>
      </xdr:nvSpPr>
      <xdr:spPr>
        <a:xfrm>
          <a:off x="7900147" y="112059"/>
          <a:ext cx="544578" cy="21535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xdr:twoCellAnchor>
  <xdr:twoCellAnchor>
    <xdr:from>
      <xdr:col>8</xdr:col>
      <xdr:colOff>927763</xdr:colOff>
      <xdr:row>0</xdr:row>
      <xdr:rowOff>179039</xdr:rowOff>
    </xdr:from>
    <xdr:to>
      <xdr:col>8</xdr:col>
      <xdr:colOff>1387345</xdr:colOff>
      <xdr:row>2</xdr:row>
      <xdr:rowOff>90509</xdr:rowOff>
    </xdr:to>
    <xdr:pic macro="[0]!Module1.Validate_PF">
      <xdr:nvPicPr>
        <xdr:cNvPr id="9" name="Picture 8" descr="Button-Ok-icon.png">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2" cstate="print"/>
        <a:stretch>
          <a:fillRect/>
        </a:stretch>
      </xdr:blipFill>
      <xdr:spPr>
        <a:xfrm>
          <a:off x="7942645" y="179039"/>
          <a:ext cx="459582" cy="415735"/>
        </a:xfrm>
        <a:prstGeom prst="rect">
          <a:avLst/>
        </a:prstGeom>
        <a:ln>
          <a:noFill/>
        </a:ln>
        <a:effectLst>
          <a:outerShdw blurRad="44450" dist="27940" dir="5400000" algn="ctr">
            <a:srgbClr val="000000">
              <a:alpha val="32000"/>
            </a:srgbClr>
          </a:outerShdw>
        </a:effectLst>
      </xdr:spPr>
    </xdr:pic>
    <xdr:clientData/>
  </xdr:twoCellAnchor>
  <xdr:twoCellAnchor>
    <xdr:from>
      <xdr:col>8</xdr:col>
      <xdr:colOff>927764</xdr:colOff>
      <xdr:row>3</xdr:row>
      <xdr:rowOff>65712</xdr:rowOff>
    </xdr:from>
    <xdr:to>
      <xdr:col>8</xdr:col>
      <xdr:colOff>1387344</xdr:colOff>
      <xdr:row>4</xdr:row>
      <xdr:rowOff>344115</xdr:rowOff>
    </xdr:to>
    <xdr:pic macro="[0]!Help_sheet">
      <xdr:nvPicPr>
        <xdr:cNvPr id="10" name="Picture 9" descr="Green.png">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3" cstate="print"/>
        <a:stretch>
          <a:fillRect/>
        </a:stretch>
      </xdr:blipFill>
      <xdr:spPr>
        <a:xfrm>
          <a:off x="7942646" y="704447"/>
          <a:ext cx="459580" cy="424080"/>
        </a:xfrm>
        <a:prstGeom prst="rect">
          <a:avLst/>
        </a:prstGeom>
      </xdr:spPr>
    </xdr:pic>
    <xdr:clientData/>
  </xdr:twoCellAnchor>
  <xdr:twoCellAnchor>
    <xdr:from>
      <xdr:col>8</xdr:col>
      <xdr:colOff>927763</xdr:colOff>
      <xdr:row>7</xdr:row>
      <xdr:rowOff>126416</xdr:rowOff>
    </xdr:from>
    <xdr:to>
      <xdr:col>8</xdr:col>
      <xdr:colOff>1387345</xdr:colOff>
      <xdr:row>10</xdr:row>
      <xdr:rowOff>43087</xdr:rowOff>
    </xdr:to>
    <xdr:pic macro="[0]!next_sheet">
      <xdr:nvPicPr>
        <xdr:cNvPr id="11" name="Picture 10" descr="Next.png">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4" cstate="print"/>
        <a:stretch>
          <a:fillRect/>
        </a:stretch>
      </xdr:blipFill>
      <xdr:spPr>
        <a:xfrm>
          <a:off x="7942645" y="1762475"/>
          <a:ext cx="459582" cy="420936"/>
        </a:xfrm>
        <a:prstGeom prst="rect">
          <a:avLst/>
        </a:prstGeom>
      </xdr:spPr>
    </xdr:pic>
    <xdr:clientData/>
  </xdr:twoCellAnchor>
  <xdr:twoCellAnchor>
    <xdr:from>
      <xdr:col>8</xdr:col>
      <xdr:colOff>927763</xdr:colOff>
      <xdr:row>4</xdr:row>
      <xdr:rowOff>453787</xdr:rowOff>
    </xdr:from>
    <xdr:to>
      <xdr:col>8</xdr:col>
      <xdr:colOff>1387345</xdr:colOff>
      <xdr:row>7</xdr:row>
      <xdr:rowOff>16745</xdr:rowOff>
    </xdr:to>
    <xdr:pic macro="[0]!previous_sheet">
      <xdr:nvPicPr>
        <xdr:cNvPr id="12" name="Picture 11" descr="Previous-icon.png">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cstate="print"/>
        <a:stretch>
          <a:fillRect/>
        </a:stretch>
      </xdr:blipFill>
      <xdr:spPr>
        <a:xfrm flipV="1">
          <a:off x="7942645" y="1238199"/>
          <a:ext cx="459582" cy="41460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9</xdr:col>
      <xdr:colOff>112647</xdr:colOff>
      <xdr:row>2</xdr:row>
      <xdr:rowOff>38100</xdr:rowOff>
    </xdr:from>
    <xdr:to>
      <xdr:col>10</xdr:col>
      <xdr:colOff>47624</xdr:colOff>
      <xdr:row>6</xdr:row>
      <xdr:rowOff>610505</xdr:rowOff>
    </xdr:to>
    <xdr:sp macro="" textlink="">
      <xdr:nvSpPr>
        <xdr:cNvPr id="3" name="Rectangle 2">
          <a:extLst>
            <a:ext uri="{FF2B5EF4-FFF2-40B4-BE49-F238E27FC236}">
              <a16:creationId xmlns:a16="http://schemas.microsoft.com/office/drawing/2014/main" id="{00000000-0008-0000-0A00-000003000000}"/>
            </a:ext>
          </a:extLst>
        </xdr:cNvPr>
        <xdr:cNvSpPr/>
      </xdr:nvSpPr>
      <xdr:spPr>
        <a:xfrm>
          <a:off x="6246747" y="352425"/>
          <a:ext cx="544577" cy="21535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xdr:twoCellAnchor>
  <xdr:twoCellAnchor>
    <xdr:from>
      <xdr:col>9</xdr:col>
      <xdr:colOff>155145</xdr:colOff>
      <xdr:row>2</xdr:row>
      <xdr:rowOff>105080</xdr:rowOff>
    </xdr:from>
    <xdr:to>
      <xdr:col>10</xdr:col>
      <xdr:colOff>5126</xdr:colOff>
      <xdr:row>4</xdr:row>
      <xdr:rowOff>168390</xdr:rowOff>
    </xdr:to>
    <xdr:pic macro="[0]!Module1.Validate_Gratuity">
      <xdr:nvPicPr>
        <xdr:cNvPr id="4" name="Picture 3" descr="Button-Ok-icon.png">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1" cstate="print"/>
        <a:stretch>
          <a:fillRect/>
        </a:stretch>
      </xdr:blipFill>
      <xdr:spPr>
        <a:xfrm>
          <a:off x="6289245" y="419405"/>
          <a:ext cx="459581" cy="415735"/>
        </a:xfrm>
        <a:prstGeom prst="rect">
          <a:avLst/>
        </a:prstGeom>
        <a:ln>
          <a:noFill/>
        </a:ln>
        <a:effectLst>
          <a:outerShdw blurRad="44450" dist="27940" dir="5400000" algn="ctr">
            <a:srgbClr val="000000">
              <a:alpha val="32000"/>
            </a:srgbClr>
          </a:outerShdw>
        </a:effectLst>
      </xdr:spPr>
    </xdr:pic>
    <xdr:clientData/>
  </xdr:twoCellAnchor>
  <xdr:twoCellAnchor>
    <xdr:from>
      <xdr:col>9</xdr:col>
      <xdr:colOff>155146</xdr:colOff>
      <xdr:row>4</xdr:row>
      <xdr:rowOff>278063</xdr:rowOff>
    </xdr:from>
    <xdr:to>
      <xdr:col>10</xdr:col>
      <xdr:colOff>5125</xdr:colOff>
      <xdr:row>4</xdr:row>
      <xdr:rowOff>702143</xdr:rowOff>
    </xdr:to>
    <xdr:pic macro="[0]!Help_sheet">
      <xdr:nvPicPr>
        <xdr:cNvPr id="5" name="Picture 4" descr="Green.png">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2" cstate="print"/>
        <a:stretch>
          <a:fillRect/>
        </a:stretch>
      </xdr:blipFill>
      <xdr:spPr>
        <a:xfrm>
          <a:off x="6289246" y="944813"/>
          <a:ext cx="459579" cy="424080"/>
        </a:xfrm>
        <a:prstGeom prst="rect">
          <a:avLst/>
        </a:prstGeom>
      </xdr:spPr>
    </xdr:pic>
    <xdr:clientData/>
  </xdr:twoCellAnchor>
  <xdr:twoCellAnchor>
    <xdr:from>
      <xdr:col>9</xdr:col>
      <xdr:colOff>155145</xdr:colOff>
      <xdr:row>6</xdr:row>
      <xdr:rowOff>107366</xdr:rowOff>
    </xdr:from>
    <xdr:to>
      <xdr:col>10</xdr:col>
      <xdr:colOff>5126</xdr:colOff>
      <xdr:row>6</xdr:row>
      <xdr:rowOff>528302</xdr:rowOff>
    </xdr:to>
    <xdr:pic macro="[0]!next_sheet">
      <xdr:nvPicPr>
        <xdr:cNvPr id="6" name="Picture 5" descr="Next.png">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3" cstate="print"/>
        <a:stretch>
          <a:fillRect/>
        </a:stretch>
      </xdr:blipFill>
      <xdr:spPr>
        <a:xfrm>
          <a:off x="6289245" y="2002841"/>
          <a:ext cx="459581" cy="420936"/>
        </a:xfrm>
        <a:prstGeom prst="rect">
          <a:avLst/>
        </a:prstGeom>
      </xdr:spPr>
    </xdr:pic>
    <xdr:clientData/>
  </xdr:twoCellAnchor>
  <xdr:twoCellAnchor>
    <xdr:from>
      <xdr:col>9</xdr:col>
      <xdr:colOff>155145</xdr:colOff>
      <xdr:row>4</xdr:row>
      <xdr:rowOff>811815</xdr:rowOff>
    </xdr:from>
    <xdr:to>
      <xdr:col>10</xdr:col>
      <xdr:colOff>5126</xdr:colOff>
      <xdr:row>5</xdr:row>
      <xdr:rowOff>292970</xdr:rowOff>
    </xdr:to>
    <xdr:pic macro="[0]!previous_sheet">
      <xdr:nvPicPr>
        <xdr:cNvPr id="7" name="Picture 6" descr="Previous-icon.png">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4" cstate="print"/>
        <a:stretch>
          <a:fillRect/>
        </a:stretch>
      </xdr:blipFill>
      <xdr:spPr>
        <a:xfrm flipV="1">
          <a:off x="6289245" y="1478565"/>
          <a:ext cx="459581" cy="414605"/>
        </a:xfrm>
        <a:prstGeom prst="rect">
          <a:avLst/>
        </a:prstGeom>
      </xdr:spPr>
    </xdr:pic>
    <xdr:clientData fLocksWithSheet="0" fPrintsWithSheet="0"/>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403860</xdr:colOff>
          <xdr:row>8</xdr:row>
          <xdr:rowOff>388620</xdr:rowOff>
        </xdr:from>
        <xdr:to>
          <xdr:col>5</xdr:col>
          <xdr:colOff>45720</xdr:colOff>
          <xdr:row>10</xdr:row>
          <xdr:rowOff>45720</xdr:rowOff>
        </xdr:to>
        <xdr:sp macro="" textlink="">
          <xdr:nvSpPr>
            <xdr:cNvPr id="50177" name="Check Box 1" hidden="1">
              <a:extLst>
                <a:ext uri="{63B3BB69-23CF-44E3-9099-C40C66FF867C}">
                  <a14:compatExt spid="_x0000_s50177"/>
                </a:ext>
                <a:ext uri="{FF2B5EF4-FFF2-40B4-BE49-F238E27FC236}">
                  <a16:creationId xmlns:a16="http://schemas.microsoft.com/office/drawing/2014/main" id="{00000000-0008-0000-0B00-000001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9</xdr:row>
          <xdr:rowOff>0</xdr:rowOff>
        </xdr:from>
        <xdr:to>
          <xdr:col>6</xdr:col>
          <xdr:colOff>601980</xdr:colOff>
          <xdr:row>10</xdr:row>
          <xdr:rowOff>30480</xdr:rowOff>
        </xdr:to>
        <xdr:sp macro="" textlink="">
          <xdr:nvSpPr>
            <xdr:cNvPr id="50178" name="Check Box 2" hidden="1">
              <a:extLst>
                <a:ext uri="{63B3BB69-23CF-44E3-9099-C40C66FF867C}">
                  <a14:compatExt spid="_x0000_s50178"/>
                </a:ext>
                <a:ext uri="{FF2B5EF4-FFF2-40B4-BE49-F238E27FC236}">
                  <a16:creationId xmlns:a16="http://schemas.microsoft.com/office/drawing/2014/main" id="{00000000-0008-0000-0B00-000002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175260</xdr:rowOff>
        </xdr:from>
        <xdr:to>
          <xdr:col>4</xdr:col>
          <xdr:colOff>342900</xdr:colOff>
          <xdr:row>47</xdr:row>
          <xdr:rowOff>7620</xdr:rowOff>
        </xdr:to>
        <xdr:sp macro="" textlink="">
          <xdr:nvSpPr>
            <xdr:cNvPr id="50179" name="Check Box 3" hidden="1">
              <a:extLst>
                <a:ext uri="{63B3BB69-23CF-44E3-9099-C40C66FF867C}">
                  <a14:compatExt spid="_x0000_s50179"/>
                </a:ext>
                <a:ext uri="{FF2B5EF4-FFF2-40B4-BE49-F238E27FC236}">
                  <a16:creationId xmlns:a16="http://schemas.microsoft.com/office/drawing/2014/main" id="{00000000-0008-0000-0B00-000003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46</xdr:row>
          <xdr:rowOff>175260</xdr:rowOff>
        </xdr:from>
        <xdr:to>
          <xdr:col>4</xdr:col>
          <xdr:colOff>342900</xdr:colOff>
          <xdr:row>48</xdr:row>
          <xdr:rowOff>7620</xdr:rowOff>
        </xdr:to>
        <xdr:sp macro="" textlink="">
          <xdr:nvSpPr>
            <xdr:cNvPr id="50180" name="Check Box 4" hidden="1">
              <a:extLst>
                <a:ext uri="{63B3BB69-23CF-44E3-9099-C40C66FF867C}">
                  <a14:compatExt spid="_x0000_s50180"/>
                </a:ext>
                <a:ext uri="{FF2B5EF4-FFF2-40B4-BE49-F238E27FC236}">
                  <a16:creationId xmlns:a16="http://schemas.microsoft.com/office/drawing/2014/main" id="{00000000-0008-0000-0B00-000004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47</xdr:row>
          <xdr:rowOff>175260</xdr:rowOff>
        </xdr:from>
        <xdr:to>
          <xdr:col>4</xdr:col>
          <xdr:colOff>342900</xdr:colOff>
          <xdr:row>49</xdr:row>
          <xdr:rowOff>7620</xdr:rowOff>
        </xdr:to>
        <xdr:sp macro="" textlink="">
          <xdr:nvSpPr>
            <xdr:cNvPr id="50181" name="Check Box 5"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53</xdr:row>
          <xdr:rowOff>68580</xdr:rowOff>
        </xdr:from>
        <xdr:to>
          <xdr:col>4</xdr:col>
          <xdr:colOff>327660</xdr:colOff>
          <xdr:row>53</xdr:row>
          <xdr:rowOff>289560</xdr:rowOff>
        </xdr:to>
        <xdr:sp macro="" textlink="">
          <xdr:nvSpPr>
            <xdr:cNvPr id="50182" name="Check Box 6"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54</xdr:row>
          <xdr:rowOff>83820</xdr:rowOff>
        </xdr:from>
        <xdr:to>
          <xdr:col>4</xdr:col>
          <xdr:colOff>327660</xdr:colOff>
          <xdr:row>54</xdr:row>
          <xdr:rowOff>304800</xdr:rowOff>
        </xdr:to>
        <xdr:sp macro="" textlink="">
          <xdr:nvSpPr>
            <xdr:cNvPr id="50183" name="Check Box 7" hidden="1">
              <a:extLst>
                <a:ext uri="{63B3BB69-23CF-44E3-9099-C40C66FF867C}">
                  <a14:compatExt spid="_x0000_s50183"/>
                </a:ext>
                <a:ext uri="{FF2B5EF4-FFF2-40B4-BE49-F238E27FC236}">
                  <a16:creationId xmlns:a16="http://schemas.microsoft.com/office/drawing/2014/main" id="{00000000-0008-0000-0B00-000007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163286</xdr:colOff>
      <xdr:row>4</xdr:row>
      <xdr:rowOff>40821</xdr:rowOff>
    </xdr:from>
    <xdr:to>
      <xdr:col>8</xdr:col>
      <xdr:colOff>707864</xdr:colOff>
      <xdr:row>12</xdr:row>
      <xdr:rowOff>153305</xdr:rowOff>
    </xdr:to>
    <xdr:sp macro="" textlink="">
      <xdr:nvSpPr>
        <xdr:cNvPr id="3" name="Rectangle 2">
          <a:extLst>
            <a:ext uri="{FF2B5EF4-FFF2-40B4-BE49-F238E27FC236}">
              <a16:creationId xmlns:a16="http://schemas.microsoft.com/office/drawing/2014/main" id="{00000000-0008-0000-0C00-000003000000}"/>
            </a:ext>
          </a:extLst>
        </xdr:cNvPr>
        <xdr:cNvSpPr/>
      </xdr:nvSpPr>
      <xdr:spPr>
        <a:xfrm>
          <a:off x="7266215" y="693964"/>
          <a:ext cx="544578" cy="21535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fPrintsWithSheet="0"/>
  </xdr:twoCellAnchor>
  <xdr:twoCellAnchor>
    <xdr:from>
      <xdr:col>8</xdr:col>
      <xdr:colOff>205784</xdr:colOff>
      <xdr:row>4</xdr:row>
      <xdr:rowOff>107801</xdr:rowOff>
    </xdr:from>
    <xdr:to>
      <xdr:col>8</xdr:col>
      <xdr:colOff>665366</xdr:colOff>
      <xdr:row>5</xdr:row>
      <xdr:rowOff>196965</xdr:rowOff>
    </xdr:to>
    <xdr:pic macro="[0]!Validate_FR1">
      <xdr:nvPicPr>
        <xdr:cNvPr id="4" name="Picture 3" descr="Button-Ok-icon.png">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cstate="print"/>
        <a:stretch>
          <a:fillRect/>
        </a:stretch>
      </xdr:blipFill>
      <xdr:spPr>
        <a:xfrm>
          <a:off x="7308713" y="760944"/>
          <a:ext cx="459582" cy="415735"/>
        </a:xfrm>
        <a:prstGeom prst="rect">
          <a:avLst/>
        </a:prstGeom>
        <a:ln>
          <a:noFill/>
        </a:ln>
        <a:effectLst>
          <a:outerShdw blurRad="44450" dist="27940" dir="5400000" algn="ctr">
            <a:srgbClr val="000000">
              <a:alpha val="32000"/>
            </a:srgbClr>
          </a:outerShdw>
        </a:effectLst>
      </xdr:spPr>
    </xdr:pic>
    <xdr:clientData fPrintsWithSheet="0"/>
  </xdr:twoCellAnchor>
  <xdr:twoCellAnchor>
    <xdr:from>
      <xdr:col>8</xdr:col>
      <xdr:colOff>205785</xdr:colOff>
      <xdr:row>5</xdr:row>
      <xdr:rowOff>306638</xdr:rowOff>
    </xdr:from>
    <xdr:to>
      <xdr:col>8</xdr:col>
      <xdr:colOff>665365</xdr:colOff>
      <xdr:row>7</xdr:row>
      <xdr:rowOff>172825</xdr:rowOff>
    </xdr:to>
    <xdr:pic macro="[0]!Help_sheet">
      <xdr:nvPicPr>
        <xdr:cNvPr id="5" name="Picture 4" descr="Green.png">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cstate="print"/>
        <a:stretch>
          <a:fillRect/>
        </a:stretch>
      </xdr:blipFill>
      <xdr:spPr>
        <a:xfrm>
          <a:off x="7308714" y="1286352"/>
          <a:ext cx="459580" cy="424080"/>
        </a:xfrm>
        <a:prstGeom prst="rect">
          <a:avLst/>
        </a:prstGeom>
      </xdr:spPr>
    </xdr:pic>
    <xdr:clientData fPrintsWithSheet="0"/>
  </xdr:twoCellAnchor>
  <xdr:twoCellAnchor>
    <xdr:from>
      <xdr:col>8</xdr:col>
      <xdr:colOff>205784</xdr:colOff>
      <xdr:row>10</xdr:row>
      <xdr:rowOff>112809</xdr:rowOff>
    </xdr:from>
    <xdr:to>
      <xdr:col>8</xdr:col>
      <xdr:colOff>665366</xdr:colOff>
      <xdr:row>12</xdr:row>
      <xdr:rowOff>71102</xdr:rowOff>
    </xdr:to>
    <xdr:pic macro="[0]!next_sheet">
      <xdr:nvPicPr>
        <xdr:cNvPr id="6" name="Picture 5" descr="Next.png">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3" cstate="print"/>
        <a:stretch>
          <a:fillRect/>
        </a:stretch>
      </xdr:blipFill>
      <xdr:spPr>
        <a:xfrm>
          <a:off x="7308713" y="2344380"/>
          <a:ext cx="459582" cy="420936"/>
        </a:xfrm>
        <a:prstGeom prst="rect">
          <a:avLst/>
        </a:prstGeom>
      </xdr:spPr>
    </xdr:pic>
    <xdr:clientData fPrintsWithSheet="0"/>
  </xdr:twoCellAnchor>
  <xdr:twoCellAnchor>
    <xdr:from>
      <xdr:col>8</xdr:col>
      <xdr:colOff>205784</xdr:colOff>
      <xdr:row>8</xdr:row>
      <xdr:rowOff>51175</xdr:rowOff>
    </xdr:from>
    <xdr:to>
      <xdr:col>8</xdr:col>
      <xdr:colOff>665366</xdr:colOff>
      <xdr:row>10</xdr:row>
      <xdr:rowOff>3138</xdr:rowOff>
    </xdr:to>
    <xdr:pic macro="[0]!previous_sheet">
      <xdr:nvPicPr>
        <xdr:cNvPr id="7" name="Picture 6" descr="Previous-icon.png">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4" cstate="print"/>
        <a:stretch>
          <a:fillRect/>
        </a:stretch>
      </xdr:blipFill>
      <xdr:spPr>
        <a:xfrm flipV="1">
          <a:off x="7308713" y="1820104"/>
          <a:ext cx="459582" cy="414605"/>
        </a:xfrm>
        <a:prstGeom prst="rect">
          <a:avLst/>
        </a:prstGeom>
      </xdr:spPr>
    </xdr:pic>
    <xdr:clientData fLocksWithSheet="0" fPrintsWithSheet="0"/>
  </xdr:twoCellAnchor>
</xdr:wsDr>
</file>

<file path=xl/drawings/drawing12.xml><?xml version="1.0" encoding="utf-8"?>
<xdr:wsDr xmlns:xdr="http://schemas.openxmlformats.org/drawingml/2006/spreadsheetDrawing" xmlns:a="http://schemas.openxmlformats.org/drawingml/2006/main">
  <xdr:twoCellAnchor>
    <xdr:from>
      <xdr:col>6</xdr:col>
      <xdr:colOff>76200</xdr:colOff>
      <xdr:row>0</xdr:row>
      <xdr:rowOff>104775</xdr:rowOff>
    </xdr:from>
    <xdr:to>
      <xdr:col>6</xdr:col>
      <xdr:colOff>620778</xdr:colOff>
      <xdr:row>12</xdr:row>
      <xdr:rowOff>467630</xdr:rowOff>
    </xdr:to>
    <xdr:sp macro="" textlink="">
      <xdr:nvSpPr>
        <xdr:cNvPr id="3" name="Rectangle 2">
          <a:extLst>
            <a:ext uri="{FF2B5EF4-FFF2-40B4-BE49-F238E27FC236}">
              <a16:creationId xmlns:a16="http://schemas.microsoft.com/office/drawing/2014/main" id="{00000000-0008-0000-0D00-000003000000}"/>
            </a:ext>
          </a:extLst>
        </xdr:cNvPr>
        <xdr:cNvSpPr/>
      </xdr:nvSpPr>
      <xdr:spPr>
        <a:xfrm>
          <a:off x="5867400" y="104775"/>
          <a:ext cx="544578" cy="21535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xdr:twoCellAnchor>
  <xdr:twoCellAnchor>
    <xdr:from>
      <xdr:col>6</xdr:col>
      <xdr:colOff>118698</xdr:colOff>
      <xdr:row>1</xdr:row>
      <xdr:rowOff>9830</xdr:rowOff>
    </xdr:from>
    <xdr:to>
      <xdr:col>6</xdr:col>
      <xdr:colOff>578280</xdr:colOff>
      <xdr:row>3</xdr:row>
      <xdr:rowOff>101715</xdr:rowOff>
    </xdr:to>
    <xdr:pic macro="[0]!Validate_FRQ">
      <xdr:nvPicPr>
        <xdr:cNvPr id="4" name="Picture 3" descr="Button-Ok-icon.png">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cstate="print"/>
        <a:stretch>
          <a:fillRect/>
        </a:stretch>
      </xdr:blipFill>
      <xdr:spPr>
        <a:xfrm>
          <a:off x="5909898" y="171755"/>
          <a:ext cx="459582" cy="415735"/>
        </a:xfrm>
        <a:prstGeom prst="rect">
          <a:avLst/>
        </a:prstGeom>
        <a:ln>
          <a:noFill/>
        </a:ln>
        <a:effectLst>
          <a:outerShdw blurRad="44450" dist="27940" dir="5400000" algn="ctr">
            <a:srgbClr val="000000">
              <a:alpha val="32000"/>
            </a:srgbClr>
          </a:outerShdw>
        </a:effectLst>
      </xdr:spPr>
    </xdr:pic>
    <xdr:clientData/>
  </xdr:twoCellAnchor>
  <xdr:twoCellAnchor>
    <xdr:from>
      <xdr:col>6</xdr:col>
      <xdr:colOff>118699</xdr:colOff>
      <xdr:row>4</xdr:row>
      <xdr:rowOff>87563</xdr:rowOff>
    </xdr:from>
    <xdr:to>
      <xdr:col>6</xdr:col>
      <xdr:colOff>578279</xdr:colOff>
      <xdr:row>7</xdr:row>
      <xdr:rowOff>63968</xdr:rowOff>
    </xdr:to>
    <xdr:pic macro="[0]!Help_sheet">
      <xdr:nvPicPr>
        <xdr:cNvPr id="5" name="Picture 4" descr="Green.png">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cstate="print"/>
        <a:stretch>
          <a:fillRect/>
        </a:stretch>
      </xdr:blipFill>
      <xdr:spPr>
        <a:xfrm>
          <a:off x="5909899" y="697163"/>
          <a:ext cx="459580" cy="424080"/>
        </a:xfrm>
        <a:prstGeom prst="rect">
          <a:avLst/>
        </a:prstGeom>
      </xdr:spPr>
    </xdr:pic>
    <xdr:clientData/>
  </xdr:twoCellAnchor>
  <xdr:twoCellAnchor>
    <xdr:from>
      <xdr:col>6</xdr:col>
      <xdr:colOff>118698</xdr:colOff>
      <xdr:row>11</xdr:row>
      <xdr:rowOff>88316</xdr:rowOff>
    </xdr:from>
    <xdr:to>
      <xdr:col>6</xdr:col>
      <xdr:colOff>578280</xdr:colOff>
      <xdr:row>12</xdr:row>
      <xdr:rowOff>385427</xdr:rowOff>
    </xdr:to>
    <xdr:pic macro="[0]!next_sheet">
      <xdr:nvPicPr>
        <xdr:cNvPr id="6" name="Picture 5" descr="Next.png">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3" cstate="print"/>
        <a:stretch>
          <a:fillRect/>
        </a:stretch>
      </xdr:blipFill>
      <xdr:spPr>
        <a:xfrm>
          <a:off x="5909898" y="1755191"/>
          <a:ext cx="459582" cy="420936"/>
        </a:xfrm>
        <a:prstGeom prst="rect">
          <a:avLst/>
        </a:prstGeom>
      </xdr:spPr>
    </xdr:pic>
    <xdr:clientData/>
  </xdr:twoCellAnchor>
  <xdr:twoCellAnchor>
    <xdr:from>
      <xdr:col>6</xdr:col>
      <xdr:colOff>118698</xdr:colOff>
      <xdr:row>8</xdr:row>
      <xdr:rowOff>11715</xdr:rowOff>
    </xdr:from>
    <xdr:to>
      <xdr:col>6</xdr:col>
      <xdr:colOff>578280</xdr:colOff>
      <xdr:row>10</xdr:row>
      <xdr:rowOff>102470</xdr:rowOff>
    </xdr:to>
    <xdr:pic macro="[0]!previous_sheet">
      <xdr:nvPicPr>
        <xdr:cNvPr id="7" name="Picture 6" descr="Previous-icon.png">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4" cstate="print"/>
        <a:stretch>
          <a:fillRect/>
        </a:stretch>
      </xdr:blipFill>
      <xdr:spPr>
        <a:xfrm flipV="1">
          <a:off x="5909898" y="1230915"/>
          <a:ext cx="459582" cy="41460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121194</xdr:colOff>
      <xdr:row>0</xdr:row>
      <xdr:rowOff>116164</xdr:rowOff>
    </xdr:from>
    <xdr:to>
      <xdr:col>2</xdr:col>
      <xdr:colOff>682009</xdr:colOff>
      <xdr:row>3</xdr:row>
      <xdr:rowOff>95250</xdr:rowOff>
    </xdr:to>
    <xdr:pic>
      <xdr:nvPicPr>
        <xdr:cNvPr id="51202" name="Picture 2">
          <a:extLst>
            <a:ext uri="{FF2B5EF4-FFF2-40B4-BE49-F238E27FC236}">
              <a16:creationId xmlns:a16="http://schemas.microsoft.com/office/drawing/2014/main" id="{00000000-0008-0000-0F00-000002C80000}"/>
            </a:ext>
          </a:extLst>
        </xdr:cNvPr>
        <xdr:cNvPicPr>
          <a:picLocks noChangeAspect="1" noChangeArrowheads="1"/>
        </xdr:cNvPicPr>
      </xdr:nvPicPr>
      <xdr:blipFill>
        <a:blip xmlns:r="http://schemas.openxmlformats.org/officeDocument/2006/relationships" r:embed="rId1" cstate="print"/>
        <a:srcRect l="1966" t="4234"/>
        <a:stretch>
          <a:fillRect/>
        </a:stretch>
      </xdr:blipFill>
      <xdr:spPr bwMode="auto">
        <a:xfrm>
          <a:off x="159294" y="116164"/>
          <a:ext cx="951340" cy="912536"/>
        </a:xfrm>
        <a:prstGeom prst="rect">
          <a:avLst/>
        </a:prstGeom>
        <a:noFill/>
      </xdr:spPr>
    </xdr:pic>
    <xdr:clientData/>
  </xdr:twoCellAnchor>
  <xdr:twoCellAnchor>
    <xdr:from>
      <xdr:col>7</xdr:col>
      <xdr:colOff>847725</xdr:colOff>
      <xdr:row>2</xdr:row>
      <xdr:rowOff>0</xdr:rowOff>
    </xdr:from>
    <xdr:to>
      <xdr:col>8</xdr:col>
      <xdr:colOff>1669595</xdr:colOff>
      <xdr:row>4</xdr:row>
      <xdr:rowOff>55791</xdr:rowOff>
    </xdr:to>
    <xdr:sp macro="" textlink="">
      <xdr:nvSpPr>
        <xdr:cNvPr id="3" name="Rectangle 2">
          <a:extLst>
            <a:ext uri="{FF2B5EF4-FFF2-40B4-BE49-F238E27FC236}">
              <a16:creationId xmlns:a16="http://schemas.microsoft.com/office/drawing/2014/main" id="{00000000-0008-0000-0F00-000003000000}"/>
            </a:ext>
          </a:extLst>
        </xdr:cNvPr>
        <xdr:cNvSpPr/>
      </xdr:nvSpPr>
      <xdr:spPr>
        <a:xfrm rot="16200000">
          <a:off x="7969702" y="-121102"/>
          <a:ext cx="503466" cy="1964870"/>
        </a:xfrm>
        <a:prstGeom prst="rect">
          <a:avLst/>
        </a:prstGeom>
        <a:gradFill rotWithShape="1">
          <a:gsLst>
            <a:gs pos="0">
              <a:srgbClr val="9BBB59">
                <a:tint val="50000"/>
                <a:satMod val="300000"/>
              </a:srgbClr>
            </a:gs>
            <a:gs pos="35000">
              <a:srgbClr val="9BBB59">
                <a:tint val="37000"/>
                <a:satMod val="300000"/>
              </a:srgbClr>
            </a:gs>
            <a:gs pos="100000">
              <a:srgbClr val="9BBB59">
                <a:tint val="15000"/>
                <a:satMod val="350000"/>
              </a:srgbClr>
            </a:gs>
          </a:gsLst>
          <a:lin ang="16200000" scaled="1"/>
        </a:gradFill>
        <a:ln w="9525" cap="flat" cmpd="sng" algn="ctr">
          <a:solidFill>
            <a:srgbClr val="9BBB59">
              <a:shade val="95000"/>
              <a:satMod val="105000"/>
            </a:srgbClr>
          </a:solidFill>
          <a:prstDash val="solid"/>
        </a:ln>
        <a:effectLst>
          <a:outerShdw blurRad="40000" dist="20000" dir="5400000" rotWithShape="0">
            <a:srgbClr val="000000">
              <a:alpha val="38000"/>
            </a:srgbClr>
          </a:outerShdw>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xdr:txBody>
    </xdr:sp>
    <xdr:clientData fLocksWithSheet="0" fPrintsWithSheet="0"/>
  </xdr:twoCellAnchor>
  <xdr:twoCellAnchor>
    <xdr:from>
      <xdr:col>7</xdr:col>
      <xdr:colOff>898142</xdr:colOff>
      <xdr:row>2</xdr:row>
      <xdr:rowOff>44675</xdr:rowOff>
    </xdr:from>
    <xdr:to>
      <xdr:col>8</xdr:col>
      <xdr:colOff>186104</xdr:colOff>
      <xdr:row>4</xdr:row>
      <xdr:rowOff>11116</xdr:rowOff>
    </xdr:to>
    <xdr:pic macro="[0]!Validate_PDF">
      <xdr:nvPicPr>
        <xdr:cNvPr id="4" name="Picture 3" descr="Button-Ok-icon.png">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2" cstate="print"/>
        <a:stretch>
          <a:fillRect/>
        </a:stretch>
      </xdr:blipFill>
      <xdr:spPr>
        <a:xfrm>
          <a:off x="7289417" y="654275"/>
          <a:ext cx="430962" cy="414116"/>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8</xdr:col>
      <xdr:colOff>217109</xdr:colOff>
      <xdr:row>2</xdr:row>
      <xdr:rowOff>38619</xdr:rowOff>
    </xdr:from>
    <xdr:to>
      <xdr:col>8</xdr:col>
      <xdr:colOff>648773</xdr:colOff>
      <xdr:row>4</xdr:row>
      <xdr:rowOff>17172</xdr:rowOff>
    </xdr:to>
    <xdr:pic macro="[0]!Help_sheet">
      <xdr:nvPicPr>
        <xdr:cNvPr id="5" name="Picture 4" descr="Green.png">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3" cstate="print"/>
        <a:stretch>
          <a:fillRect/>
        </a:stretch>
      </xdr:blipFill>
      <xdr:spPr>
        <a:xfrm>
          <a:off x="7751384" y="648219"/>
          <a:ext cx="431664" cy="426228"/>
        </a:xfrm>
        <a:prstGeom prst="rect">
          <a:avLst/>
        </a:prstGeom>
      </xdr:spPr>
    </xdr:pic>
    <xdr:clientData fLocksWithSheet="0" fPrintsWithSheet="0"/>
  </xdr:twoCellAnchor>
  <xdr:twoCellAnchor>
    <xdr:from>
      <xdr:col>8</xdr:col>
      <xdr:colOff>1155562</xdr:colOff>
      <xdr:row>2</xdr:row>
      <xdr:rowOff>38619</xdr:rowOff>
    </xdr:from>
    <xdr:to>
      <xdr:col>8</xdr:col>
      <xdr:colOff>1592032</xdr:colOff>
      <xdr:row>4</xdr:row>
      <xdr:rowOff>17172</xdr:rowOff>
    </xdr:to>
    <xdr:pic macro="[0]!next_sheet">
      <xdr:nvPicPr>
        <xdr:cNvPr id="6" name="Picture 5" descr="Next.png">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4" cstate="print"/>
        <a:stretch>
          <a:fillRect/>
        </a:stretch>
      </xdr:blipFill>
      <xdr:spPr>
        <a:xfrm>
          <a:off x="8689837" y="648219"/>
          <a:ext cx="436470" cy="426228"/>
        </a:xfrm>
        <a:prstGeom prst="rect">
          <a:avLst/>
        </a:prstGeom>
      </xdr:spPr>
    </xdr:pic>
    <xdr:clientData fLocksWithSheet="0" fPrintsWithSheet="0"/>
  </xdr:twoCellAnchor>
  <xdr:twoCellAnchor>
    <xdr:from>
      <xdr:col>8</xdr:col>
      <xdr:colOff>679778</xdr:colOff>
      <xdr:row>2</xdr:row>
      <xdr:rowOff>38619</xdr:rowOff>
    </xdr:from>
    <xdr:to>
      <xdr:col>8</xdr:col>
      <xdr:colOff>1124556</xdr:colOff>
      <xdr:row>4</xdr:row>
      <xdr:rowOff>17172</xdr:rowOff>
    </xdr:to>
    <xdr:pic macro="[0]!previous_sheet">
      <xdr:nvPicPr>
        <xdr:cNvPr id="7" name="Picture 6" descr="Previous-icon.png">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5" cstate="print"/>
        <a:stretch>
          <a:fillRect/>
        </a:stretch>
      </xdr:blipFill>
      <xdr:spPr>
        <a:xfrm flipV="1">
          <a:off x="8214053" y="648219"/>
          <a:ext cx="444778" cy="426228"/>
        </a:xfrm>
        <a:prstGeom prst="rect">
          <a:avLst/>
        </a:prstGeom>
      </xdr:spPr>
    </xdr:pic>
    <xdr:clientData fLocksWithSheet="0"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si\GroupDir\ASI\IN\SGGSC\SGGSC-HUM-COM\New%20Joiners%20Form\COSS-HRO\Automation\HK\Form%20D\Updated\New%20Joining%20Form%20%20(Employee%20&amp;%20Temp%20with%20Payrol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si\GroupDir\ASI\IN\SGGSC\SGGSC-HUM-COM\New%20Joiners%20Form\COSS-HRO\Automation\HK\Form%20D\Personal%20Information%20Form%20(Employe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ructions"/>
      <sheetName val="Personal Information Form"/>
      <sheetName val="Beneficiary Nomination Form"/>
      <sheetName val="Medical Enrollment Form"/>
      <sheetName val="Compliance Undertaking"/>
      <sheetName val="Retirement Plan Selection Form"/>
      <sheetName val="Declaration of Fit and Proper"/>
      <sheetName val="Confidentiality Undertaking"/>
      <sheetName val="Directorship Declaration Form"/>
      <sheetName val="Declaration of Personal account"/>
      <sheetName val="New Hire Form(HR Only)"/>
      <sheetName val="List"/>
    </sheetNames>
    <sheetDataSet>
      <sheetData sheetId="0"/>
      <sheetData sheetId="1"/>
      <sheetData sheetId="2">
        <row r="106">
          <cell r="P106">
            <v>0</v>
          </cell>
        </row>
      </sheetData>
      <sheetData sheetId="3">
        <row r="53">
          <cell r="O53">
            <v>0</v>
          </cell>
        </row>
      </sheetData>
      <sheetData sheetId="4"/>
      <sheetData sheetId="5"/>
      <sheetData sheetId="6"/>
      <sheetData sheetId="7"/>
      <sheetData sheetId="8"/>
      <sheetData sheetId="9">
        <row r="33">
          <cell r="L33">
            <v>0</v>
          </cell>
        </row>
      </sheetData>
      <sheetData sheetId="10">
        <row r="45">
          <cell r="L45">
            <v>0</v>
          </cell>
        </row>
      </sheetData>
      <sheetData sheetId="11"/>
      <sheetData sheetId="12">
        <row r="2">
          <cell r="F2">
            <v>0</v>
          </cell>
        </row>
        <row r="3">
          <cell r="F3">
            <v>0</v>
          </cell>
        </row>
        <row r="4">
          <cell r="F4">
            <v>0</v>
          </cell>
        </row>
        <row r="5">
          <cell r="F5">
            <v>0</v>
          </cell>
        </row>
        <row r="6">
          <cell r="F6">
            <v>0</v>
          </cell>
        </row>
        <row r="7">
          <cell r="F7">
            <v>0</v>
          </cell>
        </row>
        <row r="8">
          <cell r="F8">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ructions"/>
      <sheetName val="Personal Information Form"/>
      <sheetName val="Beneficiary Nomination Form"/>
      <sheetName val="Medical Enrollment Form"/>
      <sheetName val="Compliance Undertaking"/>
      <sheetName val="Retirement Plan Selection Form"/>
      <sheetName val="Declaration of Fit and Proper"/>
      <sheetName val="Confidentiality Undertaking"/>
      <sheetName val="Directorship Declaration Form"/>
      <sheetName val="Declaration of Personal account"/>
      <sheetName val="New Hire Form(HR Only)"/>
      <sheetName val="List"/>
    </sheetNames>
    <sheetDataSet>
      <sheetData sheetId="0" refreshError="1"/>
      <sheetData sheetId="1" refreshError="1"/>
      <sheetData sheetId="2">
        <row r="13">
          <cell r="D13">
            <v>0</v>
          </cell>
        </row>
      </sheetData>
      <sheetData sheetId="3"/>
      <sheetData sheetId="4"/>
      <sheetData sheetId="5" refreshError="1"/>
      <sheetData sheetId="6" refreshError="1"/>
      <sheetData sheetId="7" refreshError="1"/>
      <sheetData sheetId="8" refreshError="1"/>
      <sheetData sheetId="9" refreshError="1"/>
      <sheetData sheetId="10" refreshError="1"/>
      <sheetData sheetId="11"/>
      <sheetData sheetId="12">
        <row r="2">
          <cell r="D2" t="str">
            <v>Spouse</v>
          </cell>
        </row>
        <row r="3">
          <cell r="D3" t="str">
            <v>Son</v>
          </cell>
        </row>
        <row r="4">
          <cell r="D4" t="str">
            <v>Daughter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AK28"/>
  <sheetViews>
    <sheetView zoomScale="70" zoomScaleNormal="70" workbookViewId="0">
      <selection activeCell="B4" sqref="B4"/>
    </sheetView>
  </sheetViews>
  <sheetFormatPr defaultRowHeight="14.4" x14ac:dyDescent="0.3"/>
  <cols>
    <col min="1" max="1" width="1.6640625" customWidth="1"/>
    <col min="2" max="2" width="28.6640625" bestFit="1" customWidth="1"/>
    <col min="3" max="3" width="19.44140625" bestFit="1" customWidth="1"/>
    <col min="4" max="4" width="20.6640625" bestFit="1" customWidth="1"/>
    <col min="5" max="5" width="19.5546875" bestFit="1" customWidth="1"/>
    <col min="6" max="6" width="28.109375" bestFit="1" customWidth="1"/>
    <col min="7" max="7" width="20.6640625" bestFit="1" customWidth="1"/>
    <col min="8" max="8" width="16.6640625" bestFit="1" customWidth="1"/>
    <col min="9" max="9" width="15.44140625" bestFit="1" customWidth="1"/>
    <col min="10" max="10" width="24.6640625" bestFit="1" customWidth="1"/>
    <col min="11" max="11" width="9.6640625" bestFit="1" customWidth="1"/>
    <col min="12" max="12" width="19.44140625" bestFit="1" customWidth="1"/>
    <col min="13" max="13" width="13.33203125" bestFit="1" customWidth="1"/>
    <col min="14" max="14" width="11.88671875" bestFit="1" customWidth="1"/>
    <col min="15" max="15" width="33.44140625" bestFit="1" customWidth="1"/>
    <col min="16" max="17" width="22.33203125" bestFit="1" customWidth="1"/>
    <col min="18" max="18" width="10.5546875" bestFit="1" customWidth="1"/>
    <col min="19" max="19" width="10.44140625" bestFit="1" customWidth="1"/>
    <col min="21" max="21" width="19.5546875" bestFit="1" customWidth="1"/>
    <col min="22" max="22" width="11.44140625" bestFit="1" customWidth="1"/>
    <col min="23" max="23" width="24.6640625" bestFit="1" customWidth="1"/>
    <col min="24" max="24" width="23.88671875" bestFit="1" customWidth="1"/>
    <col min="25" max="25" width="16.44140625" bestFit="1" customWidth="1"/>
    <col min="26" max="26" width="13.5546875" bestFit="1" customWidth="1"/>
    <col min="27" max="27" width="14.44140625" bestFit="1" customWidth="1"/>
    <col min="28" max="28" width="14.109375" bestFit="1" customWidth="1"/>
    <col min="29" max="29" width="16.44140625" bestFit="1" customWidth="1"/>
    <col min="30" max="30" width="12.44140625" bestFit="1" customWidth="1"/>
    <col min="31" max="31" width="18.109375" bestFit="1" customWidth="1"/>
    <col min="32" max="32" width="14.44140625" bestFit="1" customWidth="1"/>
    <col min="33" max="33" width="11" bestFit="1" customWidth="1"/>
    <col min="34" max="34" width="74.88671875" bestFit="1" customWidth="1"/>
    <col min="35" max="36" width="9.88671875" bestFit="1" customWidth="1"/>
    <col min="37" max="37" width="20.33203125" bestFit="1" customWidth="1"/>
  </cols>
  <sheetData>
    <row r="2" spans="2:13" x14ac:dyDescent="0.3">
      <c r="B2" s="620" t="s">
        <v>614</v>
      </c>
    </row>
    <row r="3" spans="2:13" x14ac:dyDescent="0.3">
      <c r="B3" s="620" t="s">
        <v>588</v>
      </c>
      <c r="C3" s="620" t="s">
        <v>589</v>
      </c>
      <c r="D3" s="620" t="s">
        <v>590</v>
      </c>
      <c r="E3" s="621" t="s">
        <v>591</v>
      </c>
      <c r="F3" s="620" t="s">
        <v>592</v>
      </c>
      <c r="G3" s="621" t="s">
        <v>593</v>
      </c>
      <c r="H3" s="620" t="s">
        <v>594</v>
      </c>
      <c r="I3" s="621" t="s">
        <v>595</v>
      </c>
      <c r="J3" s="620" t="s">
        <v>18</v>
      </c>
      <c r="K3" s="620" t="s">
        <v>335</v>
      </c>
      <c r="L3" s="620" t="s">
        <v>596</v>
      </c>
    </row>
    <row r="4" spans="2:13" x14ac:dyDescent="0.3">
      <c r="B4" s="622" t="s">
        <v>123</v>
      </c>
      <c r="C4" s="623" t="str">
        <f t="shared" ref="C4:C10" si="0">IF(Empl_No=0,"",Empl_No)</f>
        <v/>
      </c>
      <c r="D4" s="624" t="str">
        <f>E_Name</f>
        <v>Gaurav  Singh</v>
      </c>
      <c r="E4" s="625" t="str">
        <f t="shared" ref="E4:E10" si="1">IF(DOJ=0,"",DOJ)</f>
        <v/>
      </c>
      <c r="F4" s="622" t="str">
        <f>IF('Personal Information'!$D$21=0,"",'Personal Information'!$D$21)</f>
        <v/>
      </c>
      <c r="G4" s="626"/>
      <c r="H4" s="627" t="str">
        <f>IF('Personal Information'!$D$22=0,"",'Personal Information'!$D$22)</f>
        <v/>
      </c>
      <c r="I4" s="625">
        <f>IF(DOB=0,"",DOB)</f>
        <v>34101</v>
      </c>
      <c r="J4" s="622" t="s">
        <v>597</v>
      </c>
      <c r="K4" s="622" t="str">
        <f>IF(Sex=0,"",Sex)</f>
        <v>MALE</v>
      </c>
      <c r="L4" s="622" t="str">
        <f>IF(E_Name=0,"",E_Name)</f>
        <v>Gaurav  Singh</v>
      </c>
    </row>
    <row r="5" spans="2:13" x14ac:dyDescent="0.3">
      <c r="B5" s="622" t="s">
        <v>598</v>
      </c>
      <c r="C5" s="623" t="str">
        <f t="shared" si="0"/>
        <v/>
      </c>
      <c r="D5" s="624" t="str">
        <f>IF('Personal Information'!B106=0,"",'Personal Information'!B106)</f>
        <v>Siyaram Singh</v>
      </c>
      <c r="E5" s="625" t="str">
        <f t="shared" si="1"/>
        <v/>
      </c>
      <c r="F5" s="622" t="str">
        <f>IF('Personal Information'!$D$21=0,"",'Personal Information'!$D$21)</f>
        <v/>
      </c>
      <c r="G5" s="626"/>
      <c r="H5" s="627" t="str">
        <f>IF('Personal Information'!$D$22=0,"",'Personal Information'!$D$22)</f>
        <v/>
      </c>
      <c r="I5" s="625">
        <f>IF('Personal Information'!F106=0,"",'Personal Information'!F106)</f>
        <v>22867</v>
      </c>
      <c r="J5" s="622" t="str">
        <f>IF('Personal Information'!D106=0,"",'Personal Information'!D106)</f>
        <v>FATHER</v>
      </c>
      <c r="K5" s="622" t="str">
        <f>IF(OR(J5=0,J5=""),"",IF(OR(J5="Wife",J5="Daughter",J5="Mother"),"Female","Male"))</f>
        <v>Male</v>
      </c>
      <c r="L5" s="622" t="str">
        <f t="shared" ref="L5:L10" si="2">IF(OR(E_Name=0,D5=0),"",E_Name)</f>
        <v>Gaurav  Singh</v>
      </c>
    </row>
    <row r="6" spans="2:13" x14ac:dyDescent="0.3">
      <c r="B6" s="622" t="s">
        <v>599</v>
      </c>
      <c r="C6" s="623" t="str">
        <f t="shared" si="0"/>
        <v/>
      </c>
      <c r="D6" s="624" t="str">
        <f>IF('Personal Information'!B107=0,"",'Personal Information'!B107)</f>
        <v>Rajkumari Singh</v>
      </c>
      <c r="E6" s="625" t="str">
        <f t="shared" si="1"/>
        <v/>
      </c>
      <c r="F6" s="622" t="str">
        <f>IF('Personal Information'!$D$21=0,"",'Personal Information'!$D$21)</f>
        <v/>
      </c>
      <c r="G6" s="626"/>
      <c r="H6" s="627" t="str">
        <f>IF('Personal Information'!$D$22=0,"",'Personal Information'!$D$22)</f>
        <v/>
      </c>
      <c r="I6" s="625">
        <f>IF('Personal Information'!F107=0,"",'Personal Information'!F107)</f>
        <v>25107</v>
      </c>
      <c r="J6" s="622" t="str">
        <f>IF('Personal Information'!D107=0,"",'Personal Information'!D107)</f>
        <v>MOTHER</v>
      </c>
      <c r="K6" s="622" t="str">
        <f t="shared" ref="K6:K10" si="3">IF(OR(J6=0,J6=""),"",IF(OR(J6="Wife",J6="Daughter",J6="Mother"),"Female","Male"))</f>
        <v>Female</v>
      </c>
      <c r="L6" s="622" t="str">
        <f t="shared" si="2"/>
        <v>Gaurav  Singh</v>
      </c>
    </row>
    <row r="7" spans="2:13" x14ac:dyDescent="0.3">
      <c r="B7" s="622" t="s">
        <v>600</v>
      </c>
      <c r="C7" s="623" t="str">
        <f t="shared" si="0"/>
        <v/>
      </c>
      <c r="D7" s="624" t="str">
        <f>IF('Personal Information'!B108=0,"",'Personal Information'!B108)</f>
        <v/>
      </c>
      <c r="E7" s="625" t="str">
        <f t="shared" si="1"/>
        <v/>
      </c>
      <c r="F7" s="622" t="str">
        <f>IF('Personal Information'!$D$21=0,"",'Personal Information'!$D$21)</f>
        <v/>
      </c>
      <c r="G7" s="626"/>
      <c r="H7" s="627" t="str">
        <f>IF('Personal Information'!$D$22=0,"",'Personal Information'!$D$22)</f>
        <v/>
      </c>
      <c r="I7" s="625" t="str">
        <f>IF('Personal Information'!F108=0,"",'Personal Information'!F108)</f>
        <v/>
      </c>
      <c r="J7" s="622" t="str">
        <f>IF('Personal Information'!D108=0,"",'Personal Information'!D108)</f>
        <v/>
      </c>
      <c r="K7" s="622" t="str">
        <f t="shared" si="3"/>
        <v/>
      </c>
      <c r="L7" s="622" t="str">
        <f t="shared" si="2"/>
        <v>Gaurav  Singh</v>
      </c>
    </row>
    <row r="8" spans="2:13" x14ac:dyDescent="0.3">
      <c r="B8" s="622" t="s">
        <v>601</v>
      </c>
      <c r="C8" s="623" t="str">
        <f t="shared" si="0"/>
        <v/>
      </c>
      <c r="D8" s="624" t="str">
        <f>IF('Personal Information'!B109=0,"",'Personal Information'!B109)</f>
        <v/>
      </c>
      <c r="E8" s="625" t="str">
        <f t="shared" si="1"/>
        <v/>
      </c>
      <c r="F8" s="622" t="str">
        <f>IF('Personal Information'!$D$21=0,"",'Personal Information'!$D$21)</f>
        <v/>
      </c>
      <c r="G8" s="626"/>
      <c r="H8" s="627" t="str">
        <f>IF('Personal Information'!$D$22=0,"",'Personal Information'!$D$22)</f>
        <v/>
      </c>
      <c r="I8" s="625" t="str">
        <f>IF('Personal Information'!F109=0,"",'Personal Information'!F109)</f>
        <v/>
      </c>
      <c r="J8" s="622" t="str">
        <f>IF('Personal Information'!D109=0,"",'Personal Information'!D109)</f>
        <v/>
      </c>
      <c r="K8" s="622" t="str">
        <f t="shared" si="3"/>
        <v/>
      </c>
      <c r="L8" s="622" t="str">
        <f t="shared" si="2"/>
        <v>Gaurav  Singh</v>
      </c>
    </row>
    <row r="9" spans="2:13" x14ac:dyDescent="0.3">
      <c r="B9" s="622" t="s">
        <v>602</v>
      </c>
      <c r="C9" s="623" t="str">
        <f t="shared" si="0"/>
        <v/>
      </c>
      <c r="D9" s="624" t="str">
        <f>IF('Personal Information'!B110=0,"",'Personal Information'!B110)</f>
        <v/>
      </c>
      <c r="E9" s="625" t="str">
        <f t="shared" si="1"/>
        <v/>
      </c>
      <c r="F9" s="622" t="str">
        <f>IF('Personal Information'!$D$21=0,"",'Personal Information'!$D$21)</f>
        <v/>
      </c>
      <c r="G9" s="626"/>
      <c r="H9" s="627" t="str">
        <f>IF('Personal Information'!$D$22=0,"",'Personal Information'!$D$22)</f>
        <v/>
      </c>
      <c r="I9" s="625" t="str">
        <f>IF('Personal Information'!F110=0,"",'Personal Information'!F110)</f>
        <v/>
      </c>
      <c r="J9" s="622" t="str">
        <f>IF('Personal Information'!D110=0,"",'Personal Information'!D110)</f>
        <v/>
      </c>
      <c r="K9" s="622" t="str">
        <f t="shared" si="3"/>
        <v/>
      </c>
      <c r="L9" s="622" t="str">
        <f t="shared" si="2"/>
        <v>Gaurav  Singh</v>
      </c>
    </row>
    <row r="10" spans="2:13" x14ac:dyDescent="0.3">
      <c r="B10" s="622" t="s">
        <v>603</v>
      </c>
      <c r="C10" s="623" t="str">
        <f t="shared" si="0"/>
        <v/>
      </c>
      <c r="D10" s="624" t="str">
        <f>IF('Personal Information'!B111=0,"",'Personal Information'!B111)</f>
        <v/>
      </c>
      <c r="E10" s="625" t="str">
        <f t="shared" si="1"/>
        <v/>
      </c>
      <c r="F10" s="622" t="str">
        <f>IF('Personal Information'!$D$21=0,"",'Personal Information'!$D$21)</f>
        <v/>
      </c>
      <c r="G10" s="626"/>
      <c r="H10" s="627" t="str">
        <f>IF('Personal Information'!$D$22=0,"",'Personal Information'!$D$22)</f>
        <v/>
      </c>
      <c r="I10" s="625" t="str">
        <f>IF('Personal Information'!F111=0,"",'Personal Information'!F111)</f>
        <v/>
      </c>
      <c r="J10" s="622" t="str">
        <f>IF('Personal Information'!D111=0,"",'Personal Information'!D111)</f>
        <v/>
      </c>
      <c r="K10" s="622" t="str">
        <f t="shared" si="3"/>
        <v/>
      </c>
      <c r="L10" s="622" t="str">
        <f t="shared" si="2"/>
        <v>Gaurav  Singh</v>
      </c>
    </row>
    <row r="12" spans="2:13" x14ac:dyDescent="0.3">
      <c r="B12" s="632" t="s">
        <v>615</v>
      </c>
    </row>
    <row r="13" spans="2:13" x14ac:dyDescent="0.3">
      <c r="B13" s="632" t="s">
        <v>604</v>
      </c>
      <c r="C13" s="632" t="s">
        <v>605</v>
      </c>
      <c r="D13" s="632" t="s">
        <v>591</v>
      </c>
      <c r="E13" s="632" t="s">
        <v>606</v>
      </c>
      <c r="F13" s="632" t="s">
        <v>607</v>
      </c>
      <c r="G13" s="632" t="s">
        <v>394</v>
      </c>
      <c r="H13" s="632" t="s">
        <v>608</v>
      </c>
      <c r="I13" s="632" t="s">
        <v>609</v>
      </c>
      <c r="J13" s="632" t="s">
        <v>610</v>
      </c>
      <c r="K13" s="632" t="s">
        <v>611</v>
      </c>
      <c r="L13" s="632" t="s">
        <v>612</v>
      </c>
      <c r="M13" s="632" t="s">
        <v>613</v>
      </c>
    </row>
    <row r="14" spans="2:13" x14ac:dyDescent="0.3">
      <c r="B14" s="628" t="str">
        <f>IF(Empl_No=0,"",Empl_No)</f>
        <v/>
      </c>
      <c r="C14" s="628" t="str">
        <f>IF(E_Name=0,"",E_Name)</f>
        <v>Gaurav  Singh</v>
      </c>
      <c r="D14" s="629" t="str">
        <f>IF(DOJ=0,"",DOJ)</f>
        <v/>
      </c>
      <c r="E14" s="630" t="str">
        <f>TEXT(D14,"mmm-yy")</f>
        <v/>
      </c>
      <c r="F14" s="628" t="str">
        <f>IF('Personal Information'!$D$29=0,"",'Personal Information'!$D$29)</f>
        <v>Non-Kannadiga</v>
      </c>
      <c r="G14" s="628" t="str">
        <f>IF('Personal Information'!$D$31=0,"",'Personal Information'!$D$31)</f>
        <v>Hindu</v>
      </c>
      <c r="H14" s="628" t="str">
        <f>IF('Personal Information'!$D$32=0,"",'Personal Information'!$D$32)</f>
        <v>Jatav</v>
      </c>
      <c r="I14" s="628" t="str">
        <f>IF('Personal Information'!$D$28=0,"",'Personal Information'!$D$28)</f>
        <v>INDIA</v>
      </c>
      <c r="J14" s="631" t="str">
        <f>IF('Personal Information'!$D$51=0,"",'Personal Information'!$D$51)</f>
        <v>gaurav.mail125@gmail.com</v>
      </c>
      <c r="K14" s="631" t="str">
        <f>IF('Personal Information'!$B$86=0,"",'Personal Information'!$B$86)</f>
        <v>MCA</v>
      </c>
      <c r="L14" s="631"/>
      <c r="M14" s="628" t="str">
        <f>IF('Personal Information'!$D$28=0,"",'Personal Information'!$D$28)</f>
        <v>INDIA</v>
      </c>
    </row>
    <row r="19" spans="2:37" x14ac:dyDescent="0.3">
      <c r="B19" s="733" t="s">
        <v>616</v>
      </c>
      <c r="C19" s="733"/>
      <c r="D19" s="733"/>
      <c r="E19" s="733"/>
      <c r="F19" s="733"/>
      <c r="G19" s="733" t="s">
        <v>617</v>
      </c>
      <c r="H19" s="733"/>
      <c r="I19" s="733"/>
      <c r="J19" s="733"/>
      <c r="K19" s="733" t="s">
        <v>618</v>
      </c>
      <c r="L19" s="733"/>
      <c r="M19" s="733"/>
      <c r="N19" s="733"/>
      <c r="O19" s="733" t="s">
        <v>619</v>
      </c>
      <c r="P19" s="733"/>
      <c r="Q19" s="733"/>
      <c r="R19" s="733"/>
      <c r="S19" s="733"/>
      <c r="T19" s="733"/>
      <c r="U19" s="733"/>
      <c r="V19" s="733"/>
      <c r="W19" s="733"/>
      <c r="X19" s="733" t="s">
        <v>620</v>
      </c>
      <c r="Y19" s="733"/>
      <c r="Z19" s="733"/>
      <c r="AA19" s="733"/>
      <c r="AB19" s="733"/>
      <c r="AC19" s="638" t="s">
        <v>621</v>
      </c>
      <c r="AD19" s="732" t="s">
        <v>16</v>
      </c>
      <c r="AE19" s="732"/>
      <c r="AF19" s="732"/>
      <c r="AG19" s="732"/>
      <c r="AH19" s="639" t="s">
        <v>79</v>
      </c>
      <c r="AI19" s="639"/>
      <c r="AJ19" s="639"/>
      <c r="AK19" s="639"/>
    </row>
    <row r="20" spans="2:37" x14ac:dyDescent="0.3">
      <c r="B20" s="634" t="s">
        <v>622</v>
      </c>
      <c r="C20" s="635" t="s">
        <v>3</v>
      </c>
      <c r="D20" s="634" t="s">
        <v>623</v>
      </c>
      <c r="E20" s="636" t="s">
        <v>21</v>
      </c>
      <c r="F20" s="643" t="s">
        <v>624</v>
      </c>
      <c r="G20" s="636" t="s">
        <v>121</v>
      </c>
      <c r="H20" s="636" t="s">
        <v>22</v>
      </c>
      <c r="I20" s="636" t="s">
        <v>23</v>
      </c>
      <c r="J20" s="636" t="s">
        <v>625</v>
      </c>
      <c r="K20" s="636" t="s">
        <v>626</v>
      </c>
      <c r="L20" s="636" t="s">
        <v>627</v>
      </c>
      <c r="M20" s="636" t="s">
        <v>628</v>
      </c>
      <c r="N20" s="636" t="s">
        <v>629</v>
      </c>
      <c r="O20" s="636" t="s">
        <v>630</v>
      </c>
      <c r="P20" s="636" t="s">
        <v>14</v>
      </c>
      <c r="Q20" s="636" t="s">
        <v>14</v>
      </c>
      <c r="R20" s="636" t="s">
        <v>631</v>
      </c>
      <c r="S20" s="636" t="s">
        <v>632</v>
      </c>
      <c r="T20" s="636" t="s">
        <v>633</v>
      </c>
      <c r="U20" s="636" t="s">
        <v>634</v>
      </c>
      <c r="V20" s="636" t="s">
        <v>635</v>
      </c>
      <c r="W20" s="636" t="s">
        <v>636</v>
      </c>
      <c r="X20" s="636" t="s">
        <v>637</v>
      </c>
      <c r="Y20" s="636" t="s">
        <v>638</v>
      </c>
      <c r="Z20" s="643" t="s">
        <v>639</v>
      </c>
      <c r="AA20" s="643" t="s">
        <v>640</v>
      </c>
      <c r="AB20" s="636" t="s">
        <v>641</v>
      </c>
      <c r="AC20" s="636" t="s">
        <v>642</v>
      </c>
      <c r="AD20" s="637" t="s">
        <v>17</v>
      </c>
      <c r="AE20" s="637" t="s">
        <v>76</v>
      </c>
      <c r="AF20" s="637" t="s">
        <v>77</v>
      </c>
      <c r="AG20" s="637" t="s">
        <v>48</v>
      </c>
      <c r="AH20" s="633" t="s">
        <v>78</v>
      </c>
      <c r="AI20" s="633" t="s">
        <v>80</v>
      </c>
      <c r="AJ20" s="633" t="s">
        <v>81</v>
      </c>
      <c r="AK20" s="633" t="s">
        <v>82</v>
      </c>
    </row>
    <row r="21" spans="2:37" x14ac:dyDescent="0.3">
      <c r="B21" s="111" t="str">
        <f>IF(F_Name=0,"",F_Name)</f>
        <v>Gaurav</v>
      </c>
      <c r="C21" s="111" t="str">
        <f>IF(M_Name=0,"",M_Name)</f>
        <v/>
      </c>
      <c r="D21" s="111" t="str">
        <f>IF(L_Name=0,"",L_Name)</f>
        <v>Singh</v>
      </c>
      <c r="E21" s="642" t="str">
        <f>IF(Empl_No=0,"",Empl_No)</f>
        <v/>
      </c>
      <c r="F21" s="644">
        <f>IF(DOB=0,"",DOB)</f>
        <v>34101</v>
      </c>
      <c r="G21" s="94" t="str">
        <f>IF(TOE_PI=0,"",TOE_PI)</f>
        <v/>
      </c>
      <c r="H21" s="111" t="str">
        <f>IF('Personal Information'!$D$21=0,"",'Personal Information'!$D$21)</f>
        <v/>
      </c>
      <c r="I21" s="111" t="str">
        <f>IF('Personal Information'!$D$22=0,"",'Personal Information'!$D$22)</f>
        <v/>
      </c>
      <c r="J21" s="111" t="str">
        <f>IF('Personal Information'!$D$23=0,"",'Personal Information'!$D$23)</f>
        <v>Bangalore</v>
      </c>
      <c r="K21" s="111" t="str">
        <f>IF(Sex=0,"",Sex)</f>
        <v>MALE</v>
      </c>
      <c r="L21" s="111" t="str">
        <f>IF(M_Status=0,"",M_Status)</f>
        <v>UNMARRIED</v>
      </c>
      <c r="M21" s="111" t="str">
        <f>IF('Personal Information'!$D$27=0,"",'Personal Information'!$D$27)</f>
        <v>O+</v>
      </c>
      <c r="N21" s="111" t="str">
        <f>M14</f>
        <v>INDIA</v>
      </c>
      <c r="O21" s="111" t="str">
        <f>IF('Personal Information'!$D$43=0,"",'Personal Information'!$D$43)</f>
        <v>Flat 201 Sree Hanuma's Srivatsa Residency</v>
      </c>
      <c r="P21" s="111" t="str">
        <f>IF('Personal Information'!$D$44=0,"",'Personal Information'!$D$44)</f>
        <v>Serilinghampally</v>
      </c>
      <c r="Q21" s="111" t="str">
        <f>IF('Personal Information'!$D$45=0,"",'Personal Information'!$D$45)</f>
        <v/>
      </c>
      <c r="R21" s="111" t="str">
        <f>IF('Personal Information'!$D$46=0,"",'Personal Information'!$D$46)</f>
        <v>Hyderabad</v>
      </c>
      <c r="S21" s="111" t="str">
        <f>IF('Personal Information'!$D$47=0,"",'Personal Information'!$D$47)</f>
        <v>Telangana</v>
      </c>
      <c r="T21" s="111">
        <f>IF('Personal Information'!$D$48=0,"",'Personal Information'!$D$48)</f>
        <v>500019</v>
      </c>
      <c r="U21" s="111" t="str">
        <f>IF('Personal Information'!$D$49=0,"",'Personal Information'!$D$49)</f>
        <v/>
      </c>
      <c r="V21" s="111">
        <f>IF('Personal Information'!$D$50=0,"",'Personal Information'!$D$50)</f>
        <v>9407669172</v>
      </c>
      <c r="W21" s="111" t="str">
        <f>IF('Personal Information'!$D$51=0,"",'Personal Information'!$D$51)</f>
        <v>gaurav.mail125@gmail.com</v>
      </c>
      <c r="X21" s="111" t="str">
        <f>IF('Personal Information'!$D$54=0,"",'Personal Information'!$D$54)</f>
        <v>GAURAV SINGH</v>
      </c>
      <c r="Y21" s="642" t="str">
        <f>IF('Personal Information'!$D$55=0,"",'Personal Information'!$D$55)</f>
        <v>N4692959</v>
      </c>
      <c r="Z21" s="644">
        <f>IF('Personal Information'!$D$56=0,"",'Personal Information'!$D$56)</f>
        <v>42376</v>
      </c>
      <c r="AA21" s="644">
        <f>IF('Personal Information'!$D$57=0,"",'Personal Information'!$D$57)</f>
        <v>46028</v>
      </c>
      <c r="AB21" s="94" t="str">
        <f>IF('Personal Information'!$D$58=0,"",'Personal Information'!$D$58)</f>
        <v>RAIPUR</v>
      </c>
      <c r="AC21" s="111" t="str">
        <f>IF('Personal Information'!$D$64=0,"",'Personal Information'!$D$64)</f>
        <v>EFIPS5903D</v>
      </c>
      <c r="AD21" s="111" t="str">
        <f>IF('Personal Information'!$B$86=0,"",'Personal Information'!$B$86)</f>
        <v>MCA</v>
      </c>
      <c r="AE21" s="111" t="str">
        <f>IF('Personal Information'!$D$86=0,"",'Personal Information'!$D$86)</f>
        <v>CHHATTISGARH SWAMI VIVEKANAND TECHNICAL UNIVERSITY</v>
      </c>
      <c r="AF21" s="111">
        <f>IF('Personal Information'!$F$86=0,"",'Personal Information'!$F$86)</f>
        <v>2016</v>
      </c>
      <c r="AG21" s="646">
        <f>IF('Personal Information'!$H$86=0,"",'Personal Information'!$H$86)</f>
        <v>0.82040000000000002</v>
      </c>
      <c r="AH21" s="111" t="str">
        <f>IF('Personal Information'!$B$96=0,"",'Personal Information'!$B$96)</f>
        <v>DBS BANK HYDERABAD</v>
      </c>
      <c r="AI21" s="645">
        <f>IF('Personal Information'!$D$96=0,"",'Personal Information'!$D$96)</f>
        <v>43255</v>
      </c>
      <c r="AJ21" s="645" t="str">
        <f>IF('Personal Information'!$F$96=0,"",'Personal Information'!$F$96)</f>
        <v/>
      </c>
      <c r="AK21" s="111" t="str">
        <f>IF('Personal Information'!$H$96=0,"",'Personal Information'!$H$96)</f>
        <v>SOFTWARE DEVELOPMENT ENGINEER</v>
      </c>
    </row>
    <row r="26" spans="2:37" x14ac:dyDescent="0.3">
      <c r="B26" s="641" t="s">
        <v>646</v>
      </c>
    </row>
    <row r="27" spans="2:37" x14ac:dyDescent="0.3">
      <c r="B27" s="641" t="s">
        <v>605</v>
      </c>
      <c r="C27" s="641" t="s">
        <v>643</v>
      </c>
      <c r="D27" s="641" t="s">
        <v>21</v>
      </c>
      <c r="E27" s="641" t="s">
        <v>121</v>
      </c>
      <c r="F27" s="641" t="s">
        <v>644</v>
      </c>
      <c r="G27" s="641" t="s">
        <v>427</v>
      </c>
      <c r="H27" s="641" t="s">
        <v>25</v>
      </c>
      <c r="I27" s="641" t="s">
        <v>645</v>
      </c>
    </row>
    <row r="28" spans="2:37" x14ac:dyDescent="0.3">
      <c r="B28" s="640" t="str">
        <f>IF(E_Name=0,"",E_Name)</f>
        <v>Gaurav  Singh</v>
      </c>
      <c r="C28" s="640" t="str">
        <f>IF('Personal Information'!$D$16=0,"",'Personal Information'!$D$16)</f>
        <v>Siyaram Singh</v>
      </c>
      <c r="D28" s="640" t="str">
        <f>IF(Empl_No=0,"",Empl_No)</f>
        <v/>
      </c>
      <c r="E28" s="640" t="str">
        <f>IF(TOE_PI=0,"",TOE_PI)</f>
        <v/>
      </c>
      <c r="F28" s="640" t="str">
        <f>IF('Personal Information'!$D$23=0,"",'Personal Information'!$D$23)</f>
        <v>Bangalore</v>
      </c>
      <c r="G28" s="640" t="str">
        <f>IF(M_Status=0,"",M_Status)</f>
        <v>UNMARRIED</v>
      </c>
      <c r="H28" s="640" t="str">
        <f>IF('Personal Information'!$D$27=0,"",'Personal Information'!$D$27)</f>
        <v>O+</v>
      </c>
      <c r="I28" s="640" t="str">
        <f>IF('Personal Information'!$D$64=0,"",'Personal Information'!$D$64)</f>
        <v>EFIPS5903D</v>
      </c>
    </row>
  </sheetData>
  <sheetProtection password="CA99" sheet="1" objects="1" scenarios="1"/>
  <mergeCells count="6">
    <mergeCell ref="AD19:AG19"/>
    <mergeCell ref="B19:F19"/>
    <mergeCell ref="G19:J19"/>
    <mergeCell ref="K19:N19"/>
    <mergeCell ref="O19:W19"/>
    <mergeCell ref="X19:AB19"/>
  </mergeCells>
  <conditionalFormatting sqref="D3:D10">
    <cfRule type="duplicateValues" dxfId="33" priority="11" stopIfTrue="1"/>
  </conditionalFormatting>
  <conditionalFormatting sqref="D5:D10">
    <cfRule type="duplicateValues" dxfId="32" priority="10" stopIfTrue="1"/>
  </conditionalFormatting>
  <conditionalFormatting sqref="I5:I10">
    <cfRule type="duplicateValues" dxfId="31" priority="9" stopIfTrue="1"/>
  </conditionalFormatting>
  <conditionalFormatting sqref="J5:J10">
    <cfRule type="duplicateValues" dxfId="30" priority="7" stopIfTrue="1"/>
  </conditionalFormatting>
  <conditionalFormatting sqref="B14">
    <cfRule type="cellIs" dxfId="29" priority="5" stopIfTrue="1" operator="equal">
      <formula>0</formula>
    </cfRule>
  </conditionalFormatting>
  <conditionalFormatting sqref="B14">
    <cfRule type="duplicateValues" dxfId="28" priority="4"/>
  </conditionalFormatting>
  <conditionalFormatting sqref="B14">
    <cfRule type="duplicateValues" dxfId="27" priority="3"/>
  </conditionalFormatting>
  <conditionalFormatting sqref="B14">
    <cfRule type="duplicateValues" dxfId="26" priority="1" stopIfTrue="1"/>
    <cfRule type="duplicateValues" dxfId="25" priority="2" stopIfTrue="1"/>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31"/>
  <sheetViews>
    <sheetView workbookViewId="0">
      <selection activeCell="J7" sqref="J7"/>
    </sheetView>
  </sheetViews>
  <sheetFormatPr defaultColWidth="9.109375" defaultRowHeight="13.8" x14ac:dyDescent="0.3"/>
  <cols>
    <col min="1" max="1" width="11.88671875" style="32" bestFit="1" customWidth="1"/>
    <col min="2" max="2" width="14.5546875" style="32" bestFit="1" customWidth="1"/>
    <col min="3" max="3" width="10.6640625" style="32" bestFit="1" customWidth="1"/>
    <col min="4" max="4" width="6.88671875" style="32" bestFit="1" customWidth="1"/>
    <col min="5" max="5" width="10.6640625" style="32" bestFit="1" customWidth="1"/>
    <col min="6" max="7" width="10.5546875" style="32" bestFit="1" customWidth="1"/>
    <col min="8" max="8" width="9.88671875" style="32" bestFit="1" customWidth="1"/>
    <col min="9" max="10" width="9.109375" style="32"/>
    <col min="11" max="11" width="16.44140625" style="32" bestFit="1" customWidth="1"/>
    <col min="12" max="16384" width="9.109375" style="32"/>
  </cols>
  <sheetData>
    <row r="1" spans="1:11" x14ac:dyDescent="0.3">
      <c r="A1" s="27" t="s">
        <v>24</v>
      </c>
      <c r="B1" s="27" t="s">
        <v>22</v>
      </c>
      <c r="C1" s="28" t="s">
        <v>25</v>
      </c>
      <c r="D1" s="28" t="s">
        <v>9</v>
      </c>
      <c r="E1" s="28" t="s">
        <v>17</v>
      </c>
      <c r="F1" s="28" t="s">
        <v>18</v>
      </c>
      <c r="G1" s="28" t="s">
        <v>100</v>
      </c>
      <c r="H1" s="91" t="s">
        <v>101</v>
      </c>
      <c r="I1" s="91" t="s">
        <v>102</v>
      </c>
      <c r="J1" s="91" t="s">
        <v>122</v>
      </c>
      <c r="K1" s="91" t="s">
        <v>780</v>
      </c>
    </row>
    <row r="2" spans="1:11" x14ac:dyDescent="0.3">
      <c r="A2" s="33" t="s">
        <v>26</v>
      </c>
      <c r="B2" s="34" t="s">
        <v>27</v>
      </c>
      <c r="C2" s="33" t="s">
        <v>114</v>
      </c>
      <c r="D2" s="33" t="s">
        <v>28</v>
      </c>
      <c r="E2" s="61" t="s">
        <v>49</v>
      </c>
      <c r="F2" s="61" t="s">
        <v>87</v>
      </c>
      <c r="G2" s="61" t="s">
        <v>101</v>
      </c>
      <c r="H2" s="63" t="s">
        <v>103</v>
      </c>
      <c r="I2" s="63" t="s">
        <v>775</v>
      </c>
      <c r="J2" s="63" t="s">
        <v>123</v>
      </c>
      <c r="K2" s="63" t="s">
        <v>161</v>
      </c>
    </row>
    <row r="3" spans="1:11" x14ac:dyDescent="0.3">
      <c r="A3" s="33" t="s">
        <v>29</v>
      </c>
      <c r="B3" s="34" t="s">
        <v>30</v>
      </c>
      <c r="C3" s="33" t="s">
        <v>115</v>
      </c>
      <c r="D3" s="33" t="s">
        <v>31</v>
      </c>
      <c r="E3" s="61" t="s">
        <v>50</v>
      </c>
      <c r="F3" s="61" t="s">
        <v>88</v>
      </c>
      <c r="G3" s="61" t="s">
        <v>102</v>
      </c>
      <c r="H3" s="63" t="s">
        <v>104</v>
      </c>
      <c r="I3" s="63" t="s">
        <v>776</v>
      </c>
      <c r="J3" s="63" t="s">
        <v>124</v>
      </c>
      <c r="K3" s="63" t="s">
        <v>162</v>
      </c>
    </row>
    <row r="4" spans="1:11" x14ac:dyDescent="0.3">
      <c r="A4" s="33" t="s">
        <v>32</v>
      </c>
      <c r="B4" s="34" t="s">
        <v>33</v>
      </c>
      <c r="C4" s="33" t="s">
        <v>116</v>
      </c>
      <c r="D4" s="35" t="s">
        <v>723</v>
      </c>
      <c r="E4" s="61" t="s">
        <v>51</v>
      </c>
      <c r="F4" s="61" t="s">
        <v>89</v>
      </c>
      <c r="G4" s="61"/>
      <c r="H4" s="63" t="s">
        <v>105</v>
      </c>
      <c r="J4" s="63" t="s">
        <v>125</v>
      </c>
      <c r="K4" s="63" t="s">
        <v>163</v>
      </c>
    </row>
    <row r="5" spans="1:11" x14ac:dyDescent="0.3">
      <c r="A5" s="30" t="s">
        <v>34</v>
      </c>
      <c r="B5" s="34" t="s">
        <v>35</v>
      </c>
      <c r="C5" s="33" t="s">
        <v>117</v>
      </c>
      <c r="D5" s="35"/>
      <c r="E5" s="62" t="s">
        <v>52</v>
      </c>
      <c r="F5" s="62" t="s">
        <v>90</v>
      </c>
      <c r="G5" s="62"/>
      <c r="H5" s="63" t="s">
        <v>106</v>
      </c>
      <c r="J5" s="63" t="s">
        <v>711</v>
      </c>
      <c r="K5" s="63" t="s">
        <v>164</v>
      </c>
    </row>
    <row r="6" spans="1:11" x14ac:dyDescent="0.3">
      <c r="A6" s="31" t="s">
        <v>36</v>
      </c>
      <c r="B6" s="34" t="s">
        <v>37</v>
      </c>
      <c r="C6" s="33" t="s">
        <v>118</v>
      </c>
      <c r="D6" s="36"/>
      <c r="E6" s="62" t="s">
        <v>53</v>
      </c>
      <c r="F6" s="62" t="s">
        <v>91</v>
      </c>
      <c r="G6" s="62"/>
      <c r="H6" s="63" t="s">
        <v>107</v>
      </c>
      <c r="J6" s="63" t="s">
        <v>706</v>
      </c>
      <c r="K6" s="63" t="s">
        <v>165</v>
      </c>
    </row>
    <row r="7" spans="1:11" x14ac:dyDescent="0.3">
      <c r="A7" s="36"/>
      <c r="B7" s="34" t="s">
        <v>38</v>
      </c>
      <c r="C7" s="30" t="s">
        <v>119</v>
      </c>
      <c r="D7" s="36"/>
      <c r="E7" s="62" t="s">
        <v>54</v>
      </c>
      <c r="F7" s="62" t="s">
        <v>92</v>
      </c>
      <c r="G7" s="62"/>
      <c r="H7" s="63" t="s">
        <v>108</v>
      </c>
      <c r="J7" s="63" t="s">
        <v>779</v>
      </c>
      <c r="K7" s="63" t="s">
        <v>166</v>
      </c>
    </row>
    <row r="8" spans="1:11" x14ac:dyDescent="0.3">
      <c r="A8" s="35"/>
      <c r="B8" s="34" t="s">
        <v>39</v>
      </c>
      <c r="C8" s="33" t="s">
        <v>120</v>
      </c>
      <c r="D8" s="35"/>
      <c r="E8" s="62" t="s">
        <v>55</v>
      </c>
      <c r="F8" s="62"/>
      <c r="H8" s="63" t="s">
        <v>109</v>
      </c>
      <c r="K8" s="63" t="s">
        <v>167</v>
      </c>
    </row>
    <row r="9" spans="1:11" x14ac:dyDescent="0.3">
      <c r="A9" s="35"/>
      <c r="B9" s="34" t="s">
        <v>40</v>
      </c>
      <c r="C9" s="33" t="s">
        <v>701</v>
      </c>
      <c r="D9" s="35"/>
      <c r="E9" s="62" t="s">
        <v>56</v>
      </c>
      <c r="H9" s="63" t="s">
        <v>110</v>
      </c>
      <c r="K9" s="63" t="s">
        <v>168</v>
      </c>
    </row>
    <row r="10" spans="1:11" x14ac:dyDescent="0.3">
      <c r="A10" s="35"/>
      <c r="B10" s="34" t="s">
        <v>41</v>
      </c>
      <c r="C10" s="33"/>
      <c r="D10" s="35"/>
      <c r="E10" s="61" t="s">
        <v>57</v>
      </c>
      <c r="H10" s="63" t="s">
        <v>111</v>
      </c>
      <c r="K10" s="63" t="s">
        <v>169</v>
      </c>
    </row>
    <row r="11" spans="1:11" x14ac:dyDescent="0.3">
      <c r="A11" s="35"/>
      <c r="B11" s="34" t="s">
        <v>42</v>
      </c>
      <c r="C11" s="35"/>
      <c r="D11" s="35"/>
      <c r="E11" s="61" t="s">
        <v>58</v>
      </c>
      <c r="H11" s="63" t="s">
        <v>112</v>
      </c>
      <c r="K11" s="63" t="s">
        <v>170</v>
      </c>
    </row>
    <row r="12" spans="1:11" x14ac:dyDescent="0.3">
      <c r="A12" s="35"/>
      <c r="B12" s="34" t="s">
        <v>128</v>
      </c>
      <c r="C12" s="35"/>
      <c r="D12" s="35"/>
      <c r="E12" s="61" t="s">
        <v>708</v>
      </c>
      <c r="H12" s="63" t="s">
        <v>113</v>
      </c>
      <c r="K12" s="63" t="s">
        <v>171</v>
      </c>
    </row>
    <row r="13" spans="1:11" x14ac:dyDescent="0.3">
      <c r="A13" s="35"/>
      <c r="B13" s="34" t="s">
        <v>129</v>
      </c>
      <c r="C13" s="35"/>
      <c r="D13" s="35"/>
      <c r="E13" s="61" t="s">
        <v>709</v>
      </c>
      <c r="H13" s="63" t="s">
        <v>774</v>
      </c>
    </row>
    <row r="14" spans="1:11" x14ac:dyDescent="0.3">
      <c r="A14" s="35"/>
      <c r="B14" s="34" t="s">
        <v>130</v>
      </c>
      <c r="C14" s="35"/>
      <c r="D14" s="35"/>
      <c r="E14" s="61" t="s">
        <v>59</v>
      </c>
    </row>
    <row r="15" spans="1:11" x14ac:dyDescent="0.3">
      <c r="A15" s="35"/>
      <c r="B15" s="34" t="s">
        <v>707</v>
      </c>
      <c r="C15" s="35"/>
      <c r="D15" s="35"/>
      <c r="E15" s="61" t="s">
        <v>60</v>
      </c>
    </row>
    <row r="16" spans="1:11" x14ac:dyDescent="0.3">
      <c r="A16" s="35"/>
      <c r="B16" s="34"/>
      <c r="C16" s="35"/>
      <c r="D16" s="35"/>
      <c r="E16" s="61" t="s">
        <v>61</v>
      </c>
    </row>
    <row r="17" spans="1:5" x14ac:dyDescent="0.3">
      <c r="A17" s="33"/>
      <c r="B17" s="34"/>
      <c r="C17" s="35"/>
      <c r="D17" s="35"/>
      <c r="E17" s="61" t="s">
        <v>62</v>
      </c>
    </row>
    <row r="18" spans="1:5" x14ac:dyDescent="0.3">
      <c r="A18" s="63"/>
      <c r="B18" s="63"/>
      <c r="C18" s="63"/>
      <c r="D18" s="63"/>
      <c r="E18" s="61" t="s">
        <v>63</v>
      </c>
    </row>
    <row r="19" spans="1:5" x14ac:dyDescent="0.3">
      <c r="A19" s="63"/>
      <c r="B19" s="63"/>
      <c r="C19" s="63"/>
      <c r="D19" s="63"/>
      <c r="E19" s="61" t="s">
        <v>64</v>
      </c>
    </row>
    <row r="20" spans="1:5" x14ac:dyDescent="0.3">
      <c r="A20" s="63"/>
      <c r="B20" s="63"/>
      <c r="C20" s="63"/>
      <c r="D20" s="63"/>
      <c r="E20" s="61" t="s">
        <v>65</v>
      </c>
    </row>
    <row r="21" spans="1:5" x14ac:dyDescent="0.3">
      <c r="A21" s="63"/>
      <c r="B21" s="63"/>
      <c r="C21" s="63"/>
      <c r="D21" s="63"/>
      <c r="E21" s="63" t="s">
        <v>66</v>
      </c>
    </row>
    <row r="22" spans="1:5" x14ac:dyDescent="0.3">
      <c r="A22" s="63"/>
      <c r="B22" s="63"/>
      <c r="C22" s="63"/>
      <c r="D22" s="63"/>
      <c r="E22" s="63" t="s">
        <v>67</v>
      </c>
    </row>
    <row r="23" spans="1:5" x14ac:dyDescent="0.3">
      <c r="A23" s="63"/>
      <c r="B23" s="63"/>
      <c r="C23" s="63"/>
      <c r="D23" s="63"/>
      <c r="E23" s="63" t="s">
        <v>68</v>
      </c>
    </row>
    <row r="24" spans="1:5" x14ac:dyDescent="0.3">
      <c r="A24" s="63"/>
      <c r="B24" s="63"/>
      <c r="C24" s="63"/>
      <c r="D24" s="63"/>
      <c r="E24" s="63" t="s">
        <v>69</v>
      </c>
    </row>
    <row r="25" spans="1:5" x14ac:dyDescent="0.3">
      <c r="A25" s="63"/>
      <c r="B25" s="63"/>
      <c r="C25" s="63"/>
      <c r="D25" s="63"/>
      <c r="E25" s="63" t="s">
        <v>70</v>
      </c>
    </row>
    <row r="26" spans="1:5" x14ac:dyDescent="0.3">
      <c r="A26" s="63"/>
      <c r="B26" s="63"/>
      <c r="C26" s="63"/>
      <c r="D26" s="63"/>
      <c r="E26" s="63" t="s">
        <v>71</v>
      </c>
    </row>
    <row r="27" spans="1:5" x14ac:dyDescent="0.3">
      <c r="A27" s="63"/>
      <c r="B27" s="63"/>
      <c r="C27" s="63"/>
      <c r="D27" s="63"/>
      <c r="E27" s="63" t="s">
        <v>72</v>
      </c>
    </row>
    <row r="28" spans="1:5" x14ac:dyDescent="0.3">
      <c r="A28" s="63"/>
      <c r="B28" s="63"/>
      <c r="C28" s="63"/>
      <c r="D28" s="63"/>
      <c r="E28" s="63" t="s">
        <v>73</v>
      </c>
    </row>
    <row r="29" spans="1:5" x14ac:dyDescent="0.3">
      <c r="E29" s="63" t="s">
        <v>74</v>
      </c>
    </row>
    <row r="30" spans="1:5" x14ac:dyDescent="0.3">
      <c r="E30" s="63" t="s">
        <v>75</v>
      </c>
    </row>
    <row r="31" spans="1:5" x14ac:dyDescent="0.3">
      <c r="E31" s="63" t="s">
        <v>710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V46"/>
  <sheetViews>
    <sheetView showGridLines="0" tabSelected="1" zoomScale="70" zoomScaleNormal="70" workbookViewId="0">
      <selection activeCell="I18" sqref="I18"/>
    </sheetView>
  </sheetViews>
  <sheetFormatPr defaultColWidth="0" defaultRowHeight="15.75" customHeight="1" zeroHeight="1" x14ac:dyDescent="0.3"/>
  <cols>
    <col min="1" max="16" width="9.109375" style="75" customWidth="1"/>
    <col min="17" max="21" width="9.109375" style="76" customWidth="1"/>
    <col min="22" max="256" width="0" style="76" hidden="1" customWidth="1"/>
    <col min="257" max="257" width="0" style="75" hidden="1" customWidth="1"/>
    <col min="258" max="16384" width="0" style="75" hidden="1"/>
  </cols>
  <sheetData>
    <row r="1" spans="1:16" ht="7.5" customHeight="1" thickBot="1" x14ac:dyDescent="0.35"/>
    <row r="2" spans="1:16" ht="15.6" x14ac:dyDescent="0.3">
      <c r="B2" s="77"/>
      <c r="C2" s="78"/>
      <c r="D2" s="78"/>
      <c r="E2" s="78"/>
      <c r="F2" s="78"/>
      <c r="G2" s="78"/>
      <c r="H2" s="78"/>
      <c r="I2" s="78"/>
      <c r="J2" s="78"/>
      <c r="K2" s="78"/>
      <c r="L2" s="78"/>
      <c r="M2" s="78"/>
      <c r="N2" s="78"/>
      <c r="O2" s="78"/>
      <c r="P2" s="79"/>
    </row>
    <row r="3" spans="1:16" ht="28.8" x14ac:dyDescent="0.55000000000000004">
      <c r="B3" s="80"/>
      <c r="C3" s="81"/>
      <c r="D3" s="82" t="s">
        <v>96</v>
      </c>
      <c r="E3" s="81"/>
      <c r="F3" s="81"/>
      <c r="G3" s="81"/>
      <c r="H3" s="81"/>
      <c r="I3" s="81"/>
      <c r="J3" s="81"/>
      <c r="K3" s="81"/>
      <c r="L3" s="81"/>
      <c r="M3" s="81"/>
      <c r="N3" s="81"/>
      <c r="O3" s="81"/>
      <c r="P3" s="83"/>
    </row>
    <row r="4" spans="1:16" ht="16.2" thickBot="1" x14ac:dyDescent="0.35">
      <c r="B4" s="84"/>
      <c r="C4" s="85"/>
      <c r="D4" s="85"/>
      <c r="E4" s="85"/>
      <c r="F4" s="85"/>
      <c r="G4" s="85"/>
      <c r="H4" s="85"/>
      <c r="I4" s="85"/>
      <c r="J4" s="85"/>
      <c r="K4" s="85"/>
      <c r="L4" s="85"/>
      <c r="M4" s="85"/>
      <c r="N4" s="85"/>
      <c r="O4" s="85"/>
      <c r="P4" s="86"/>
    </row>
    <row r="5" spans="1:16" ht="15.6" x14ac:dyDescent="0.3">
      <c r="B5" s="81"/>
      <c r="C5" s="81"/>
      <c r="D5" s="81"/>
      <c r="E5" s="81"/>
      <c r="F5" s="81"/>
      <c r="G5" s="81"/>
      <c r="H5" s="81"/>
      <c r="I5" s="81"/>
      <c r="J5" s="81"/>
      <c r="K5" s="81"/>
      <c r="L5" s="81"/>
      <c r="M5" s="81"/>
      <c r="N5" s="81"/>
      <c r="O5" s="81"/>
      <c r="P5" s="81"/>
    </row>
    <row r="6" spans="1:16" s="89" customFormat="1" ht="18" x14ac:dyDescent="0.35">
      <c r="A6" s="87" t="s">
        <v>97</v>
      </c>
      <c r="B6" s="88"/>
      <c r="C6" s="88"/>
      <c r="D6" s="88"/>
      <c r="E6" s="88"/>
      <c r="F6" s="88"/>
      <c r="G6" s="88"/>
      <c r="H6" s="88"/>
      <c r="I6" s="88"/>
      <c r="J6" s="88"/>
      <c r="K6" s="88"/>
      <c r="L6" s="88"/>
      <c r="M6" s="88"/>
      <c r="N6" s="88"/>
      <c r="O6" s="88"/>
      <c r="P6" s="88"/>
    </row>
    <row r="7" spans="1:16" s="89" customFormat="1" ht="18" x14ac:dyDescent="0.35"/>
    <row r="8" spans="1:16" s="89" customFormat="1" ht="18" x14ac:dyDescent="0.35">
      <c r="A8" s="87" t="s">
        <v>98</v>
      </c>
    </row>
    <row r="9" spans="1:16" ht="15.6" x14ac:dyDescent="0.3"/>
    <row r="10" spans="1:16" ht="15.6" x14ac:dyDescent="0.3"/>
    <row r="11" spans="1:16" ht="15.6" x14ac:dyDescent="0.3"/>
    <row r="12" spans="1:16" ht="15.6" x14ac:dyDescent="0.3"/>
    <row r="13" spans="1:16" ht="15.6" x14ac:dyDescent="0.3"/>
    <row r="14" spans="1:16" ht="15.6" x14ac:dyDescent="0.3"/>
    <row r="15" spans="1:16" ht="15.6" x14ac:dyDescent="0.3"/>
    <row r="16" spans="1:16" ht="15.6" x14ac:dyDescent="0.3"/>
    <row r="17" spans="1:1" ht="18" x14ac:dyDescent="0.35">
      <c r="A17" s="87" t="s">
        <v>99</v>
      </c>
    </row>
    <row r="18" spans="1:1" ht="15.6" x14ac:dyDescent="0.3"/>
    <row r="19" spans="1:1" ht="15.6" x14ac:dyDescent="0.3"/>
    <row r="20" spans="1:1" s="89" customFormat="1" ht="18" x14ac:dyDescent="0.35"/>
    <row r="21" spans="1:1" ht="15.6" x14ac:dyDescent="0.3"/>
    <row r="22" spans="1:1" ht="15.6" x14ac:dyDescent="0.3"/>
    <row r="23" spans="1:1" ht="15.6" x14ac:dyDescent="0.3"/>
    <row r="24" spans="1:1" ht="15.6" x14ac:dyDescent="0.3"/>
    <row r="25" spans="1:1" ht="15.6" x14ac:dyDescent="0.3"/>
    <row r="26" spans="1:1" ht="15.6" x14ac:dyDescent="0.3"/>
    <row r="27" spans="1:1" ht="15.6" x14ac:dyDescent="0.3"/>
    <row r="28" spans="1:1" ht="15.6" x14ac:dyDescent="0.3"/>
    <row r="29" spans="1:1" ht="15.6" x14ac:dyDescent="0.3"/>
    <row r="30" spans="1:1" ht="15.6" x14ac:dyDescent="0.3"/>
    <row r="31" spans="1:1" ht="15.6" x14ac:dyDescent="0.3"/>
    <row r="32" spans="1:1" ht="15.6" x14ac:dyDescent="0.3"/>
    <row r="33" ht="15.6" x14ac:dyDescent="0.3"/>
    <row r="34" ht="15.6" x14ac:dyDescent="0.3"/>
    <row r="35" ht="15.6" x14ac:dyDescent="0.3"/>
    <row r="36" ht="15.6" x14ac:dyDescent="0.3"/>
    <row r="37" ht="15.6" x14ac:dyDescent="0.3"/>
    <row r="38" ht="15.6" x14ac:dyDescent="0.3"/>
    <row r="39" ht="15.6" x14ac:dyDescent="0.3"/>
    <row r="40" ht="15.6" x14ac:dyDescent="0.3"/>
    <row r="41" ht="15.6" x14ac:dyDescent="0.3"/>
    <row r="42" ht="15.6" x14ac:dyDescent="0.3"/>
    <row r="43" ht="15.6" x14ac:dyDescent="0.3"/>
    <row r="44" ht="15.6" x14ac:dyDescent="0.3"/>
    <row r="45" ht="15.6" x14ac:dyDescent="0.3"/>
    <row r="46" ht="15.6" x14ac:dyDescent="0.3"/>
  </sheetData>
  <sheetProtection password="CA99" sheet="1" objects="1" scenarios="1"/>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U94"/>
  <sheetViews>
    <sheetView showGridLines="0" showRowColHeaders="0" topLeftCell="A25" zoomScale="85" zoomScaleNormal="85" zoomScaleSheetLayoutView="100" workbookViewId="0">
      <selection activeCell="B50" sqref="B50"/>
    </sheetView>
  </sheetViews>
  <sheetFormatPr defaultColWidth="0" defaultRowHeight="12.75" customHeight="1" zeroHeight="1" x14ac:dyDescent="0.3"/>
  <cols>
    <col min="1" max="1" width="1.88671875" style="547" customWidth="1"/>
    <col min="2" max="2" width="12" style="547" customWidth="1"/>
    <col min="3" max="12" width="9.109375" style="547" customWidth="1"/>
    <col min="13" max="13" width="7.44140625" style="547" customWidth="1"/>
    <col min="14" max="14" width="2" style="547" customWidth="1"/>
    <col min="15" max="15" width="14.6640625" style="547" hidden="1" customWidth="1"/>
    <col min="16" max="16" width="22.44140625" style="547" hidden="1" customWidth="1"/>
    <col min="17" max="17" width="24.6640625" style="547" hidden="1" customWidth="1"/>
    <col min="18" max="19" width="26.88671875" style="550" hidden="1" customWidth="1"/>
    <col min="20" max="20" width="27.109375" style="547" hidden="1" customWidth="1"/>
    <col min="21" max="21" width="9.109375" style="550" hidden="1" customWidth="1"/>
    <col min="22" max="16384" width="9.109375" style="547" hidden="1"/>
  </cols>
  <sheetData>
    <row r="1" spans="2:21" ht="13.8" x14ac:dyDescent="0.3">
      <c r="P1" s="548" t="s">
        <v>0</v>
      </c>
      <c r="Q1" s="549" t="s">
        <v>525</v>
      </c>
      <c r="S1" s="550" t="s">
        <v>526</v>
      </c>
      <c r="T1" s="547" t="s">
        <v>527</v>
      </c>
    </row>
    <row r="2" spans="2:21" ht="13.8" x14ac:dyDescent="0.3">
      <c r="O2" s="547" t="s">
        <v>474</v>
      </c>
      <c r="P2" s="550">
        <v>37</v>
      </c>
      <c r="Q2" s="550">
        <v>7</v>
      </c>
      <c r="S2" s="550">
        <v>4</v>
      </c>
      <c r="T2" s="550">
        <v>4</v>
      </c>
      <c r="U2" s="550">
        <f>SUM(P2:T2)</f>
        <v>52</v>
      </c>
    </row>
    <row r="3" spans="2:21" ht="13.8" x14ac:dyDescent="0.3">
      <c r="B3" s="549"/>
      <c r="O3" s="547" t="s">
        <v>528</v>
      </c>
      <c r="P3" s="550">
        <v>0</v>
      </c>
      <c r="Q3" s="550" t="e">
        <v>#NAME?</v>
      </c>
      <c r="S3" s="550">
        <v>0</v>
      </c>
      <c r="T3" s="550">
        <v>0</v>
      </c>
      <c r="U3" s="550" t="e">
        <f>IF(SUM(P3:T3)=3,0,SUM(P3:T3))</f>
        <v>#NAME?</v>
      </c>
    </row>
    <row r="4" spans="2:21" ht="13.8" x14ac:dyDescent="0.3">
      <c r="O4" s="547" t="s">
        <v>529</v>
      </c>
      <c r="P4" s="550">
        <f>P2-P3</f>
        <v>37</v>
      </c>
      <c r="Q4" s="550" t="e">
        <f>Q2-Q3</f>
        <v>#NAME?</v>
      </c>
      <c r="S4" s="550">
        <f>S2-S3</f>
        <v>4</v>
      </c>
      <c r="T4" s="550">
        <f>T2-T3</f>
        <v>4</v>
      </c>
      <c r="U4" s="550" t="e">
        <f>SUM(P4:T4)</f>
        <v>#NAME?</v>
      </c>
    </row>
    <row r="5" spans="2:21" ht="13.8" x14ac:dyDescent="0.3">
      <c r="P5" s="551" t="str">
        <f>TEXT(P3/$P$2,"0%")</f>
        <v>0%</v>
      </c>
      <c r="Q5" s="551" t="e">
        <f>TEXT(Q3/$Q$2,"0%")</f>
        <v>#NAME?</v>
      </c>
      <c r="R5" s="551"/>
      <c r="S5" s="551"/>
      <c r="T5" s="551" t="str">
        <f>TEXT(T3/$T$2,"0%")</f>
        <v>0%</v>
      </c>
      <c r="U5" s="551" t="e">
        <f>TEXT(U3/$U$2,"0%")</f>
        <v>#NAME?</v>
      </c>
    </row>
    <row r="6" spans="2:21" ht="13.8" x14ac:dyDescent="0.3">
      <c r="P6" s="551" t="str">
        <f>TEXT(P4/$P$2,"0%")</f>
        <v>100%</v>
      </c>
      <c r="Q6" s="551" t="e">
        <f>TEXT(Q4/$Q$2,"0%")</f>
        <v>#NAME?</v>
      </c>
      <c r="R6" s="551"/>
      <c r="S6" s="551"/>
      <c r="T6" s="551" t="str">
        <f>TEXT(T4/$T$2,"0%")</f>
        <v>100%</v>
      </c>
      <c r="U6" s="551" t="e">
        <f>TEXT(U4/$U$2,"0%")</f>
        <v>#NAME?</v>
      </c>
    </row>
    <row r="7" spans="2:21" ht="13.8" x14ac:dyDescent="0.3">
      <c r="L7" s="552"/>
      <c r="M7" s="553"/>
      <c r="P7" s="547" t="s">
        <v>530</v>
      </c>
    </row>
    <row r="8" spans="2:21" ht="13.8" x14ac:dyDescent="0.3">
      <c r="L8" s="554"/>
      <c r="M8" s="555"/>
      <c r="P8" s="550">
        <v>31</v>
      </c>
    </row>
    <row r="9" spans="2:21" ht="13.8" x14ac:dyDescent="0.3">
      <c r="L9" s="554"/>
      <c r="M9" s="555"/>
      <c r="P9" s="550" t="e">
        <f>HR_FILLED</f>
        <v>#NAME?</v>
      </c>
    </row>
    <row r="10" spans="2:21" ht="13.8" x14ac:dyDescent="0.3">
      <c r="L10" s="556"/>
      <c r="M10" s="557"/>
      <c r="P10" s="550" t="e">
        <f>P8-P9</f>
        <v>#NAME?</v>
      </c>
    </row>
    <row r="11" spans="2:21" ht="13.8" x14ac:dyDescent="0.3">
      <c r="L11" s="558"/>
      <c r="M11" s="559"/>
      <c r="P11" s="551" t="e">
        <f>TEXT(P9/$P$8,"0%")</f>
        <v>#NAME?</v>
      </c>
    </row>
    <row r="12" spans="2:21" ht="13.8" x14ac:dyDescent="0.3">
      <c r="L12" s="734" t="s">
        <v>531</v>
      </c>
      <c r="M12" s="735"/>
      <c r="P12" s="551" t="e">
        <f>TEXT(P10/$P$8,"0%")</f>
        <v>#NAME?</v>
      </c>
    </row>
    <row r="13" spans="2:21" ht="13.8" x14ac:dyDescent="0.3"/>
    <row r="14" spans="2:21" ht="15" customHeight="1" x14ac:dyDescent="0.3">
      <c r="B14" s="560" t="s">
        <v>532</v>
      </c>
      <c r="C14" s="561"/>
      <c r="D14" s="561"/>
      <c r="E14" s="561"/>
      <c r="F14" s="561"/>
      <c r="G14" s="562"/>
      <c r="I14" s="563"/>
      <c r="J14" s="563"/>
      <c r="K14" s="563"/>
      <c r="L14" s="563"/>
      <c r="M14" s="564"/>
    </row>
    <row r="15" spans="2:21" ht="15" customHeight="1" x14ac:dyDescent="0.3">
      <c r="B15" s="565" t="s">
        <v>479</v>
      </c>
      <c r="C15" s="566"/>
      <c r="D15" s="566"/>
      <c r="E15" s="566"/>
      <c r="F15" s="566"/>
      <c r="G15" s="567"/>
      <c r="I15" s="568"/>
      <c r="J15" s="569"/>
      <c r="K15" s="568"/>
      <c r="L15" s="568"/>
      <c r="M15" s="570"/>
    </row>
    <row r="16" spans="2:21" ht="15" customHeight="1" x14ac:dyDescent="0.3">
      <c r="B16" s="565" t="s">
        <v>583</v>
      </c>
      <c r="C16" s="566"/>
      <c r="D16" s="566"/>
      <c r="E16" s="566"/>
      <c r="F16" s="566"/>
      <c r="G16" s="567"/>
      <c r="I16" s="571"/>
      <c r="J16" s="569"/>
      <c r="K16" s="571"/>
      <c r="L16" s="571"/>
      <c r="M16" s="570"/>
    </row>
    <row r="17" spans="2:13" ht="15" customHeight="1" x14ac:dyDescent="0.3">
      <c r="B17" s="565" t="s">
        <v>584</v>
      </c>
      <c r="C17" s="566"/>
      <c r="D17" s="566"/>
      <c r="E17" s="566"/>
      <c r="F17" s="566"/>
      <c r="G17" s="567"/>
      <c r="H17" s="570"/>
      <c r="I17" s="572" t="s">
        <v>533</v>
      </c>
      <c r="J17" s="572" t="s">
        <v>534</v>
      </c>
      <c r="K17" s="572" t="s">
        <v>535</v>
      </c>
      <c r="L17" s="572" t="s">
        <v>536</v>
      </c>
      <c r="M17" s="570"/>
    </row>
    <row r="18" spans="2:13" ht="6" customHeight="1" x14ac:dyDescent="0.3">
      <c r="B18" s="570"/>
      <c r="C18" s="570"/>
      <c r="D18" s="570"/>
      <c r="E18" s="570"/>
      <c r="F18" s="570"/>
      <c r="G18" s="570"/>
      <c r="H18" s="570"/>
      <c r="I18" s="570"/>
      <c r="J18" s="570"/>
      <c r="K18" s="570"/>
      <c r="L18" s="570"/>
      <c r="M18" s="570"/>
    </row>
    <row r="19" spans="2:13" ht="15" customHeight="1" x14ac:dyDescent="0.3">
      <c r="B19" s="560" t="s">
        <v>537</v>
      </c>
      <c r="C19" s="561"/>
      <c r="D19" s="561"/>
      <c r="E19" s="561"/>
      <c r="F19" s="561"/>
      <c r="G19" s="561"/>
      <c r="H19" s="561"/>
      <c r="I19" s="561"/>
      <c r="J19" s="561"/>
      <c r="K19" s="561"/>
      <c r="L19" s="561"/>
      <c r="M19" s="562"/>
    </row>
    <row r="20" spans="2:13" ht="6" customHeight="1" x14ac:dyDescent="0.3">
      <c r="B20" s="570"/>
      <c r="C20" s="570"/>
      <c r="D20" s="570"/>
      <c r="E20" s="570"/>
      <c r="F20" s="570"/>
      <c r="G20" s="570"/>
      <c r="H20" s="570"/>
      <c r="I20" s="570"/>
      <c r="J20" s="570"/>
      <c r="K20" s="570"/>
      <c r="L20" s="570"/>
      <c r="M20" s="570"/>
    </row>
    <row r="21" spans="2:13" ht="15" customHeight="1" x14ac:dyDescent="0.3">
      <c r="B21" s="560" t="s">
        <v>538</v>
      </c>
      <c r="C21" s="561"/>
      <c r="D21" s="561"/>
      <c r="E21" s="561"/>
      <c r="F21" s="561"/>
      <c r="G21" s="561"/>
      <c r="H21" s="561"/>
      <c r="I21" s="561"/>
      <c r="J21" s="561"/>
      <c r="K21" s="561"/>
      <c r="L21" s="561"/>
      <c r="M21" s="562"/>
    </row>
    <row r="22" spans="2:13" ht="15" customHeight="1" x14ac:dyDescent="0.3">
      <c r="B22" s="573" t="s">
        <v>539</v>
      </c>
      <c r="C22" s="566"/>
      <c r="D22" s="566"/>
      <c r="E22" s="566"/>
      <c r="F22" s="566"/>
      <c r="G22" s="566"/>
      <c r="H22" s="566"/>
      <c r="I22" s="566"/>
      <c r="J22" s="566"/>
      <c r="K22" s="566"/>
      <c r="L22" s="566"/>
      <c r="M22" s="567"/>
    </row>
    <row r="23" spans="2:13" ht="13.8" x14ac:dyDescent="0.3">
      <c r="B23" s="573" t="s">
        <v>540</v>
      </c>
      <c r="C23" s="566"/>
      <c r="D23" s="566"/>
      <c r="E23" s="566"/>
      <c r="F23" s="566"/>
      <c r="G23" s="566"/>
      <c r="H23" s="566"/>
      <c r="I23" s="566"/>
      <c r="J23" s="566"/>
      <c r="K23" s="566"/>
      <c r="L23" s="566"/>
      <c r="M23" s="567"/>
    </row>
    <row r="24" spans="2:13" ht="13.8" x14ac:dyDescent="0.3">
      <c r="B24" s="573" t="s">
        <v>541</v>
      </c>
      <c r="C24" s="566"/>
      <c r="D24" s="566"/>
      <c r="E24" s="566"/>
      <c r="F24" s="566"/>
      <c r="G24" s="566"/>
      <c r="H24" s="566"/>
      <c r="I24" s="566"/>
      <c r="J24" s="566"/>
      <c r="K24" s="566"/>
      <c r="L24" s="566"/>
      <c r="M24" s="567"/>
    </row>
    <row r="25" spans="2:13" ht="13.8" x14ac:dyDescent="0.3">
      <c r="B25" s="573" t="s">
        <v>542</v>
      </c>
      <c r="C25" s="566"/>
      <c r="D25" s="566"/>
      <c r="E25" s="566"/>
      <c r="F25" s="566"/>
      <c r="G25" s="566"/>
      <c r="H25" s="566"/>
      <c r="I25" s="566"/>
      <c r="J25" s="566"/>
      <c r="K25" s="566"/>
      <c r="L25" s="566"/>
      <c r="M25" s="567"/>
    </row>
    <row r="26" spans="2:13" ht="6" customHeight="1" x14ac:dyDescent="0.3">
      <c r="B26" s="570"/>
      <c r="C26" s="570"/>
      <c r="D26" s="570"/>
      <c r="E26" s="570"/>
      <c r="F26" s="570"/>
      <c r="G26" s="570"/>
      <c r="H26" s="570"/>
      <c r="I26" s="570"/>
      <c r="J26" s="570"/>
      <c r="K26" s="570"/>
      <c r="L26" s="570"/>
      <c r="M26" s="570"/>
    </row>
    <row r="27" spans="2:13" ht="15" customHeight="1" x14ac:dyDescent="0.3">
      <c r="B27" s="560" t="s">
        <v>543</v>
      </c>
      <c r="C27" s="561"/>
      <c r="D27" s="561"/>
      <c r="E27" s="561"/>
      <c r="F27" s="561"/>
      <c r="G27" s="561"/>
      <c r="H27" s="561"/>
      <c r="I27" s="561"/>
      <c r="J27" s="561"/>
      <c r="K27" s="561"/>
      <c r="L27" s="561"/>
      <c r="M27" s="562"/>
    </row>
    <row r="28" spans="2:13" ht="15" customHeight="1" x14ac:dyDescent="0.3">
      <c r="B28" s="574" t="s">
        <v>544</v>
      </c>
      <c r="C28" s="566"/>
      <c r="D28" s="566"/>
      <c r="E28" s="566"/>
      <c r="F28" s="566"/>
      <c r="G28" s="566"/>
      <c r="H28" s="566"/>
      <c r="I28" s="566"/>
      <c r="J28" s="566"/>
      <c r="K28" s="566"/>
      <c r="L28" s="566"/>
      <c r="M28" s="567"/>
    </row>
    <row r="29" spans="2:13" ht="15" customHeight="1" x14ac:dyDescent="0.3">
      <c r="B29" s="574" t="s">
        <v>545</v>
      </c>
      <c r="C29" s="566"/>
      <c r="D29" s="566"/>
      <c r="E29" s="566"/>
      <c r="F29" s="566"/>
      <c r="G29" s="566"/>
      <c r="H29" s="566"/>
      <c r="I29" s="566"/>
      <c r="J29" s="566"/>
      <c r="K29" s="566"/>
      <c r="L29" s="566"/>
      <c r="M29" s="567"/>
    </row>
    <row r="30" spans="2:13" ht="15" hidden="1" customHeight="1" x14ac:dyDescent="0.3">
      <c r="B30" s="574" t="s">
        <v>546</v>
      </c>
      <c r="C30" s="566"/>
      <c r="D30" s="566"/>
      <c r="E30" s="566"/>
      <c r="F30" s="566"/>
      <c r="G30" s="566"/>
      <c r="H30" s="566"/>
      <c r="I30" s="566"/>
      <c r="J30" s="566"/>
      <c r="K30" s="566"/>
      <c r="L30" s="566"/>
      <c r="M30" s="567"/>
    </row>
    <row r="31" spans="2:13" ht="15" customHeight="1" x14ac:dyDescent="0.3">
      <c r="B31" s="574" t="s">
        <v>547</v>
      </c>
      <c r="C31" s="566"/>
      <c r="D31" s="566"/>
      <c r="E31" s="566"/>
      <c r="F31" s="566"/>
      <c r="G31" s="566"/>
      <c r="H31" s="566"/>
      <c r="I31" s="566"/>
      <c r="J31" s="566"/>
      <c r="K31" s="566"/>
      <c r="L31" s="566"/>
      <c r="M31" s="567"/>
    </row>
    <row r="32" spans="2:13" ht="15" customHeight="1" x14ac:dyDescent="0.3">
      <c r="B32" s="574" t="s">
        <v>548</v>
      </c>
      <c r="C32" s="566"/>
      <c r="D32" s="566"/>
      <c r="E32" s="566"/>
      <c r="F32" s="566"/>
      <c r="G32" s="566"/>
      <c r="H32" s="566"/>
      <c r="I32" s="566"/>
      <c r="J32" s="566"/>
      <c r="K32" s="566"/>
      <c r="L32" s="566"/>
      <c r="M32" s="567"/>
    </row>
    <row r="33" spans="2:13" ht="15" customHeight="1" x14ac:dyDescent="0.3">
      <c r="B33" s="574" t="s">
        <v>549</v>
      </c>
      <c r="C33" s="566"/>
      <c r="D33" s="566"/>
      <c r="E33" s="566"/>
      <c r="F33" s="566"/>
      <c r="G33" s="566"/>
      <c r="H33" s="566"/>
      <c r="I33" s="566"/>
      <c r="J33" s="566"/>
      <c r="K33" s="566"/>
      <c r="L33" s="566"/>
      <c r="M33" s="567"/>
    </row>
    <row r="34" spans="2:13" ht="3.75" customHeight="1" x14ac:dyDescent="0.3">
      <c r="B34" s="570"/>
      <c r="C34" s="570"/>
      <c r="D34" s="570"/>
      <c r="E34" s="570"/>
      <c r="F34" s="570"/>
      <c r="G34" s="570"/>
      <c r="H34" s="570"/>
      <c r="I34" s="570"/>
      <c r="J34" s="570"/>
      <c r="K34" s="570"/>
      <c r="L34" s="570"/>
      <c r="M34" s="570"/>
    </row>
    <row r="35" spans="2:13" ht="15" customHeight="1" x14ac:dyDescent="0.3">
      <c r="B35" s="575" t="s">
        <v>544</v>
      </c>
      <c r="C35" s="576"/>
    </row>
    <row r="36" spans="2:13" ht="15" customHeight="1" x14ac:dyDescent="0.3">
      <c r="B36" s="736" t="s">
        <v>550</v>
      </c>
      <c r="C36" s="737"/>
    </row>
    <row r="37" spans="2:13" ht="15" customHeight="1" x14ac:dyDescent="0.3">
      <c r="B37" s="738" t="s">
        <v>551</v>
      </c>
      <c r="C37" s="739"/>
    </row>
    <row r="38" spans="2:13" ht="4.5" customHeight="1" x14ac:dyDescent="0.3">
      <c r="B38" s="570"/>
      <c r="C38" s="570"/>
      <c r="D38" s="570"/>
      <c r="E38" s="570"/>
      <c r="F38" s="570"/>
      <c r="G38" s="570"/>
      <c r="H38" s="570"/>
      <c r="I38" s="570"/>
      <c r="J38" s="570"/>
      <c r="K38" s="570"/>
      <c r="L38" s="570"/>
      <c r="M38" s="570"/>
    </row>
    <row r="39" spans="2:13" ht="13.8" x14ac:dyDescent="0.3">
      <c r="B39" s="560" t="s">
        <v>545</v>
      </c>
      <c r="C39" s="561"/>
      <c r="D39" s="561"/>
      <c r="E39" s="561"/>
      <c r="F39" s="561"/>
      <c r="G39" s="561"/>
      <c r="H39" s="561"/>
      <c r="I39" s="561"/>
      <c r="J39" s="561"/>
      <c r="K39" s="561"/>
      <c r="L39" s="561"/>
      <c r="M39" s="562"/>
    </row>
    <row r="40" spans="2:13" ht="13.8" x14ac:dyDescent="0.3">
      <c r="B40" s="577" t="s">
        <v>552</v>
      </c>
      <c r="C40" s="578"/>
      <c r="D40" s="578"/>
      <c r="E40" s="578"/>
      <c r="F40" s="578"/>
      <c r="G40" s="578"/>
      <c r="H40" s="578"/>
      <c r="I40" s="578"/>
      <c r="J40" s="578"/>
      <c r="K40" s="578"/>
      <c r="L40" s="578"/>
      <c r="M40" s="579"/>
    </row>
    <row r="41" spans="2:13" ht="13.8" x14ac:dyDescent="0.3">
      <c r="B41" s="577" t="s">
        <v>553</v>
      </c>
      <c r="C41" s="578"/>
      <c r="D41" s="578"/>
      <c r="E41" s="578"/>
      <c r="F41" s="578"/>
      <c r="G41" s="578"/>
      <c r="H41" s="578"/>
      <c r="I41" s="578"/>
      <c r="J41" s="578"/>
      <c r="K41" s="578"/>
      <c r="L41" s="578"/>
      <c r="M41" s="579"/>
    </row>
    <row r="42" spans="2:13" ht="6" customHeight="1" x14ac:dyDescent="0.3">
      <c r="B42" s="570"/>
      <c r="C42" s="570"/>
      <c r="D42" s="570"/>
      <c r="E42" s="570"/>
      <c r="F42" s="570"/>
      <c r="G42" s="570"/>
      <c r="H42" s="570"/>
      <c r="I42" s="570"/>
      <c r="J42" s="570"/>
      <c r="K42" s="570"/>
      <c r="L42" s="570"/>
      <c r="M42" s="570"/>
    </row>
    <row r="43" spans="2:13" ht="13.8" hidden="1" x14ac:dyDescent="0.3">
      <c r="B43" s="560" t="s">
        <v>554</v>
      </c>
      <c r="C43" s="561"/>
      <c r="D43" s="561"/>
      <c r="E43" s="561"/>
      <c r="F43" s="561"/>
      <c r="G43" s="561"/>
      <c r="H43" s="561"/>
      <c r="I43" s="561"/>
      <c r="J43" s="561"/>
      <c r="K43" s="561"/>
      <c r="L43" s="561"/>
      <c r="M43" s="562"/>
    </row>
    <row r="44" spans="2:13" ht="13.8" hidden="1" x14ac:dyDescent="0.3">
      <c r="B44" s="577" t="s">
        <v>555</v>
      </c>
      <c r="C44" s="578"/>
      <c r="D44" s="578"/>
      <c r="E44" s="578"/>
      <c r="F44" s="578"/>
      <c r="G44" s="578"/>
      <c r="H44" s="578"/>
      <c r="I44" s="578"/>
      <c r="J44" s="578"/>
      <c r="K44" s="578"/>
      <c r="L44" s="578"/>
      <c r="M44" s="579"/>
    </row>
    <row r="45" spans="2:13" ht="13.8" hidden="1" x14ac:dyDescent="0.3">
      <c r="B45" s="577" t="s">
        <v>556</v>
      </c>
      <c r="C45" s="578"/>
      <c r="D45" s="578"/>
      <c r="E45" s="578"/>
      <c r="F45" s="578"/>
      <c r="G45" s="578"/>
      <c r="H45" s="578"/>
      <c r="I45" s="578"/>
      <c r="J45" s="578"/>
      <c r="K45" s="578"/>
      <c r="L45" s="578"/>
      <c r="M45" s="579"/>
    </row>
    <row r="46" spans="2:13" ht="13.8" hidden="1" x14ac:dyDescent="0.3">
      <c r="B46" s="577" t="s">
        <v>557</v>
      </c>
      <c r="C46" s="578"/>
      <c r="D46" s="578"/>
      <c r="E46" s="578"/>
      <c r="F46" s="578"/>
      <c r="G46" s="578"/>
      <c r="H46" s="578"/>
      <c r="I46" s="578"/>
      <c r="J46" s="578"/>
      <c r="K46" s="578"/>
      <c r="L46" s="578"/>
      <c r="M46" s="579"/>
    </row>
    <row r="47" spans="2:13" ht="13.8" hidden="1" x14ac:dyDescent="0.3">
      <c r="B47" s="580" t="s">
        <v>558</v>
      </c>
      <c r="C47" s="581"/>
      <c r="D47" s="581"/>
      <c r="E47" s="581"/>
      <c r="F47" s="581"/>
      <c r="G47" s="581"/>
      <c r="H47" s="581"/>
      <c r="I47" s="581"/>
      <c r="J47" s="581"/>
      <c r="K47" s="581"/>
      <c r="L47" s="581"/>
      <c r="M47" s="553"/>
    </row>
    <row r="48" spans="2:13" ht="13.8" hidden="1" x14ac:dyDescent="0.3">
      <c r="B48" s="582" t="s">
        <v>559</v>
      </c>
      <c r="C48" s="583"/>
      <c r="D48" s="583"/>
      <c r="E48" s="583"/>
      <c r="F48" s="583"/>
      <c r="G48" s="583"/>
      <c r="H48" s="583"/>
      <c r="I48" s="583"/>
      <c r="J48" s="583"/>
      <c r="K48" s="583"/>
      <c r="L48" s="583"/>
      <c r="M48" s="584"/>
    </row>
    <row r="49" spans="2:13" ht="6" hidden="1" customHeight="1" x14ac:dyDescent="0.3">
      <c r="B49" s="570"/>
      <c r="C49" s="570"/>
      <c r="D49" s="570"/>
      <c r="E49" s="570"/>
      <c r="F49" s="570"/>
      <c r="G49" s="570"/>
      <c r="H49" s="570"/>
      <c r="I49" s="570"/>
      <c r="J49" s="570"/>
      <c r="K49" s="570"/>
      <c r="L49" s="570"/>
      <c r="M49" s="570"/>
    </row>
    <row r="50" spans="2:13" ht="13.8" x14ac:dyDescent="0.3">
      <c r="B50" s="560" t="s">
        <v>560</v>
      </c>
      <c r="C50" s="561"/>
      <c r="D50" s="561"/>
      <c r="E50" s="561"/>
      <c r="F50" s="561"/>
      <c r="G50" s="561"/>
      <c r="H50" s="561"/>
      <c r="I50" s="561"/>
      <c r="J50" s="561"/>
      <c r="K50" s="561"/>
      <c r="L50" s="561"/>
      <c r="M50" s="562"/>
    </row>
    <row r="51" spans="2:13" ht="13.8" x14ac:dyDescent="0.3">
      <c r="B51" s="577" t="s">
        <v>561</v>
      </c>
      <c r="C51" s="578"/>
      <c r="D51" s="578"/>
      <c r="E51" s="578"/>
      <c r="F51" s="578"/>
      <c r="G51" s="578"/>
      <c r="H51" s="578"/>
      <c r="I51" s="578"/>
      <c r="J51" s="578"/>
      <c r="K51" s="578"/>
      <c r="L51" s="578"/>
      <c r="M51" s="579"/>
    </row>
    <row r="52" spans="2:13" ht="13.8" x14ac:dyDescent="0.3">
      <c r="B52" s="577" t="s">
        <v>562</v>
      </c>
      <c r="C52" s="578"/>
      <c r="D52" s="578"/>
      <c r="E52" s="578"/>
      <c r="F52" s="578"/>
      <c r="G52" s="578"/>
      <c r="H52" s="578"/>
      <c r="I52" s="578"/>
      <c r="J52" s="578"/>
      <c r="K52" s="578"/>
      <c r="L52" s="578"/>
      <c r="M52" s="579"/>
    </row>
    <row r="53" spans="2:13" ht="13.8" x14ac:dyDescent="0.3">
      <c r="B53" s="585" t="s">
        <v>563</v>
      </c>
      <c r="C53" s="586"/>
      <c r="D53" s="586"/>
      <c r="E53" s="586"/>
      <c r="F53" s="586"/>
      <c r="G53" s="586"/>
      <c r="H53" s="586"/>
      <c r="I53" s="586"/>
      <c r="J53" s="586"/>
      <c r="K53" s="586"/>
      <c r="L53" s="586"/>
      <c r="M53" s="587"/>
    </row>
    <row r="54" spans="2:13" ht="13.8" x14ac:dyDescent="0.3">
      <c r="B54" s="588" t="s">
        <v>564</v>
      </c>
      <c r="C54" s="589"/>
      <c r="D54" s="589"/>
      <c r="E54" s="589"/>
      <c r="F54" s="589"/>
      <c r="G54" s="589"/>
      <c r="H54" s="589"/>
      <c r="I54" s="589"/>
      <c r="J54" s="589"/>
      <c r="K54" s="589"/>
      <c r="L54" s="589"/>
      <c r="M54" s="590"/>
    </row>
    <row r="55" spans="2:13" ht="13.8" x14ac:dyDescent="0.3">
      <c r="B55" s="591" t="s">
        <v>565</v>
      </c>
      <c r="C55" s="592"/>
      <c r="D55" s="592"/>
      <c r="E55" s="592"/>
      <c r="F55" s="592"/>
      <c r="G55" s="592"/>
      <c r="H55" s="592"/>
      <c r="I55" s="592"/>
      <c r="J55" s="592"/>
      <c r="K55" s="592"/>
      <c r="L55" s="592"/>
      <c r="M55" s="593"/>
    </row>
    <row r="56" spans="2:13" ht="13.8" x14ac:dyDescent="0.3">
      <c r="B56" s="594" t="s">
        <v>566</v>
      </c>
      <c r="C56" s="595"/>
      <c r="D56" s="595"/>
      <c r="E56" s="595"/>
      <c r="F56" s="595"/>
      <c r="G56" s="595"/>
      <c r="H56" s="595"/>
      <c r="I56" s="595"/>
      <c r="J56" s="595"/>
      <c r="K56" s="595"/>
      <c r="L56" s="595"/>
      <c r="M56" s="596"/>
    </row>
    <row r="57" spans="2:13" ht="13.8" x14ac:dyDescent="0.3">
      <c r="B57" s="597" t="s">
        <v>567</v>
      </c>
      <c r="C57" s="598"/>
      <c r="D57" s="598"/>
      <c r="E57" s="598"/>
      <c r="F57" s="598"/>
      <c r="G57" s="598"/>
      <c r="H57" s="598"/>
      <c r="I57" s="598"/>
      <c r="J57" s="598"/>
      <c r="K57" s="598"/>
      <c r="L57" s="598"/>
      <c r="M57" s="599"/>
    </row>
    <row r="58" spans="2:13" ht="12.75" customHeight="1" x14ac:dyDescent="0.3">
      <c r="B58" s="580" t="s">
        <v>568</v>
      </c>
      <c r="C58" s="600"/>
      <c r="D58" s="600"/>
      <c r="E58" s="600"/>
      <c r="F58" s="600"/>
      <c r="G58" s="600"/>
      <c r="H58" s="600"/>
      <c r="I58" s="600"/>
      <c r="J58" s="600"/>
      <c r="K58" s="600"/>
      <c r="L58" s="600"/>
      <c r="M58" s="601"/>
    </row>
    <row r="59" spans="2:13" ht="12.75" customHeight="1" x14ac:dyDescent="0.3">
      <c r="B59" s="602" t="s">
        <v>585</v>
      </c>
      <c r="C59" s="603"/>
      <c r="D59" s="603"/>
      <c r="E59" s="603"/>
      <c r="F59" s="603"/>
      <c r="G59" s="603"/>
      <c r="H59" s="603"/>
      <c r="I59" s="603"/>
      <c r="J59" s="603"/>
      <c r="K59" s="603"/>
      <c r="L59" s="603"/>
      <c r="M59" s="604"/>
    </row>
    <row r="60" spans="2:13" ht="13.8" x14ac:dyDescent="0.3">
      <c r="B60" s="577" t="s">
        <v>569</v>
      </c>
      <c r="C60" s="605"/>
      <c r="D60" s="605"/>
      <c r="E60" s="605"/>
      <c r="F60" s="605"/>
      <c r="G60" s="605"/>
      <c r="H60" s="605"/>
      <c r="I60" s="605"/>
      <c r="J60" s="605"/>
      <c r="K60" s="605"/>
      <c r="L60" s="605"/>
      <c r="M60" s="606"/>
    </row>
    <row r="61" spans="2:13" ht="12.75" customHeight="1" x14ac:dyDescent="0.3">
      <c r="B61" s="577" t="s">
        <v>570</v>
      </c>
      <c r="C61" s="605"/>
      <c r="D61" s="605"/>
      <c r="E61" s="605"/>
      <c r="F61" s="605"/>
      <c r="G61" s="605"/>
      <c r="H61" s="605"/>
      <c r="I61" s="605"/>
      <c r="J61" s="605"/>
      <c r="K61" s="605"/>
      <c r="L61" s="605"/>
      <c r="M61" s="606"/>
    </row>
    <row r="62" spans="2:13" ht="12.75" customHeight="1" x14ac:dyDescent="0.3">
      <c r="B62" s="577" t="s">
        <v>586</v>
      </c>
      <c r="C62" s="605"/>
      <c r="D62" s="605"/>
      <c r="E62" s="605"/>
      <c r="F62" s="605"/>
      <c r="G62" s="605"/>
      <c r="H62" s="605"/>
      <c r="I62" s="605"/>
      <c r="J62" s="605"/>
      <c r="K62" s="605"/>
      <c r="L62" s="605"/>
      <c r="M62" s="606"/>
    </row>
    <row r="63" spans="2:13" ht="12.75" customHeight="1" x14ac:dyDescent="0.3">
      <c r="B63" s="577" t="s">
        <v>571</v>
      </c>
      <c r="C63" s="605"/>
      <c r="D63" s="605"/>
      <c r="E63" s="605"/>
      <c r="F63" s="605"/>
      <c r="G63" s="605"/>
      <c r="H63" s="605"/>
      <c r="I63" s="605"/>
      <c r="J63" s="605"/>
      <c r="K63" s="605"/>
      <c r="L63" s="605"/>
      <c r="M63" s="606"/>
    </row>
    <row r="64" spans="2:13" ht="12.75" customHeight="1" x14ac:dyDescent="0.3">
      <c r="B64" s="580" t="s">
        <v>572</v>
      </c>
      <c r="C64" s="600"/>
      <c r="D64" s="600"/>
      <c r="E64" s="600"/>
      <c r="F64" s="600"/>
      <c r="G64" s="600"/>
      <c r="H64" s="600"/>
      <c r="I64" s="600"/>
      <c r="J64" s="600"/>
      <c r="K64" s="600"/>
      <c r="L64" s="600"/>
      <c r="M64" s="601"/>
    </row>
    <row r="65" spans="2:13" ht="12.75" customHeight="1" x14ac:dyDescent="0.3">
      <c r="B65" s="607" t="s">
        <v>573</v>
      </c>
      <c r="C65" s="603"/>
      <c r="D65" s="603"/>
      <c r="E65" s="603"/>
      <c r="F65" s="603"/>
      <c r="G65" s="603"/>
      <c r="H65" s="603"/>
      <c r="I65" s="603"/>
      <c r="J65" s="603"/>
      <c r="K65" s="603"/>
      <c r="L65" s="603"/>
      <c r="M65" s="604"/>
    </row>
    <row r="66" spans="2:13" ht="12" customHeight="1" x14ac:dyDescent="0.3">
      <c r="B66" s="580" t="s">
        <v>587</v>
      </c>
      <c r="C66" s="608"/>
      <c r="D66" s="608"/>
      <c r="E66" s="608"/>
      <c r="F66" s="608"/>
      <c r="G66" s="608"/>
      <c r="H66" s="608"/>
      <c r="I66" s="608"/>
      <c r="J66" s="608"/>
      <c r="K66" s="608"/>
      <c r="L66" s="608"/>
      <c r="M66" s="609"/>
    </row>
    <row r="67" spans="2:13" ht="13.8" x14ac:dyDescent="0.3">
      <c r="B67" s="580" t="s">
        <v>574</v>
      </c>
      <c r="C67" s="608"/>
      <c r="D67" s="608"/>
      <c r="E67" s="608"/>
      <c r="F67" s="608"/>
      <c r="G67" s="608"/>
      <c r="H67" s="608"/>
      <c r="I67" s="608"/>
      <c r="J67" s="608"/>
      <c r="K67" s="608"/>
      <c r="L67" s="608"/>
      <c r="M67" s="609"/>
    </row>
    <row r="68" spans="2:13" ht="13.8" x14ac:dyDescent="0.3">
      <c r="B68" s="610" t="s">
        <v>575</v>
      </c>
      <c r="C68" s="611"/>
      <c r="D68" s="611"/>
      <c r="E68" s="611"/>
      <c r="F68" s="611"/>
      <c r="G68" s="611"/>
      <c r="H68" s="611"/>
      <c r="I68" s="611"/>
      <c r="J68" s="611"/>
      <c r="K68" s="611"/>
      <c r="L68" s="611"/>
      <c r="M68" s="612"/>
    </row>
    <row r="69" spans="2:13" ht="13.8" x14ac:dyDescent="0.3">
      <c r="B69" s="577" t="s">
        <v>576</v>
      </c>
      <c r="C69" s="578"/>
      <c r="D69" s="578"/>
      <c r="E69" s="578"/>
      <c r="F69" s="578"/>
      <c r="G69" s="578"/>
      <c r="H69" s="578"/>
      <c r="I69" s="578"/>
      <c r="J69" s="578"/>
      <c r="K69" s="578"/>
      <c r="L69" s="578"/>
      <c r="M69" s="579"/>
    </row>
    <row r="70" spans="2:13" ht="6" customHeight="1" x14ac:dyDescent="0.3">
      <c r="B70" s="570"/>
      <c r="C70" s="570"/>
      <c r="D70" s="570"/>
      <c r="E70" s="570"/>
      <c r="F70" s="570"/>
      <c r="G70" s="570"/>
      <c r="H70" s="570"/>
      <c r="I70" s="570"/>
      <c r="J70" s="570"/>
      <c r="K70" s="570"/>
      <c r="L70" s="570"/>
      <c r="M70" s="570"/>
    </row>
    <row r="71" spans="2:13" ht="13.8" x14ac:dyDescent="0.3">
      <c r="B71" s="560" t="s">
        <v>577</v>
      </c>
      <c r="C71" s="561"/>
      <c r="D71" s="561"/>
      <c r="E71" s="561"/>
      <c r="F71" s="561"/>
      <c r="G71" s="561"/>
      <c r="H71" s="561"/>
      <c r="I71" s="561"/>
      <c r="J71" s="561"/>
      <c r="K71" s="561"/>
      <c r="L71" s="561"/>
      <c r="M71" s="562"/>
    </row>
    <row r="72" spans="2:13" ht="13.8" x14ac:dyDescent="0.3">
      <c r="B72" s="577" t="s">
        <v>578</v>
      </c>
      <c r="C72" s="578"/>
      <c r="D72" s="578"/>
      <c r="E72" s="578"/>
      <c r="F72" s="578"/>
      <c r="G72" s="578"/>
      <c r="H72" s="578"/>
      <c r="I72" s="578"/>
      <c r="J72" s="578"/>
      <c r="K72" s="578"/>
      <c r="L72" s="578"/>
      <c r="M72" s="579"/>
    </row>
    <row r="73" spans="2:13" ht="6" customHeight="1" x14ac:dyDescent="0.3">
      <c r="B73" s="570"/>
      <c r="C73" s="570"/>
      <c r="D73" s="570"/>
      <c r="E73" s="570"/>
      <c r="F73" s="570"/>
      <c r="G73" s="570"/>
      <c r="H73" s="570"/>
      <c r="I73" s="570"/>
      <c r="J73" s="570"/>
      <c r="K73" s="570"/>
      <c r="L73" s="570"/>
      <c r="M73" s="570"/>
    </row>
    <row r="74" spans="2:13" ht="13.8" x14ac:dyDescent="0.3">
      <c r="B74" s="560" t="s">
        <v>579</v>
      </c>
      <c r="C74" s="561"/>
      <c r="D74" s="561"/>
      <c r="E74" s="561"/>
      <c r="F74" s="561"/>
      <c r="G74" s="561"/>
      <c r="H74" s="561"/>
      <c r="I74" s="561"/>
      <c r="J74" s="561"/>
      <c r="K74" s="561"/>
      <c r="L74" s="561"/>
      <c r="M74" s="562"/>
    </row>
    <row r="75" spans="2:13" ht="13.8" x14ac:dyDescent="0.3">
      <c r="B75" s="577" t="s">
        <v>580</v>
      </c>
      <c r="C75" s="578"/>
      <c r="D75" s="578"/>
      <c r="E75" s="578"/>
      <c r="F75" s="578"/>
      <c r="G75" s="578"/>
      <c r="H75" s="578"/>
      <c r="I75" s="578"/>
      <c r="J75" s="578"/>
      <c r="K75" s="578"/>
      <c r="L75" s="578"/>
      <c r="M75" s="579"/>
    </row>
    <row r="76" spans="2:13" ht="13.8" x14ac:dyDescent="0.3">
      <c r="B76" s="577" t="s">
        <v>581</v>
      </c>
      <c r="C76" s="578"/>
      <c r="D76" s="578"/>
      <c r="E76" s="578"/>
      <c r="F76" s="578"/>
      <c r="G76" s="578"/>
      <c r="H76" s="578"/>
      <c r="I76" s="578"/>
      <c r="J76" s="578"/>
      <c r="K76" s="578"/>
      <c r="L76" s="578"/>
      <c r="M76" s="579"/>
    </row>
    <row r="77" spans="2:13" ht="13.8" x14ac:dyDescent="0.3">
      <c r="B77" s="577" t="s">
        <v>582</v>
      </c>
      <c r="C77" s="578"/>
      <c r="D77" s="578"/>
      <c r="E77" s="578"/>
      <c r="F77" s="578"/>
      <c r="G77" s="578"/>
      <c r="H77" s="578"/>
      <c r="I77" s="578"/>
      <c r="J77" s="578"/>
      <c r="K77" s="578"/>
      <c r="L77" s="578"/>
      <c r="M77" s="579"/>
    </row>
    <row r="78" spans="2:13" ht="6" customHeight="1" x14ac:dyDescent="0.3">
      <c r="B78" s="570"/>
      <c r="C78" s="570"/>
      <c r="D78" s="570"/>
      <c r="E78" s="570"/>
      <c r="F78" s="570"/>
      <c r="G78" s="570"/>
      <c r="H78" s="570"/>
      <c r="I78" s="570"/>
      <c r="J78" s="570"/>
      <c r="K78" s="570"/>
      <c r="L78" s="570"/>
      <c r="M78" s="570"/>
    </row>
    <row r="79" spans="2:13" ht="6" customHeight="1" x14ac:dyDescent="0.3">
      <c r="B79" s="570"/>
      <c r="C79" s="570"/>
      <c r="D79" s="570"/>
      <c r="E79" s="570"/>
      <c r="F79" s="570"/>
      <c r="G79" s="570"/>
      <c r="H79" s="570"/>
      <c r="I79" s="570"/>
      <c r="J79" s="570"/>
      <c r="K79" s="570"/>
      <c r="L79" s="570"/>
      <c r="M79" s="570"/>
    </row>
    <row r="80" spans="2:13" ht="13.8" hidden="1" x14ac:dyDescent="0.3"/>
    <row r="81" ht="13.8" hidden="1" x14ac:dyDescent="0.3"/>
    <row r="82" ht="13.8" hidden="1" x14ac:dyDescent="0.3"/>
    <row r="83" ht="13.8" hidden="1" x14ac:dyDescent="0.3"/>
    <row r="84" ht="13.8" hidden="1" x14ac:dyDescent="0.3"/>
    <row r="85" ht="13.8" hidden="1" x14ac:dyDescent="0.3"/>
    <row r="86" ht="13.8" hidden="1" x14ac:dyDescent="0.3"/>
    <row r="87" ht="13.8" hidden="1" x14ac:dyDescent="0.3"/>
    <row r="88" ht="13.8" hidden="1" x14ac:dyDescent="0.3"/>
    <row r="89" ht="13.8" hidden="1" x14ac:dyDescent="0.3"/>
    <row r="90" ht="13.8" hidden="1" x14ac:dyDescent="0.3"/>
    <row r="91" ht="13.8" hidden="1" x14ac:dyDescent="0.3"/>
    <row r="92" ht="13.8" hidden="1" x14ac:dyDescent="0.3"/>
    <row r="93" ht="13.8" x14ac:dyDescent="0.3"/>
    <row r="94" ht="12.75" customHeight="1" x14ac:dyDescent="0.3"/>
  </sheetData>
  <sheetProtection password="CA99" sheet="1" objects="1" scenarios="1"/>
  <mergeCells count="3">
    <mergeCell ref="L12:M12"/>
    <mergeCell ref="B36:C36"/>
    <mergeCell ref="B37:C37"/>
  </mergeCells>
  <hyperlinks>
    <hyperlink ref="B28" location="Instructions!B35" display="Overview"/>
    <hyperlink ref="B29" location="Instructions!B39" display="Before you begin"/>
    <hyperlink ref="B30" location="Instructions!B43" display="Structure of the Personal Information Form"/>
    <hyperlink ref="B31" location="Instructions!B50" display="Filling up the sections of the form"/>
    <hyperlink ref="B32" location="Instructions!B71" display="Validating the sheets"/>
    <hyperlink ref="B33" location="Instructions!B74" display="Printing"/>
  </hyperlinks>
  <printOptions horizontalCentered="1"/>
  <pageMargins left="0.7" right="0.7" top="0.75" bottom="0.75" header="0.3" footer="0.3"/>
  <pageSetup scale="68" orientation="portrait" r:id="rId1"/>
  <colBreaks count="1" manualBreakCount="1">
    <brk id="68" max="1048575" man="1"/>
  </col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150"/>
  <sheetViews>
    <sheetView showGridLines="0" zoomScale="85" zoomScaleNormal="85" zoomScaleSheetLayoutView="100" workbookViewId="0">
      <selection activeCell="F133" sqref="F133"/>
    </sheetView>
  </sheetViews>
  <sheetFormatPr defaultColWidth="0" defaultRowHeight="14.4" zeroHeight="1" x14ac:dyDescent="0.3"/>
  <cols>
    <col min="1" max="1" width="1.44140625" customWidth="1"/>
    <col min="2" max="2" width="37.109375" customWidth="1"/>
    <col min="3" max="3" width="1.109375" style="37" customWidth="1"/>
    <col min="4" max="4" width="32.88671875" customWidth="1"/>
    <col min="5" max="5" width="1.109375" customWidth="1"/>
    <col min="6" max="6" width="34" bestFit="1" customWidth="1"/>
    <col min="7" max="7" width="1.109375" customWidth="1"/>
    <col min="8" max="8" width="37.88671875" customWidth="1"/>
    <col min="9" max="9" width="2.6640625" customWidth="1"/>
    <col min="10" max="10" width="4" hidden="1" customWidth="1"/>
    <col min="11" max="11" width="1.44140625" hidden="1" customWidth="1"/>
    <col min="12" max="12" width="13.44140625" hidden="1" customWidth="1"/>
    <col min="13" max="13" width="20.33203125" hidden="1" customWidth="1"/>
    <col min="14" max="14" width="26.5546875" hidden="1" customWidth="1"/>
    <col min="15" max="15" width="49" style="32" hidden="1" customWidth="1"/>
    <col min="16" max="16" width="12.33203125" style="105" hidden="1" customWidth="1"/>
    <col min="17" max="17" width="12.6640625" style="105" hidden="1" customWidth="1"/>
    <col min="18" max="18" width="12.88671875" style="32" hidden="1" customWidth="1"/>
    <col min="19" max="16384" width="9.109375" hidden="1"/>
  </cols>
  <sheetData>
    <row r="1" spans="1:19" ht="12" customHeight="1" x14ac:dyDescent="0.3">
      <c r="A1" s="533"/>
      <c r="B1" s="1"/>
      <c r="C1" s="2"/>
      <c r="D1" s="2"/>
      <c r="E1" s="1"/>
      <c r="F1" s="1"/>
      <c r="G1" s="1"/>
      <c r="H1" s="1"/>
      <c r="I1" s="3"/>
      <c r="J1" s="4"/>
      <c r="K1" s="4"/>
    </row>
    <row r="2" spans="1:19" ht="12" customHeight="1" x14ac:dyDescent="0.3">
      <c r="A2" s="749" t="s">
        <v>0</v>
      </c>
      <c r="B2" s="750"/>
      <c r="C2" s="750"/>
      <c r="D2" s="750"/>
      <c r="E2" s="750"/>
      <c r="F2" s="750"/>
      <c r="G2" s="750"/>
      <c r="H2" s="750"/>
      <c r="I2" s="751"/>
      <c r="J2" s="4"/>
      <c r="K2" s="4"/>
      <c r="L2" s="740" t="s">
        <v>224</v>
      </c>
      <c r="M2" s="740"/>
      <c r="N2" s="740"/>
      <c r="O2" s="740"/>
      <c r="P2" s="740"/>
      <c r="Q2" s="740"/>
      <c r="R2" s="740"/>
    </row>
    <row r="3" spans="1:19" ht="12" customHeight="1" x14ac:dyDescent="0.3">
      <c r="A3" s="749"/>
      <c r="B3" s="750"/>
      <c r="C3" s="750"/>
      <c r="D3" s="750"/>
      <c r="E3" s="750"/>
      <c r="F3" s="750"/>
      <c r="G3" s="750"/>
      <c r="H3" s="750"/>
      <c r="I3" s="751"/>
      <c r="J3" s="6"/>
      <c r="K3" s="6"/>
      <c r="L3" s="740"/>
      <c r="M3" s="740"/>
      <c r="N3" s="740"/>
      <c r="O3" s="740"/>
      <c r="P3" s="740"/>
      <c r="Q3" s="740"/>
      <c r="R3" s="740"/>
    </row>
    <row r="4" spans="1:19" ht="12" customHeight="1" x14ac:dyDescent="0.3">
      <c r="A4" s="749"/>
      <c r="B4" s="750"/>
      <c r="C4" s="750"/>
      <c r="D4" s="750"/>
      <c r="E4" s="750"/>
      <c r="F4" s="750"/>
      <c r="G4" s="750"/>
      <c r="H4" s="750"/>
      <c r="I4" s="751"/>
      <c r="J4" s="4"/>
      <c r="K4" s="4"/>
      <c r="L4" s="740"/>
      <c r="M4" s="740"/>
      <c r="N4" s="740"/>
      <c r="O4" s="740"/>
      <c r="P4" s="740"/>
      <c r="Q4" s="740"/>
      <c r="R4" s="740"/>
    </row>
    <row r="5" spans="1:19" ht="12" customHeight="1" x14ac:dyDescent="0.3">
      <c r="A5" s="749"/>
      <c r="B5" s="750"/>
      <c r="C5" s="750"/>
      <c r="D5" s="750"/>
      <c r="E5" s="750"/>
      <c r="F5" s="750"/>
      <c r="G5" s="750"/>
      <c r="H5" s="750"/>
      <c r="I5" s="751"/>
      <c r="J5" s="4"/>
      <c r="K5" s="4"/>
      <c r="L5" s="740"/>
      <c r="M5" s="740"/>
      <c r="N5" s="740"/>
      <c r="O5" s="740"/>
      <c r="P5" s="740"/>
      <c r="Q5" s="740"/>
      <c r="R5" s="740"/>
    </row>
    <row r="6" spans="1:19" ht="12" customHeight="1" thickBot="1" x14ac:dyDescent="0.35">
      <c r="A6" s="752"/>
      <c r="B6" s="753"/>
      <c r="C6" s="753"/>
      <c r="D6" s="753"/>
      <c r="E6" s="753"/>
      <c r="F6" s="753"/>
      <c r="G6" s="753"/>
      <c r="H6" s="753"/>
      <c r="I6" s="754"/>
      <c r="J6" s="4"/>
      <c r="K6" s="4"/>
    </row>
    <row r="7" spans="1:19" x14ac:dyDescent="0.3">
      <c r="A7" s="7"/>
      <c r="B7" s="4"/>
      <c r="C7" s="8"/>
      <c r="D7" s="8"/>
      <c r="E7" s="4"/>
      <c r="F7" s="4"/>
      <c r="G7" s="4"/>
      <c r="H7" s="9"/>
      <c r="I7" s="10"/>
      <c r="J7" s="4"/>
      <c r="K7" s="4"/>
      <c r="O7" s="102" t="s">
        <v>174</v>
      </c>
      <c r="P7" s="101" t="s">
        <v>175</v>
      </c>
      <c r="Q7" s="101" t="s">
        <v>176</v>
      </c>
      <c r="R7" s="101"/>
    </row>
    <row r="8" spans="1:19" x14ac:dyDescent="0.3">
      <c r="A8" s="41"/>
      <c r="B8" s="25" t="s">
        <v>177</v>
      </c>
      <c r="C8" s="42"/>
      <c r="D8" s="43"/>
      <c r="E8" s="44" t="s">
        <v>1</v>
      </c>
      <c r="F8" s="92" t="s">
        <v>784</v>
      </c>
      <c r="G8" s="4"/>
      <c r="H8" s="9"/>
      <c r="I8" s="45"/>
      <c r="J8" s="4"/>
      <c r="K8" s="4"/>
      <c r="O8" s="103" t="str">
        <f>B8</f>
        <v>Employee Name which will be dispalyed in Company Record - as per - *</v>
      </c>
      <c r="P8" s="104" t="str">
        <f>IF(F8="","Check","Validated")</f>
        <v>Validated</v>
      </c>
      <c r="Q8" s="104" t="s">
        <v>2</v>
      </c>
      <c r="R8" s="104"/>
    </row>
    <row r="9" spans="1:19" s="5" customFormat="1" ht="6" customHeight="1" x14ac:dyDescent="0.3">
      <c r="A9" s="41"/>
      <c r="B9" s="6"/>
      <c r="C9" s="46"/>
      <c r="D9" s="46"/>
      <c r="E9" s="6"/>
      <c r="F9" s="6"/>
      <c r="G9" s="6"/>
      <c r="H9" s="47"/>
      <c r="I9" s="45"/>
      <c r="J9" s="4"/>
      <c r="K9" s="4"/>
      <c r="O9" s="103"/>
      <c r="P9" s="104"/>
      <c r="Q9" s="104"/>
      <c r="R9" s="104"/>
      <c r="S9"/>
    </row>
    <row r="10" spans="1:19" x14ac:dyDescent="0.3">
      <c r="A10" s="41"/>
      <c r="B10" s="98" t="s">
        <v>131</v>
      </c>
      <c r="C10" s="48" t="s">
        <v>1</v>
      </c>
      <c r="D10" s="755" t="s">
        <v>789</v>
      </c>
      <c r="E10" s="756"/>
      <c r="F10" s="757"/>
      <c r="G10" s="29"/>
      <c r="H10" s="29"/>
      <c r="I10" s="45"/>
      <c r="O10" s="103" t="str">
        <f>B10</f>
        <v>First Name*</v>
      </c>
      <c r="P10" s="104" t="str">
        <f>IF(F_Name="","Check","Validated")</f>
        <v>Validated</v>
      </c>
      <c r="Q10" s="104" t="s">
        <v>2</v>
      </c>
      <c r="R10" s="104"/>
    </row>
    <row r="11" spans="1:19" x14ac:dyDescent="0.3">
      <c r="A11" s="41"/>
      <c r="B11" s="24" t="s">
        <v>3</v>
      </c>
      <c r="C11" s="48" t="s">
        <v>1</v>
      </c>
      <c r="D11" s="755"/>
      <c r="E11" s="756"/>
      <c r="F11" s="757"/>
      <c r="G11" s="29"/>
      <c r="H11" s="29"/>
      <c r="I11" s="45"/>
      <c r="O11" s="103" t="str">
        <f>B11</f>
        <v>Middle Name</v>
      </c>
      <c r="P11" s="104"/>
      <c r="Q11" s="104"/>
      <c r="R11" s="104"/>
    </row>
    <row r="12" spans="1:19" x14ac:dyDescent="0.3">
      <c r="A12" s="41"/>
      <c r="B12" s="98" t="s">
        <v>132</v>
      </c>
      <c r="C12" s="48" t="s">
        <v>1</v>
      </c>
      <c r="D12" s="755" t="s">
        <v>790</v>
      </c>
      <c r="E12" s="756"/>
      <c r="F12" s="757"/>
      <c r="G12" s="29"/>
      <c r="H12" s="29"/>
      <c r="I12" s="45"/>
      <c r="O12" s="103" t="str">
        <f>B12</f>
        <v>Last Name*</v>
      </c>
      <c r="P12" s="104" t="str">
        <f>IF(L_Name="","Check","Validated")</f>
        <v>Validated</v>
      </c>
      <c r="Q12" s="104" t="s">
        <v>2</v>
      </c>
      <c r="R12" s="104"/>
    </row>
    <row r="13" spans="1:19" s="5" customFormat="1" ht="6" customHeight="1" x14ac:dyDescent="0.3">
      <c r="A13" s="41"/>
      <c r="B13" s="6"/>
      <c r="C13" s="46"/>
      <c r="D13" s="46"/>
      <c r="E13" s="6"/>
      <c r="F13" s="6"/>
      <c r="G13" s="6"/>
      <c r="H13" s="47"/>
      <c r="I13" s="45"/>
      <c r="J13" s="4"/>
      <c r="K13" s="4"/>
      <c r="O13" s="103"/>
      <c r="P13" s="104"/>
      <c r="Q13" s="104"/>
      <c r="R13" s="104"/>
      <c r="S13"/>
    </row>
    <row r="14" spans="1:19" x14ac:dyDescent="0.3">
      <c r="A14" s="41"/>
      <c r="B14" s="25" t="s">
        <v>43</v>
      </c>
      <c r="C14" s="42"/>
      <c r="D14" s="43"/>
      <c r="E14" s="48" t="s">
        <v>1</v>
      </c>
      <c r="F14" s="758" t="str">
        <f>F_Name&amp;" "&amp;M_Name&amp;" "&amp;L_Name</f>
        <v>Gaurav  Singh</v>
      </c>
      <c r="G14" s="759"/>
      <c r="H14" s="760"/>
      <c r="I14" s="45"/>
      <c r="O14" s="103" t="str">
        <f t="shared" ref="O14:O34" si="0">B14</f>
        <v>Employee Name [Expanded Name to be Maintained in Company Records]</v>
      </c>
      <c r="R14" s="104"/>
    </row>
    <row r="15" spans="1:19" ht="6" customHeight="1" x14ac:dyDescent="0.3">
      <c r="A15" s="41"/>
      <c r="B15" s="29"/>
      <c r="C15" s="49"/>
      <c r="D15" s="29"/>
      <c r="E15" s="29"/>
      <c r="F15" s="29"/>
      <c r="G15" s="29"/>
      <c r="H15" s="29"/>
      <c r="I15" s="45"/>
      <c r="O15" s="103"/>
      <c r="R15" s="104"/>
    </row>
    <row r="16" spans="1:19" x14ac:dyDescent="0.3">
      <c r="A16" s="41"/>
      <c r="B16" s="12" t="s">
        <v>133</v>
      </c>
      <c r="C16" s="51" t="s">
        <v>1</v>
      </c>
      <c r="D16" s="755" t="s">
        <v>791</v>
      </c>
      <c r="E16" s="756"/>
      <c r="F16" s="757"/>
      <c r="G16" s="29"/>
      <c r="H16" s="39" t="s">
        <v>4</v>
      </c>
      <c r="I16" s="45"/>
      <c r="O16" s="103" t="str">
        <f t="shared" si="0"/>
        <v>Father's Name*</v>
      </c>
      <c r="P16" s="105" t="str">
        <f>IF(D16="","Check","Validated")</f>
        <v>Validated</v>
      </c>
      <c r="Q16" s="105" t="s">
        <v>2</v>
      </c>
      <c r="R16" s="104"/>
    </row>
    <row r="17" spans="1:18" x14ac:dyDescent="0.3">
      <c r="A17" s="41"/>
      <c r="B17" s="50" t="s">
        <v>21</v>
      </c>
      <c r="C17" s="51" t="s">
        <v>1</v>
      </c>
      <c r="D17" s="741"/>
      <c r="E17" s="742"/>
      <c r="F17" s="742"/>
      <c r="G17" s="29"/>
      <c r="H17" s="13" t="s">
        <v>5</v>
      </c>
      <c r="I17" s="45"/>
      <c r="O17" s="103" t="str">
        <f t="shared" si="0"/>
        <v xml:space="preserve">Employee No </v>
      </c>
      <c r="R17" s="104"/>
    </row>
    <row r="18" spans="1:18" x14ac:dyDescent="0.3">
      <c r="A18" s="41"/>
      <c r="B18" s="12" t="s">
        <v>127</v>
      </c>
      <c r="C18" s="51" t="s">
        <v>1</v>
      </c>
      <c r="D18" s="769"/>
      <c r="E18" s="770"/>
      <c r="F18" s="771"/>
      <c r="G18" s="29"/>
      <c r="H18" s="52" t="s">
        <v>6</v>
      </c>
      <c r="I18" s="45"/>
      <c r="O18" s="103" t="str">
        <f t="shared" si="0"/>
        <v>Date of Joining (DD/MMM/YY)</v>
      </c>
      <c r="R18" s="104"/>
    </row>
    <row r="19" spans="1:18" x14ac:dyDescent="0.3">
      <c r="A19" s="41"/>
      <c r="B19" s="12" t="s">
        <v>134</v>
      </c>
      <c r="C19" s="51" t="s">
        <v>1</v>
      </c>
      <c r="D19" s="769">
        <v>34101</v>
      </c>
      <c r="E19" s="770"/>
      <c r="F19" s="771"/>
      <c r="G19" s="29"/>
      <c r="H19" s="14" t="s">
        <v>7</v>
      </c>
      <c r="I19" s="45"/>
      <c r="O19" s="103" t="s">
        <v>718</v>
      </c>
      <c r="P19" s="105" t="str">
        <f ca="1">IF(((TODAY()-D19)/365)&gt;18,"Validated","Check")</f>
        <v>Validated</v>
      </c>
      <c r="Q19" s="105" t="s">
        <v>2</v>
      </c>
      <c r="R19" s="104"/>
    </row>
    <row r="20" spans="1:18" x14ac:dyDescent="0.3">
      <c r="A20" s="41"/>
      <c r="B20" s="12" t="s">
        <v>121</v>
      </c>
      <c r="C20" s="51" t="s">
        <v>1</v>
      </c>
      <c r="D20" s="746"/>
      <c r="E20" s="747"/>
      <c r="F20" s="748"/>
      <c r="G20" s="29"/>
      <c r="H20" s="29"/>
      <c r="I20" s="45"/>
      <c r="O20" s="103" t="str">
        <f t="shared" si="0"/>
        <v>Type of Employment</v>
      </c>
      <c r="R20" s="104"/>
    </row>
    <row r="21" spans="1:18" x14ac:dyDescent="0.3">
      <c r="A21" s="41"/>
      <c r="B21" s="50" t="s">
        <v>22</v>
      </c>
      <c r="C21" s="51" t="s">
        <v>1</v>
      </c>
      <c r="D21" s="746"/>
      <c r="E21" s="747"/>
      <c r="F21" s="748"/>
      <c r="G21" s="29"/>
      <c r="H21" s="29"/>
      <c r="I21" s="45"/>
      <c r="O21" s="103" t="str">
        <f t="shared" si="0"/>
        <v>Level</v>
      </c>
      <c r="R21" s="104"/>
    </row>
    <row r="22" spans="1:18" x14ac:dyDescent="0.3">
      <c r="A22" s="41"/>
      <c r="B22" s="50" t="s">
        <v>23</v>
      </c>
      <c r="C22" s="51" t="s">
        <v>1</v>
      </c>
      <c r="D22" s="741"/>
      <c r="E22" s="742"/>
      <c r="F22" s="742"/>
      <c r="G22" s="29"/>
      <c r="H22" s="29"/>
      <c r="I22" s="45"/>
      <c r="O22" s="103" t="str">
        <f t="shared" si="0"/>
        <v>Designation</v>
      </c>
      <c r="R22" s="104"/>
    </row>
    <row r="23" spans="1:18" x14ac:dyDescent="0.3">
      <c r="A23" s="41"/>
      <c r="B23" s="12" t="s">
        <v>135</v>
      </c>
      <c r="C23" s="51" t="s">
        <v>1</v>
      </c>
      <c r="D23" s="90" t="s">
        <v>101</v>
      </c>
      <c r="E23" s="93"/>
      <c r="F23" s="92"/>
      <c r="G23" s="29"/>
      <c r="H23" s="29"/>
      <c r="I23" s="45"/>
      <c r="O23" s="103" t="str">
        <f t="shared" si="0"/>
        <v>Joining Location*</v>
      </c>
      <c r="P23" s="105" t="str">
        <f>IF(D23="","Check","Validated")</f>
        <v>Validated</v>
      </c>
      <c r="Q23" s="105" t="s">
        <v>2</v>
      </c>
      <c r="R23" s="104"/>
    </row>
    <row r="24" spans="1:18" ht="6" customHeight="1" x14ac:dyDescent="0.3">
      <c r="A24" s="41"/>
      <c r="B24" s="29"/>
      <c r="C24" s="49"/>
      <c r="D24" s="29"/>
      <c r="E24" s="29"/>
      <c r="F24" s="29"/>
      <c r="G24" s="29"/>
      <c r="H24" s="29"/>
      <c r="I24" s="45"/>
      <c r="O24" s="103"/>
      <c r="R24" s="104"/>
    </row>
    <row r="25" spans="1:18" x14ac:dyDescent="0.3">
      <c r="A25" s="41"/>
      <c r="B25" s="12" t="s">
        <v>136</v>
      </c>
      <c r="C25" s="51" t="s">
        <v>1</v>
      </c>
      <c r="D25" s="746" t="s">
        <v>792</v>
      </c>
      <c r="E25" s="747"/>
      <c r="F25" s="748"/>
      <c r="G25" s="29"/>
      <c r="H25" s="29"/>
      <c r="I25" s="45"/>
      <c r="O25" s="103" t="str">
        <f t="shared" si="0"/>
        <v>Gender*</v>
      </c>
      <c r="P25" s="105" t="str">
        <f>IF(D25="","Check","Validated")</f>
        <v>Validated</v>
      </c>
      <c r="Q25" s="105" t="s">
        <v>2</v>
      </c>
      <c r="R25" s="104"/>
    </row>
    <row r="26" spans="1:18" x14ac:dyDescent="0.3">
      <c r="A26" s="41"/>
      <c r="B26" s="12" t="s">
        <v>137</v>
      </c>
      <c r="C26" s="51" t="s">
        <v>1</v>
      </c>
      <c r="D26" s="746" t="s">
        <v>793</v>
      </c>
      <c r="E26" s="747"/>
      <c r="F26" s="748"/>
      <c r="G26" s="29"/>
      <c r="H26" s="29"/>
      <c r="I26" s="45"/>
      <c r="O26" s="103" t="str">
        <f t="shared" si="0"/>
        <v>Marital Status*</v>
      </c>
      <c r="P26" s="105" t="str">
        <f>IF(D26="","Check","Validated")</f>
        <v>Validated</v>
      </c>
      <c r="Q26" s="105" t="s">
        <v>2</v>
      </c>
      <c r="R26" s="104"/>
    </row>
    <row r="27" spans="1:18" x14ac:dyDescent="0.3">
      <c r="A27" s="41"/>
      <c r="B27" s="12" t="s">
        <v>138</v>
      </c>
      <c r="C27" s="51" t="s">
        <v>1</v>
      </c>
      <c r="D27" s="746" t="s">
        <v>120</v>
      </c>
      <c r="E27" s="747"/>
      <c r="F27" s="748"/>
      <c r="G27" s="29"/>
      <c r="H27" s="29"/>
      <c r="I27" s="45"/>
      <c r="O27" s="103" t="str">
        <f t="shared" si="0"/>
        <v>Blood Group*</v>
      </c>
      <c r="P27" s="105" t="str">
        <f>IF(D27="","Check","Validated")</f>
        <v>Validated</v>
      </c>
      <c r="Q27" s="105" t="s">
        <v>2</v>
      </c>
      <c r="R27" s="104"/>
    </row>
    <row r="28" spans="1:18" x14ac:dyDescent="0.3">
      <c r="A28" s="41"/>
      <c r="B28" s="12" t="s">
        <v>139</v>
      </c>
      <c r="C28" s="51" t="s">
        <v>1</v>
      </c>
      <c r="D28" s="741" t="s">
        <v>794</v>
      </c>
      <c r="E28" s="742"/>
      <c r="F28" s="742"/>
      <c r="G28" s="29"/>
      <c r="H28" s="29"/>
      <c r="I28" s="45"/>
      <c r="O28" s="103" t="str">
        <f t="shared" si="0"/>
        <v>Nationality*</v>
      </c>
      <c r="P28" s="105" t="str">
        <f>IF(D28="","Check","Validated")</f>
        <v>Validated</v>
      </c>
      <c r="Q28" s="105" t="s">
        <v>2</v>
      </c>
      <c r="R28" s="104"/>
    </row>
    <row r="29" spans="1:18" x14ac:dyDescent="0.3">
      <c r="A29" s="41"/>
      <c r="B29" s="12" t="s">
        <v>140</v>
      </c>
      <c r="C29" s="51" t="s">
        <v>1</v>
      </c>
      <c r="D29" s="746" t="s">
        <v>795</v>
      </c>
      <c r="E29" s="747"/>
      <c r="F29" s="748"/>
      <c r="G29" s="29"/>
      <c r="H29" s="29"/>
      <c r="I29" s="45"/>
      <c r="O29" s="103" t="str">
        <f t="shared" si="0"/>
        <v>Kannadiga/Non-Kannadiga*</v>
      </c>
      <c r="P29" s="105" t="str">
        <f>IF(OR(AND(D23="Bangalore",D29=""),AND(D23="",D29="")),"Check","Validated")</f>
        <v>Validated</v>
      </c>
      <c r="Q29" s="105" t="s">
        <v>2</v>
      </c>
      <c r="R29" s="104"/>
    </row>
    <row r="30" spans="1:18" x14ac:dyDescent="0.3">
      <c r="A30" s="41"/>
      <c r="B30" s="12" t="str">
        <f>IF(D23="Bangalore","Domicile in Karnataka",IF(D23="Chennai","Domicile in Tamil Nadu","Domicile - No of Years"))&amp;TEXT("*","[Red]#,##0_);[Red](#,##0);[Red]@")</f>
        <v>Domicile in Karnataka*</v>
      </c>
      <c r="C30" s="51" t="s">
        <v>1</v>
      </c>
      <c r="D30" s="746" t="s">
        <v>162</v>
      </c>
      <c r="E30" s="747"/>
      <c r="F30" s="748"/>
      <c r="G30" s="29"/>
      <c r="H30" s="29"/>
      <c r="I30" s="45"/>
      <c r="O30" s="103" t="str">
        <f t="shared" si="0"/>
        <v>Domicile in Karnataka*</v>
      </c>
      <c r="P30" s="105" t="str">
        <f>IF(OR(AND(OR(D23="Bangalore",D23="Chennai"),D30=""),AND(D23="",D30="")),"Check","Validated")</f>
        <v>Validated</v>
      </c>
      <c r="Q30" s="105" t="s">
        <v>2</v>
      </c>
      <c r="R30" s="104"/>
    </row>
    <row r="31" spans="1:18" x14ac:dyDescent="0.3">
      <c r="A31" s="41"/>
      <c r="B31" s="12" t="s">
        <v>141</v>
      </c>
      <c r="C31" s="51" t="s">
        <v>1</v>
      </c>
      <c r="D31" s="741" t="s">
        <v>796</v>
      </c>
      <c r="E31" s="742"/>
      <c r="F31" s="742"/>
      <c r="G31" s="29"/>
      <c r="H31" s="29"/>
      <c r="I31" s="45"/>
      <c r="O31" s="103" t="str">
        <f t="shared" si="0"/>
        <v>Religion*</v>
      </c>
      <c r="P31" s="105" t="str">
        <f>IF(D31="","Check","Validated")</f>
        <v>Validated</v>
      </c>
      <c r="Q31" s="105" t="s">
        <v>2</v>
      </c>
      <c r="R31" s="104"/>
    </row>
    <row r="32" spans="1:18" x14ac:dyDescent="0.3">
      <c r="A32" s="41"/>
      <c r="B32" s="12" t="s">
        <v>142</v>
      </c>
      <c r="C32" s="51" t="s">
        <v>1</v>
      </c>
      <c r="D32" s="741" t="s">
        <v>797</v>
      </c>
      <c r="E32" s="742"/>
      <c r="F32" s="742"/>
      <c r="G32" s="29"/>
      <c r="H32" s="29"/>
      <c r="I32" s="45"/>
      <c r="O32" s="103" t="str">
        <f t="shared" si="0"/>
        <v>Caste*</v>
      </c>
      <c r="P32" s="105" t="str">
        <f>IF(D32="","Check","Validated")</f>
        <v>Validated</v>
      </c>
      <c r="Q32" s="105" t="s">
        <v>2</v>
      </c>
      <c r="R32" s="104"/>
    </row>
    <row r="33" spans="1:18" x14ac:dyDescent="0.3">
      <c r="A33" s="41"/>
      <c r="B33" s="12" t="s">
        <v>143</v>
      </c>
      <c r="C33" s="97" t="s">
        <v>1</v>
      </c>
      <c r="D33" s="746" t="s">
        <v>798</v>
      </c>
      <c r="E33" s="747"/>
      <c r="F33" s="748"/>
      <c r="G33" s="29"/>
      <c r="H33" s="29"/>
      <c r="I33" s="45"/>
      <c r="O33" s="103" t="str">
        <f t="shared" si="0"/>
        <v>Are you physically disabled?*</v>
      </c>
      <c r="P33" s="105" t="str">
        <f>IF(D33="","Check","Validated")</f>
        <v>Validated</v>
      </c>
      <c r="Q33" s="105" t="s">
        <v>2</v>
      </c>
      <c r="R33" s="104"/>
    </row>
    <row r="34" spans="1:18" hidden="1" x14ac:dyDescent="0.3">
      <c r="A34" s="41"/>
      <c r="B34" s="99" t="s">
        <v>172</v>
      </c>
      <c r="C34" s="97" t="s">
        <v>1</v>
      </c>
      <c r="D34" s="746"/>
      <c r="E34" s="747"/>
      <c r="F34" s="748"/>
      <c r="G34" s="29"/>
      <c r="H34" s="29"/>
      <c r="I34" s="45"/>
      <c r="O34" s="103" t="str">
        <f t="shared" si="0"/>
        <v>If Yes, Please Specify*</v>
      </c>
      <c r="P34" s="105" t="str">
        <f>IF(OR(AND(D33="Yes",D34=""),AND(D33="",D34="")),"Check","Validated")</f>
        <v>Validated</v>
      </c>
      <c r="Q34" s="105" t="s">
        <v>2</v>
      </c>
      <c r="R34" s="104"/>
    </row>
    <row r="35" spans="1:18" x14ac:dyDescent="0.3">
      <c r="A35" s="41"/>
      <c r="B35" s="29"/>
      <c r="C35" s="49"/>
      <c r="D35" s="29"/>
      <c r="E35" s="29"/>
      <c r="F35" s="29"/>
      <c r="G35" s="29"/>
      <c r="H35" s="29"/>
      <c r="I35" s="45"/>
      <c r="O35" s="103"/>
      <c r="R35" s="104"/>
    </row>
    <row r="36" spans="1:18" x14ac:dyDescent="0.3">
      <c r="A36" s="41"/>
      <c r="B36" s="38" t="s">
        <v>10</v>
      </c>
      <c r="C36" s="53"/>
      <c r="D36" s="54"/>
      <c r="E36" s="6"/>
      <c r="F36" s="6"/>
      <c r="G36" s="29"/>
      <c r="H36" s="29"/>
      <c r="I36" s="45"/>
      <c r="O36" s="103"/>
      <c r="R36" s="104"/>
    </row>
    <row r="37" spans="1:18" x14ac:dyDescent="0.3">
      <c r="A37" s="41"/>
      <c r="B37" s="12" t="s">
        <v>144</v>
      </c>
      <c r="C37" s="51" t="s">
        <v>1</v>
      </c>
      <c r="D37" s="743">
        <v>0</v>
      </c>
      <c r="E37" s="744"/>
      <c r="F37" s="745"/>
      <c r="G37" s="29"/>
      <c r="H37" s="29"/>
      <c r="I37" s="45"/>
      <c r="O37" s="103" t="s">
        <v>179</v>
      </c>
      <c r="P37" s="105" t="str">
        <f>IF(OR(AND(D26="Married",D37&lt;&gt;""),AND(D26="Widow",D37&lt;&gt;""),AND(D26="Widower",D37&lt;&gt;""),AND(D26="Widow",D37&lt;&gt;""),AND(D26="Divorcee",D37&lt;&gt;""),AND(D26="Unmarried",D37=0)),"Validated","Check")</f>
        <v>Validated</v>
      </c>
      <c r="Q37" s="105" t="s">
        <v>2</v>
      </c>
      <c r="R37" s="104"/>
    </row>
    <row r="38" spans="1:18" x14ac:dyDescent="0.3">
      <c r="A38" s="41"/>
      <c r="B38" s="12" t="s">
        <v>703</v>
      </c>
      <c r="C38" s="51" t="s">
        <v>1</v>
      </c>
      <c r="D38" s="743">
        <v>0</v>
      </c>
      <c r="E38" s="744"/>
      <c r="F38" s="745"/>
      <c r="G38" s="29"/>
      <c r="H38" s="29"/>
      <c r="I38" s="45"/>
      <c r="O38" s="103" t="s">
        <v>704</v>
      </c>
      <c r="P38" s="105" t="str">
        <f>IF(OR(AND(D26="Married",D38&lt;&gt;""),AND(D26="Widow",D38&lt;&gt;""),AND(D26="Widower",D38&lt;&gt;""),AND(D26="Widow",D38&lt;&gt;""),AND(D26="Divorcee",D38&lt;&gt;""),AND(D26="Unmarried",D38=0)),"Validated","Check")</f>
        <v>Validated</v>
      </c>
      <c r="Q38" s="105" t="s">
        <v>2</v>
      </c>
      <c r="R38" s="104"/>
    </row>
    <row r="39" spans="1:18" x14ac:dyDescent="0.3">
      <c r="A39" s="41"/>
      <c r="B39" s="29"/>
      <c r="C39" s="49"/>
      <c r="D39" s="29"/>
      <c r="E39" s="29"/>
      <c r="F39" s="29"/>
      <c r="G39" s="29"/>
      <c r="H39" s="29"/>
      <c r="I39" s="45"/>
      <c r="O39" s="103" t="s">
        <v>12</v>
      </c>
      <c r="P39" s="105" t="str">
        <f>IF((D43&amp;D44&amp;D45)="","Check","Validated")</f>
        <v>Validated</v>
      </c>
      <c r="Q39" s="105" t="s">
        <v>2</v>
      </c>
      <c r="R39" s="104"/>
    </row>
    <row r="40" spans="1:18" ht="15" customHeight="1" x14ac:dyDescent="0.3">
      <c r="A40" s="41"/>
      <c r="B40" s="40" t="s">
        <v>11</v>
      </c>
      <c r="C40" s="68"/>
      <c r="D40" s="615" t="s">
        <v>258</v>
      </c>
      <c r="E40" s="616"/>
      <c r="F40" s="617"/>
      <c r="G40" s="6"/>
      <c r="H40" s="762" t="s">
        <v>260</v>
      </c>
      <c r="I40" s="45"/>
      <c r="O40" s="103" t="s">
        <v>180</v>
      </c>
      <c r="P40" s="105" t="str">
        <f>IF(D46="","Check","Validated")</f>
        <v>Validated</v>
      </c>
      <c r="Q40" s="105" t="s">
        <v>2</v>
      </c>
      <c r="R40" s="104"/>
    </row>
    <row r="41" spans="1:18" ht="6" customHeight="1" x14ac:dyDescent="0.3">
      <c r="A41" s="41"/>
      <c r="B41" s="29"/>
      <c r="C41" s="49"/>
      <c r="D41" s="614"/>
      <c r="E41" s="618"/>
      <c r="F41" s="619"/>
      <c r="G41" s="29"/>
      <c r="H41" s="763"/>
      <c r="I41" s="45"/>
      <c r="O41" s="103"/>
      <c r="R41" s="104"/>
    </row>
    <row r="42" spans="1:18" x14ac:dyDescent="0.3">
      <c r="A42" s="41"/>
      <c r="B42" s="38" t="s">
        <v>12</v>
      </c>
      <c r="C42" s="109"/>
      <c r="D42" s="613"/>
      <c r="E42" s="6"/>
      <c r="F42" s="38" t="s">
        <v>13</v>
      </c>
      <c r="G42" s="109"/>
      <c r="H42" s="764"/>
      <c r="I42" s="45"/>
      <c r="O42" s="103" t="s">
        <v>181</v>
      </c>
      <c r="P42" s="105" t="str">
        <f>IF(D47="","Check","Validated")</f>
        <v>Validated</v>
      </c>
      <c r="Q42" s="105" t="s">
        <v>2</v>
      </c>
      <c r="R42" s="104"/>
    </row>
    <row r="43" spans="1:18" x14ac:dyDescent="0.3">
      <c r="A43" s="41"/>
      <c r="B43" s="12" t="s">
        <v>145</v>
      </c>
      <c r="C43" s="51" t="s">
        <v>1</v>
      </c>
      <c r="D43" s="15" t="s">
        <v>799</v>
      </c>
      <c r="E43" s="6"/>
      <c r="F43" s="12" t="s">
        <v>151</v>
      </c>
      <c r="G43" s="51" t="s">
        <v>1</v>
      </c>
      <c r="H43" s="15" t="s">
        <v>831</v>
      </c>
      <c r="I43" s="45"/>
      <c r="O43" s="103" t="s">
        <v>182</v>
      </c>
      <c r="P43" s="105" t="str">
        <f>IF(AND(D48="",TOE_PI="Expat"),"Validated",IF(D48="","Check","Validated"))</f>
        <v>Validated</v>
      </c>
      <c r="Q43" s="105" t="s">
        <v>2</v>
      </c>
      <c r="R43" s="104"/>
    </row>
    <row r="44" spans="1:18" x14ac:dyDescent="0.3">
      <c r="A44" s="41"/>
      <c r="B44" s="50" t="s">
        <v>14</v>
      </c>
      <c r="C44" s="51" t="s">
        <v>1</v>
      </c>
      <c r="D44" s="15" t="s">
        <v>800</v>
      </c>
      <c r="E44" s="6"/>
      <c r="F44" s="50" t="s">
        <v>15</v>
      </c>
      <c r="G44" s="51" t="s">
        <v>1</v>
      </c>
      <c r="H44" s="15" t="s">
        <v>810</v>
      </c>
      <c r="I44" s="45"/>
      <c r="O44" s="103"/>
      <c r="R44" s="104"/>
    </row>
    <row r="45" spans="1:18" x14ac:dyDescent="0.3">
      <c r="A45" s="41"/>
      <c r="B45" s="50" t="s">
        <v>14</v>
      </c>
      <c r="C45" s="51" t="s">
        <v>1</v>
      </c>
      <c r="D45" s="15"/>
      <c r="E45" s="6"/>
      <c r="F45" s="50" t="s">
        <v>15</v>
      </c>
      <c r="G45" s="51" t="s">
        <v>1</v>
      </c>
      <c r="H45" s="15"/>
      <c r="I45" s="45"/>
      <c r="O45" s="103" t="s">
        <v>183</v>
      </c>
      <c r="P45" s="105" t="str">
        <f>IF(AND(D50="",TOE_PI="Expat"),"Validated",IF(D50="","Check","Validated"))</f>
        <v>Validated</v>
      </c>
      <c r="Q45" s="105" t="s">
        <v>2</v>
      </c>
      <c r="R45" s="104"/>
    </row>
    <row r="46" spans="1:18" x14ac:dyDescent="0.3">
      <c r="A46" s="41"/>
      <c r="B46" s="12" t="s">
        <v>146</v>
      </c>
      <c r="C46" s="51" t="s">
        <v>1</v>
      </c>
      <c r="D46" s="15" t="s">
        <v>801</v>
      </c>
      <c r="E46" s="6"/>
      <c r="F46" s="12" t="s">
        <v>146</v>
      </c>
      <c r="G46" s="51" t="s">
        <v>1</v>
      </c>
      <c r="H46" s="15" t="s">
        <v>810</v>
      </c>
      <c r="I46" s="45"/>
      <c r="O46" s="103" t="s">
        <v>184</v>
      </c>
      <c r="P46" s="105" t="str">
        <f>IF(D51="","Check","Validated")</f>
        <v>Validated</v>
      </c>
      <c r="Q46" s="105" t="s">
        <v>2</v>
      </c>
      <c r="R46" s="104"/>
    </row>
    <row r="47" spans="1:18" x14ac:dyDescent="0.3">
      <c r="A47" s="41"/>
      <c r="B47" s="12" t="s">
        <v>147</v>
      </c>
      <c r="C47" s="51" t="s">
        <v>1</v>
      </c>
      <c r="D47" s="15" t="s">
        <v>802</v>
      </c>
      <c r="E47" s="6"/>
      <c r="F47" s="12" t="s">
        <v>147</v>
      </c>
      <c r="G47" s="51" t="s">
        <v>1</v>
      </c>
      <c r="H47" s="15" t="s">
        <v>811</v>
      </c>
      <c r="I47" s="45"/>
      <c r="O47" s="103" t="s">
        <v>13</v>
      </c>
      <c r="P47" s="105" t="str">
        <f>IF((H43&amp;H44&amp;H45)="","Check","Validated")</f>
        <v>Validated</v>
      </c>
      <c r="Q47" s="105" t="s">
        <v>2</v>
      </c>
      <c r="R47" s="104"/>
    </row>
    <row r="48" spans="1:18" x14ac:dyDescent="0.3">
      <c r="A48" s="41"/>
      <c r="B48" s="12" t="s">
        <v>148</v>
      </c>
      <c r="C48" s="51" t="s">
        <v>1</v>
      </c>
      <c r="D48" s="15">
        <v>500019</v>
      </c>
      <c r="E48" s="6"/>
      <c r="F48" s="12" t="s">
        <v>148</v>
      </c>
      <c r="G48" s="51" t="s">
        <v>1</v>
      </c>
      <c r="H48" s="15">
        <v>494334</v>
      </c>
      <c r="I48" s="45"/>
      <c r="O48" s="103" t="s">
        <v>185</v>
      </c>
      <c r="P48" s="105" t="str">
        <f t="shared" ref="P48:P53" si="1">IF(H46="","Check","Validated")</f>
        <v>Validated</v>
      </c>
      <c r="Q48" s="105" t="s">
        <v>2</v>
      </c>
      <c r="R48" s="104"/>
    </row>
    <row r="49" spans="1:18" x14ac:dyDescent="0.3">
      <c r="A49" s="41"/>
      <c r="B49" s="12" t="s">
        <v>255</v>
      </c>
      <c r="C49" s="51" t="s">
        <v>1</v>
      </c>
      <c r="D49" s="15"/>
      <c r="E49" s="6"/>
      <c r="F49" s="12" t="s">
        <v>255</v>
      </c>
      <c r="G49" s="51" t="s">
        <v>1</v>
      </c>
      <c r="H49" s="15"/>
      <c r="I49" s="45"/>
      <c r="O49" s="103" t="s">
        <v>186</v>
      </c>
      <c r="P49" s="105" t="str">
        <f t="shared" si="1"/>
        <v>Validated</v>
      </c>
      <c r="Q49" s="105" t="s">
        <v>2</v>
      </c>
      <c r="R49" s="104"/>
    </row>
    <row r="50" spans="1:18" x14ac:dyDescent="0.3">
      <c r="A50" s="41"/>
      <c r="B50" s="12" t="s">
        <v>149</v>
      </c>
      <c r="C50" s="51" t="s">
        <v>1</v>
      </c>
      <c r="D50" s="15">
        <v>9407669172</v>
      </c>
      <c r="E50" s="6"/>
      <c r="F50" s="12" t="s">
        <v>149</v>
      </c>
      <c r="G50" s="51" t="s">
        <v>1</v>
      </c>
      <c r="H50" s="15">
        <v>9407669172</v>
      </c>
      <c r="I50" s="45"/>
      <c r="O50" s="103" t="s">
        <v>187</v>
      </c>
      <c r="P50" s="105" t="str">
        <f>IF(AND(H48="",TOE_PI="Expat"),"Validated",IF(H48="","Check","Validated"))</f>
        <v>Validated</v>
      </c>
      <c r="Q50" s="105" t="s">
        <v>2</v>
      </c>
      <c r="R50" s="104"/>
    </row>
    <row r="51" spans="1:18" x14ac:dyDescent="0.3">
      <c r="A51" s="41"/>
      <c r="B51" s="12" t="s">
        <v>150</v>
      </c>
      <c r="C51" s="51" t="s">
        <v>1</v>
      </c>
      <c r="D51" s="110" t="s">
        <v>803</v>
      </c>
      <c r="E51" s="6"/>
      <c r="F51" s="12" t="s">
        <v>150</v>
      </c>
      <c r="G51" s="51" t="s">
        <v>1</v>
      </c>
      <c r="H51" s="1007" t="s">
        <v>803</v>
      </c>
      <c r="I51" s="45"/>
      <c r="O51" s="103"/>
      <c r="R51" s="104"/>
    </row>
    <row r="52" spans="1:18" x14ac:dyDescent="0.3">
      <c r="A52" s="41"/>
      <c r="B52" s="29"/>
      <c r="C52" s="49"/>
      <c r="D52" s="29"/>
      <c r="E52" s="29"/>
      <c r="F52" s="29"/>
      <c r="G52" s="29"/>
      <c r="H52" s="29"/>
      <c r="I52" s="45"/>
      <c r="O52" s="103" t="s">
        <v>188</v>
      </c>
      <c r="P52" s="105" t="str">
        <f>IF(AND(H50="",TOE_PI="Expat"),"Validated",IF(H50="","Check","Validated"))</f>
        <v>Validated</v>
      </c>
      <c r="Q52" s="105" t="s">
        <v>2</v>
      </c>
      <c r="R52" s="104"/>
    </row>
    <row r="53" spans="1:18" x14ac:dyDescent="0.3">
      <c r="A53" s="41"/>
      <c r="B53" s="38" t="s">
        <v>20</v>
      </c>
      <c r="C53" s="56"/>
      <c r="D53" s="46"/>
      <c r="E53" s="6"/>
      <c r="F53" s="6"/>
      <c r="G53" s="6"/>
      <c r="H53" s="29"/>
      <c r="I53" s="45"/>
      <c r="O53" s="103" t="s">
        <v>189</v>
      </c>
      <c r="P53" s="105" t="str">
        <f t="shared" si="1"/>
        <v>Validated</v>
      </c>
      <c r="Q53" s="105" t="s">
        <v>2</v>
      </c>
      <c r="R53" s="104"/>
    </row>
    <row r="54" spans="1:18" x14ac:dyDescent="0.3">
      <c r="A54" s="41"/>
      <c r="B54" s="12" t="s">
        <v>152</v>
      </c>
      <c r="C54" s="51" t="s">
        <v>1</v>
      </c>
      <c r="D54" s="741" t="s">
        <v>804</v>
      </c>
      <c r="E54" s="742"/>
      <c r="F54" s="742"/>
      <c r="G54" s="6"/>
      <c r="H54" s="29"/>
      <c r="I54" s="45"/>
      <c r="O54" s="103" t="s">
        <v>190</v>
      </c>
      <c r="P54" s="105" t="str">
        <f>IF(TOE_PI="Contractor","Validated",IF(D54="","Check","Validated"))</f>
        <v>Validated</v>
      </c>
      <c r="Q54" s="105" t="s">
        <v>2</v>
      </c>
      <c r="R54" s="104"/>
    </row>
    <row r="55" spans="1:18" x14ac:dyDescent="0.3">
      <c r="A55" s="41"/>
      <c r="B55" s="12" t="s">
        <v>153</v>
      </c>
      <c r="C55" s="51" t="s">
        <v>1</v>
      </c>
      <c r="D55" s="761" t="s">
        <v>805</v>
      </c>
      <c r="E55" s="742"/>
      <c r="F55" s="742"/>
      <c r="G55" s="6"/>
      <c r="H55" s="29"/>
      <c r="I55" s="45"/>
      <c r="O55" s="103" t="s">
        <v>191</v>
      </c>
      <c r="P55" s="105" t="str">
        <f>IF(TOE_PI="Contractor","Validated",IF(D55="","Check","Validated"))</f>
        <v>Validated</v>
      </c>
      <c r="Q55" s="105" t="s">
        <v>2</v>
      </c>
      <c r="R55" s="104"/>
    </row>
    <row r="56" spans="1:18" x14ac:dyDescent="0.3">
      <c r="A56" s="41"/>
      <c r="B56" s="12" t="s">
        <v>154</v>
      </c>
      <c r="C56" s="51" t="s">
        <v>1</v>
      </c>
      <c r="D56" s="761">
        <v>42376</v>
      </c>
      <c r="E56" s="742"/>
      <c r="F56" s="742"/>
      <c r="G56" s="6"/>
      <c r="H56" s="29"/>
      <c r="I56" s="45"/>
      <c r="O56" s="103" t="s">
        <v>192</v>
      </c>
      <c r="P56" s="105" t="str">
        <f>IF(TOE_PI="Contractor","Validated",IF(D56="","Check","Validated"))</f>
        <v>Validated</v>
      </c>
      <c r="Q56" s="105" t="s">
        <v>2</v>
      </c>
      <c r="R56" s="104"/>
    </row>
    <row r="57" spans="1:18" x14ac:dyDescent="0.3">
      <c r="A57" s="41"/>
      <c r="B57" s="12" t="s">
        <v>155</v>
      </c>
      <c r="C57" s="51" t="s">
        <v>1</v>
      </c>
      <c r="D57" s="761">
        <v>46028</v>
      </c>
      <c r="E57" s="742"/>
      <c r="F57" s="742"/>
      <c r="G57" s="29"/>
      <c r="H57" s="29"/>
      <c r="I57" s="45"/>
      <c r="O57" s="103" t="s">
        <v>193</v>
      </c>
      <c r="P57" s="105" t="str">
        <f>IF(TOE_PI="Contractor","Validated",IF(D57="","Check","Validated"))</f>
        <v>Validated</v>
      </c>
      <c r="Q57" s="105" t="s">
        <v>2</v>
      </c>
      <c r="R57" s="104"/>
    </row>
    <row r="58" spans="1:18" x14ac:dyDescent="0.3">
      <c r="A58" s="41"/>
      <c r="B58" s="12" t="s">
        <v>156</v>
      </c>
      <c r="C58" s="51" t="s">
        <v>1</v>
      </c>
      <c r="D58" s="741" t="s">
        <v>806</v>
      </c>
      <c r="E58" s="742"/>
      <c r="F58" s="742"/>
      <c r="G58" s="29"/>
      <c r="H58" s="29"/>
      <c r="I58" s="45"/>
      <c r="O58" s="103" t="s">
        <v>194</v>
      </c>
      <c r="P58" s="105" t="str">
        <f>IF(TOE_PI="Contractor","Validated",IF(D58="","Check","Validated"))</f>
        <v>Validated</v>
      </c>
      <c r="Q58" s="105" t="s">
        <v>2</v>
      </c>
      <c r="R58" s="104"/>
    </row>
    <row r="59" spans="1:18" x14ac:dyDescent="0.3">
      <c r="A59" s="41"/>
      <c r="B59" s="29"/>
      <c r="C59" s="49"/>
      <c r="D59" s="29"/>
      <c r="E59" s="29"/>
      <c r="F59" s="29"/>
      <c r="G59" s="29"/>
      <c r="H59" s="29"/>
      <c r="I59" s="45"/>
      <c r="O59" s="103" t="s">
        <v>195</v>
      </c>
      <c r="R59" s="104"/>
    </row>
    <row r="60" spans="1:18" x14ac:dyDescent="0.3">
      <c r="A60" s="41"/>
      <c r="B60" s="38" t="str">
        <f>IF(TOE_PI="Employee","Bank &amp; PAN Details","Bank Details")</f>
        <v>Bank Details</v>
      </c>
      <c r="C60" s="56"/>
      <c r="D60" s="46"/>
      <c r="E60" s="6"/>
      <c r="F60" s="6"/>
      <c r="G60" s="6"/>
      <c r="H60" s="29"/>
      <c r="I60" s="45"/>
      <c r="O60" s="103" t="s">
        <v>196</v>
      </c>
      <c r="R60" s="104"/>
    </row>
    <row r="61" spans="1:18" x14ac:dyDescent="0.3">
      <c r="A61" s="41"/>
      <c r="B61" s="12" t="s">
        <v>785</v>
      </c>
      <c r="C61" s="51" t="s">
        <v>1</v>
      </c>
      <c r="D61" s="772"/>
      <c r="E61" s="774"/>
      <c r="F61" s="774"/>
      <c r="G61" s="29"/>
      <c r="H61" s="29"/>
      <c r="I61" s="45"/>
      <c r="O61" s="103" t="s">
        <v>197</v>
      </c>
      <c r="R61" s="104"/>
    </row>
    <row r="62" spans="1:18" x14ac:dyDescent="0.3">
      <c r="A62" s="41"/>
      <c r="B62" s="12" t="s">
        <v>786</v>
      </c>
      <c r="C62" s="51" t="s">
        <v>1</v>
      </c>
      <c r="D62" s="741"/>
      <c r="E62" s="742"/>
      <c r="F62" s="742"/>
      <c r="G62" s="29"/>
      <c r="H62" s="29"/>
      <c r="I62" s="45"/>
      <c r="O62" s="103" t="s">
        <v>198</v>
      </c>
      <c r="P62" s="105" t="str">
        <f>IF(TOE_PI&lt;&gt;"Employee","Validated",IF(D64="","Check","Validated"))</f>
        <v>Validated</v>
      </c>
      <c r="Q62" s="105" t="s">
        <v>2</v>
      </c>
      <c r="R62" s="104"/>
    </row>
    <row r="63" spans="1:18" x14ac:dyDescent="0.3">
      <c r="A63" s="41"/>
      <c r="B63" s="12" t="s">
        <v>787</v>
      </c>
      <c r="C63" s="51" t="s">
        <v>1</v>
      </c>
      <c r="D63" s="741"/>
      <c r="E63" s="742"/>
      <c r="F63" s="742"/>
      <c r="G63" s="29"/>
      <c r="H63" s="29"/>
      <c r="I63" s="45"/>
      <c r="O63" s="103" t="s">
        <v>702</v>
      </c>
      <c r="P63" s="105" t="str">
        <f>IF(TOE_PI="Contractor","Validated",IF(D56&lt;D57,"Validated","Check"))</f>
        <v>Validated</v>
      </c>
      <c r="Q63" s="105" t="s">
        <v>2</v>
      </c>
      <c r="R63" s="104"/>
    </row>
    <row r="64" spans="1:18" x14ac:dyDescent="0.3">
      <c r="A64" s="41"/>
      <c r="B64" s="12" t="s">
        <v>157</v>
      </c>
      <c r="C64" s="51" t="s">
        <v>1</v>
      </c>
      <c r="D64" s="741" t="s">
        <v>824</v>
      </c>
      <c r="E64" s="742"/>
      <c r="F64" s="742"/>
      <c r="G64" s="29"/>
      <c r="H64" s="29"/>
      <c r="I64" s="45"/>
      <c r="O64" s="103" t="s">
        <v>199</v>
      </c>
      <c r="P64" s="105" t="str">
        <f>IF(D69="","Check","Validated")</f>
        <v>Validated</v>
      </c>
      <c r="Q64" s="105" t="s">
        <v>2</v>
      </c>
      <c r="R64" s="104"/>
    </row>
    <row r="65" spans="1:19" x14ac:dyDescent="0.3">
      <c r="A65" s="41"/>
      <c r="B65" s="29"/>
      <c r="C65" s="49"/>
      <c r="D65" s="29"/>
      <c r="E65" s="29"/>
      <c r="F65" s="29"/>
      <c r="G65" s="29"/>
      <c r="H65" s="29"/>
      <c r="I65" s="45"/>
      <c r="O65" s="103" t="s">
        <v>200</v>
      </c>
      <c r="P65" s="105" t="str">
        <f>IF((D70&amp;D71&amp;D72)="","Check","Validated")</f>
        <v>Validated</v>
      </c>
      <c r="Q65" s="105" t="s">
        <v>2</v>
      </c>
      <c r="R65" s="104"/>
    </row>
    <row r="66" spans="1:19" x14ac:dyDescent="0.3">
      <c r="A66" s="41"/>
      <c r="B66" s="40" t="s">
        <v>44</v>
      </c>
      <c r="C66" s="55"/>
      <c r="D66" s="55"/>
      <c r="E66" s="29"/>
      <c r="F66" s="29"/>
      <c r="G66" s="29"/>
      <c r="H66" s="29"/>
      <c r="I66" s="45"/>
      <c r="O66" s="103" t="s">
        <v>201</v>
      </c>
      <c r="P66" s="105" t="str">
        <f>IF(D73="","Check","Validated")</f>
        <v>Validated</v>
      </c>
      <c r="Q66" s="105" t="s">
        <v>2</v>
      </c>
      <c r="R66" s="104"/>
    </row>
    <row r="67" spans="1:19" x14ac:dyDescent="0.3">
      <c r="A67" s="41"/>
      <c r="B67" s="29"/>
      <c r="C67" s="49"/>
      <c r="D67" s="29"/>
      <c r="E67" s="29"/>
      <c r="F67" s="29"/>
      <c r="G67" s="29"/>
      <c r="H67" s="29"/>
      <c r="I67" s="45"/>
      <c r="O67" s="103" t="s">
        <v>202</v>
      </c>
      <c r="P67" s="105" t="str">
        <f>IF(D74="","Check","Validated")</f>
        <v>Validated</v>
      </c>
      <c r="Q67" s="105" t="s">
        <v>2</v>
      </c>
      <c r="R67" s="104"/>
    </row>
    <row r="68" spans="1:19" x14ac:dyDescent="0.3">
      <c r="A68" s="41"/>
      <c r="B68" s="38" t="s">
        <v>45</v>
      </c>
      <c r="C68" s="56"/>
      <c r="D68" s="46"/>
      <c r="E68" s="29"/>
      <c r="F68" s="38" t="s">
        <v>46</v>
      </c>
      <c r="G68" s="56"/>
      <c r="H68" s="46"/>
      <c r="I68" s="45"/>
      <c r="O68" s="103" t="s">
        <v>203</v>
      </c>
      <c r="P68" s="105" t="str">
        <f>IF(AND(D75="",TOE_PI="Expat"),"Validated",IF(D75="","Check","Validated"))</f>
        <v>Validated</v>
      </c>
      <c r="Q68" s="105" t="s">
        <v>2</v>
      </c>
      <c r="R68" s="104"/>
    </row>
    <row r="69" spans="1:19" x14ac:dyDescent="0.3">
      <c r="A69" s="41"/>
      <c r="B69" s="12" t="s">
        <v>158</v>
      </c>
      <c r="C69" s="51" t="s">
        <v>1</v>
      </c>
      <c r="D69" s="15" t="s">
        <v>807</v>
      </c>
      <c r="F69" s="12" t="s">
        <v>158</v>
      </c>
      <c r="G69" s="51" t="s">
        <v>1</v>
      </c>
      <c r="H69" s="15" t="s">
        <v>791</v>
      </c>
      <c r="I69" s="45"/>
      <c r="O69" s="103"/>
      <c r="R69" s="104"/>
    </row>
    <row r="70" spans="1:19" x14ac:dyDescent="0.3">
      <c r="A70" s="41"/>
      <c r="B70" s="12" t="s">
        <v>159</v>
      </c>
      <c r="C70" s="51" t="s">
        <v>1</v>
      </c>
      <c r="D70" s="15" t="s">
        <v>808</v>
      </c>
      <c r="F70" s="12" t="s">
        <v>159</v>
      </c>
      <c r="G70" s="51" t="s">
        <v>1</v>
      </c>
      <c r="H70" s="15" t="s">
        <v>808</v>
      </c>
      <c r="I70" s="45"/>
      <c r="O70" s="103" t="s">
        <v>204</v>
      </c>
      <c r="P70" s="105" t="str">
        <f>IF(AND(D77="",TOE_PI="Expat"),"Validated",IF(D77="","Check","Validated"))</f>
        <v>Validated</v>
      </c>
      <c r="Q70" s="105" t="s">
        <v>2</v>
      </c>
      <c r="R70" s="104"/>
    </row>
    <row r="71" spans="1:19" x14ac:dyDescent="0.3">
      <c r="A71" s="41"/>
      <c r="B71" s="12" t="s">
        <v>19</v>
      </c>
      <c r="C71" s="51" t="s">
        <v>1</v>
      </c>
      <c r="D71" s="15" t="s">
        <v>809</v>
      </c>
      <c r="F71" s="12" t="s">
        <v>19</v>
      </c>
      <c r="G71" s="51" t="s">
        <v>1</v>
      </c>
      <c r="H71" s="15" t="s">
        <v>809</v>
      </c>
      <c r="I71" s="45"/>
      <c r="O71" s="103" t="s">
        <v>251</v>
      </c>
      <c r="P71" s="105" t="str">
        <f>IF(OR(H69="",D69=H69),"Check","Validated")</f>
        <v>Validated</v>
      </c>
      <c r="Q71" s="105" t="s">
        <v>2</v>
      </c>
      <c r="R71" s="104"/>
    </row>
    <row r="72" spans="1:19" x14ac:dyDescent="0.3">
      <c r="A72" s="41"/>
      <c r="B72" s="12" t="s">
        <v>19</v>
      </c>
      <c r="C72" s="51" t="s">
        <v>1</v>
      </c>
      <c r="D72" s="15"/>
      <c r="F72" s="12" t="s">
        <v>19</v>
      </c>
      <c r="G72" s="51" t="s">
        <v>1</v>
      </c>
      <c r="H72" s="15"/>
      <c r="I72" s="45"/>
      <c r="O72" s="103" t="s">
        <v>205</v>
      </c>
      <c r="P72" s="105" t="str">
        <f>IF((H70&amp;H71&amp;H72)="","Check","Validated")</f>
        <v>Validated</v>
      </c>
      <c r="Q72" s="105" t="s">
        <v>2</v>
      </c>
      <c r="R72" s="104"/>
    </row>
    <row r="73" spans="1:19" x14ac:dyDescent="0.3">
      <c r="A73" s="41"/>
      <c r="B73" s="12" t="s">
        <v>146</v>
      </c>
      <c r="C73" s="51" t="s">
        <v>1</v>
      </c>
      <c r="D73" s="15" t="s">
        <v>810</v>
      </c>
      <c r="F73" s="12" t="s">
        <v>146</v>
      </c>
      <c r="G73" s="51" t="s">
        <v>1</v>
      </c>
      <c r="H73" s="15" t="s">
        <v>810</v>
      </c>
      <c r="I73" s="45"/>
      <c r="O73" s="103" t="s">
        <v>206</v>
      </c>
      <c r="P73" s="105" t="str">
        <f>IF(H73="","Check","Validated")</f>
        <v>Validated</v>
      </c>
      <c r="Q73" s="105" t="s">
        <v>2</v>
      </c>
      <c r="R73" s="104"/>
    </row>
    <row r="74" spans="1:19" x14ac:dyDescent="0.3">
      <c r="A74" s="41"/>
      <c r="B74" s="12" t="s">
        <v>147</v>
      </c>
      <c r="C74" s="51" t="s">
        <v>1</v>
      </c>
      <c r="D74" s="15" t="s">
        <v>811</v>
      </c>
      <c r="F74" s="12" t="s">
        <v>147</v>
      </c>
      <c r="G74" s="51" t="s">
        <v>1</v>
      </c>
      <c r="H74" s="15" t="s">
        <v>811</v>
      </c>
      <c r="I74" s="45"/>
      <c r="O74" s="103" t="s">
        <v>207</v>
      </c>
      <c r="P74" s="105" t="str">
        <f>IF(H74="","Check","Validated")</f>
        <v>Validated</v>
      </c>
      <c r="Q74" s="105" t="s">
        <v>2</v>
      </c>
      <c r="R74" s="104"/>
    </row>
    <row r="75" spans="1:19" x14ac:dyDescent="0.3">
      <c r="A75" s="41"/>
      <c r="B75" s="12" t="s">
        <v>148</v>
      </c>
      <c r="C75" s="51" t="s">
        <v>1</v>
      </c>
      <c r="D75" s="15">
        <v>494337</v>
      </c>
      <c r="F75" s="12" t="s">
        <v>148</v>
      </c>
      <c r="G75" s="51" t="s">
        <v>1</v>
      </c>
      <c r="H75" s="15">
        <v>494337</v>
      </c>
      <c r="I75" s="45"/>
      <c r="O75" s="103" t="s">
        <v>208</v>
      </c>
      <c r="P75" s="105" t="str">
        <f>IF(AND(H75="",TOE_PI="Expat"),"Validated",IF(H75="","Check","Validated"))</f>
        <v>Validated</v>
      </c>
      <c r="Q75" s="105" t="s">
        <v>2</v>
      </c>
      <c r="R75" s="104"/>
    </row>
    <row r="76" spans="1:19" x14ac:dyDescent="0.3">
      <c r="A76" s="41"/>
      <c r="B76" s="12" t="s">
        <v>255</v>
      </c>
      <c r="C76" s="51" t="s">
        <v>1</v>
      </c>
      <c r="D76" s="15"/>
      <c r="F76" s="12" t="s">
        <v>255</v>
      </c>
      <c r="G76" s="51" t="s">
        <v>1</v>
      </c>
      <c r="H76" s="15"/>
      <c r="I76" s="45"/>
      <c r="O76" s="103"/>
      <c r="R76" s="104"/>
    </row>
    <row r="77" spans="1:19" x14ac:dyDescent="0.3">
      <c r="A77" s="41"/>
      <c r="B77" s="12" t="s">
        <v>149</v>
      </c>
      <c r="C77" s="51" t="s">
        <v>1</v>
      </c>
      <c r="D77" s="15">
        <v>8871320156</v>
      </c>
      <c r="F77" s="12" t="s">
        <v>149</v>
      </c>
      <c r="G77" s="51" t="s">
        <v>1</v>
      </c>
      <c r="H77" s="15">
        <v>9407697717</v>
      </c>
      <c r="I77" s="45"/>
      <c r="O77" s="103" t="s">
        <v>252</v>
      </c>
      <c r="P77" s="105" t="str">
        <f>IF(TOE_PI="Expat","Validated",IF(OR(H77="",D77=H77),"Check","Validated"))</f>
        <v>Validated</v>
      </c>
      <c r="Q77" s="105" t="s">
        <v>2</v>
      </c>
      <c r="R77" s="104"/>
    </row>
    <row r="78" spans="1:19" s="5" customFormat="1" ht="6" customHeight="1" x14ac:dyDescent="0.3">
      <c r="A78" s="7"/>
      <c r="B78" s="4"/>
      <c r="C78" s="4"/>
      <c r="D78" s="11"/>
      <c r="E78" s="4"/>
      <c r="F78" s="4"/>
      <c r="G78" s="4"/>
      <c r="H78" s="11"/>
      <c r="I78" s="10"/>
      <c r="J78" s="4"/>
      <c r="K78" s="4"/>
      <c r="O78" s="103"/>
      <c r="P78" s="104"/>
      <c r="Q78" s="104"/>
      <c r="R78" s="104"/>
      <c r="S78"/>
    </row>
    <row r="79" spans="1:19" s="5" customFormat="1" ht="6" customHeight="1" thickBot="1" x14ac:dyDescent="0.35">
      <c r="A79" s="16"/>
      <c r="B79" s="17"/>
      <c r="C79" s="17"/>
      <c r="D79" s="18"/>
      <c r="E79" s="17"/>
      <c r="F79" s="17"/>
      <c r="G79" s="17"/>
      <c r="H79" s="17"/>
      <c r="I79" s="19"/>
      <c r="J79" s="4"/>
      <c r="K79" s="4"/>
      <c r="O79" s="103"/>
      <c r="P79" s="104"/>
      <c r="Q79" s="104"/>
      <c r="R79" s="104"/>
      <c r="S79"/>
    </row>
    <row r="80" spans="1:19" s="5" customFormat="1" ht="15" customHeight="1" x14ac:dyDescent="0.3">
      <c r="A80" s="59"/>
      <c r="B80" s="1"/>
      <c r="C80" s="1"/>
      <c r="D80" s="2"/>
      <c r="E80" s="1"/>
      <c r="F80" s="1"/>
      <c r="G80" s="1"/>
      <c r="H80" s="1"/>
      <c r="I80" s="60"/>
      <c r="J80" s="4"/>
      <c r="K80" s="4"/>
      <c r="O80" s="103" t="s">
        <v>212</v>
      </c>
      <c r="P80" s="105"/>
      <c r="Q80" s="104"/>
      <c r="R80" s="104"/>
      <c r="S80"/>
    </row>
    <row r="81" spans="1:19" x14ac:dyDescent="0.3">
      <c r="A81" s="41"/>
      <c r="B81" s="40" t="s">
        <v>47</v>
      </c>
      <c r="C81" s="55"/>
      <c r="D81" s="55"/>
      <c r="E81" s="26"/>
      <c r="F81" s="26"/>
      <c r="G81" s="26"/>
      <c r="H81" s="26"/>
      <c r="I81" s="45"/>
      <c r="O81" s="103" t="s">
        <v>211</v>
      </c>
      <c r="P81" s="105" t="str">
        <f>IF((B86)="","Check","Validated")</f>
        <v>Validated</v>
      </c>
      <c r="Q81" s="104" t="s">
        <v>2</v>
      </c>
      <c r="R81" s="104"/>
    </row>
    <row r="82" spans="1:19" ht="15" customHeight="1" x14ac:dyDescent="0.3">
      <c r="A82" s="41"/>
      <c r="B82" s="26"/>
      <c r="C82" s="70"/>
      <c r="D82" s="26"/>
      <c r="E82" s="26"/>
      <c r="F82" s="26"/>
      <c r="G82" s="26"/>
      <c r="H82" s="26"/>
      <c r="I82" s="45"/>
      <c r="O82" s="103" t="s">
        <v>242</v>
      </c>
      <c r="P82" s="105" t="str">
        <f>IF(AND(B86&lt;&gt;"",D86=""),"Check","Validated")</f>
        <v>Validated</v>
      </c>
      <c r="Q82" s="105" t="s">
        <v>2</v>
      </c>
      <c r="R82" s="104"/>
    </row>
    <row r="83" spans="1:19" x14ac:dyDescent="0.3">
      <c r="A83" s="41"/>
      <c r="B83" s="40" t="s">
        <v>16</v>
      </c>
      <c r="C83" s="64"/>
      <c r="D83" s="64"/>
      <c r="E83" s="64"/>
      <c r="F83" s="20"/>
      <c r="G83" s="4"/>
      <c r="H83" s="26"/>
      <c r="I83" s="45"/>
      <c r="O83" s="103" t="s">
        <v>243</v>
      </c>
      <c r="P83" s="105" t="str">
        <f>IF(AND(B86&lt;&gt;"",F86=""),"Check","Validated")</f>
        <v>Validated</v>
      </c>
      <c r="Q83" s="105" t="s">
        <v>2</v>
      </c>
      <c r="R83" s="104"/>
    </row>
    <row r="84" spans="1:19" s="5" customFormat="1" ht="6" customHeight="1" x14ac:dyDescent="0.3">
      <c r="A84" s="7"/>
      <c r="B84" s="4"/>
      <c r="C84" s="4"/>
      <c r="D84" s="11"/>
      <c r="E84" s="4"/>
      <c r="F84" s="4"/>
      <c r="G84" s="4"/>
      <c r="H84" s="11"/>
      <c r="I84" s="10"/>
      <c r="J84" s="4"/>
      <c r="K84" s="4"/>
      <c r="O84" s="103" t="s">
        <v>244</v>
      </c>
      <c r="P84" s="105" t="str">
        <f>IF(AND(B86&lt;&gt;"",H86=""),"Check","Validated")</f>
        <v>Validated</v>
      </c>
      <c r="Q84" s="108" t="s">
        <v>2</v>
      </c>
      <c r="R84" s="104"/>
      <c r="S84"/>
    </row>
    <row r="85" spans="1:19" x14ac:dyDescent="0.3">
      <c r="A85" s="41"/>
      <c r="B85" s="25" t="s">
        <v>17</v>
      </c>
      <c r="C85" s="21"/>
      <c r="D85" s="25" t="s">
        <v>76</v>
      </c>
      <c r="E85" s="21"/>
      <c r="F85" s="25" t="s">
        <v>77</v>
      </c>
      <c r="G85" s="21"/>
      <c r="H85" s="57" t="s">
        <v>48</v>
      </c>
      <c r="I85" s="45"/>
      <c r="O85" s="103" t="s">
        <v>209</v>
      </c>
      <c r="P85" s="105" t="str">
        <f>IF(AND(TOE_PI="Expat",(B87)=""),"Validated",IF(B87="","Check","Validated"))</f>
        <v>Validated</v>
      </c>
      <c r="Q85" s="105" t="s">
        <v>2</v>
      </c>
      <c r="R85" s="104"/>
    </row>
    <row r="86" spans="1:19" x14ac:dyDescent="0.3">
      <c r="A86" s="41"/>
      <c r="B86" s="15" t="s">
        <v>62</v>
      </c>
      <c r="C86" s="22"/>
      <c r="D86" s="15" t="s">
        <v>814</v>
      </c>
      <c r="E86" s="22"/>
      <c r="F86" s="66">
        <v>2016</v>
      </c>
      <c r="G86" s="22"/>
      <c r="H86" s="67">
        <v>0.82040000000000002</v>
      </c>
      <c r="I86" s="45"/>
      <c r="O86" s="103" t="s">
        <v>245</v>
      </c>
      <c r="P86" s="105" t="str">
        <f>IF(AND(B87&lt;&gt;"",D87=""),"Check","Validated")</f>
        <v>Validated</v>
      </c>
      <c r="Q86" s="105" t="s">
        <v>2</v>
      </c>
      <c r="R86" s="104"/>
    </row>
    <row r="87" spans="1:19" x14ac:dyDescent="0.3">
      <c r="A87" s="69"/>
      <c r="B87" s="15" t="s">
        <v>52</v>
      </c>
      <c r="C87" s="22"/>
      <c r="D87" s="15" t="s">
        <v>815</v>
      </c>
      <c r="E87" s="22"/>
      <c r="F87" s="66">
        <v>2013</v>
      </c>
      <c r="G87" s="22"/>
      <c r="H87" s="67">
        <v>0.59899999999999998</v>
      </c>
      <c r="I87" s="45"/>
      <c r="O87" s="103" t="s">
        <v>246</v>
      </c>
      <c r="P87" s="105" t="str">
        <f>IF(AND(B87&lt;&gt;"",F87=""),"Check","Validated")</f>
        <v>Validated</v>
      </c>
      <c r="Q87" s="105" t="s">
        <v>2</v>
      </c>
      <c r="R87" s="104"/>
    </row>
    <row r="88" spans="1:19" x14ac:dyDescent="0.3">
      <c r="A88" s="69"/>
      <c r="B88" s="15" t="s">
        <v>74</v>
      </c>
      <c r="C88" s="22"/>
      <c r="D88" s="15" t="s">
        <v>816</v>
      </c>
      <c r="E88" s="22"/>
      <c r="F88" s="66">
        <v>2010</v>
      </c>
      <c r="G88" s="22"/>
      <c r="H88" s="67">
        <v>0.71140000000000003</v>
      </c>
      <c r="I88" s="45"/>
      <c r="O88" s="103" t="s">
        <v>247</v>
      </c>
      <c r="P88" s="105" t="str">
        <f>IF(AND(B87&lt;&gt;"",H87=""),"Check","Validated")</f>
        <v>Validated</v>
      </c>
      <c r="Q88" s="104" t="s">
        <v>2</v>
      </c>
      <c r="R88" s="104"/>
    </row>
    <row r="89" spans="1:19" x14ac:dyDescent="0.3">
      <c r="A89" s="69"/>
      <c r="B89" s="15" t="s">
        <v>75</v>
      </c>
      <c r="C89" s="22"/>
      <c r="D89" s="15" t="s">
        <v>816</v>
      </c>
      <c r="E89" s="22"/>
      <c r="F89" s="66">
        <v>2008</v>
      </c>
      <c r="G89" s="22"/>
      <c r="H89" s="67">
        <v>0.63300000000000001</v>
      </c>
      <c r="I89" s="45"/>
      <c r="O89" s="103" t="s">
        <v>210</v>
      </c>
      <c r="P89" s="105" t="str">
        <f>IF(AND(TOE_PI="Expat",(B88)=""),"Validated",IF(B88="","Check","Validated"))</f>
        <v>Validated</v>
      </c>
      <c r="Q89" s="105" t="s">
        <v>2</v>
      </c>
      <c r="R89" s="104"/>
    </row>
    <row r="90" spans="1:19" x14ac:dyDescent="0.3">
      <c r="A90" s="69"/>
      <c r="B90" s="15"/>
      <c r="C90" s="22"/>
      <c r="D90" s="15"/>
      <c r="E90" s="22"/>
      <c r="F90" s="66"/>
      <c r="G90" s="22"/>
      <c r="H90" s="67"/>
      <c r="I90" s="45"/>
      <c r="O90" s="103" t="s">
        <v>248</v>
      </c>
      <c r="P90" s="105" t="str">
        <f>IF(AND(B88&lt;&gt;"",D88=""),"Check","Validated")</f>
        <v>Validated</v>
      </c>
      <c r="Q90" s="105" t="s">
        <v>2</v>
      </c>
      <c r="R90" s="104"/>
    </row>
    <row r="91" spans="1:19" x14ac:dyDescent="0.3">
      <c r="A91" s="69"/>
      <c r="B91" s="15"/>
      <c r="C91" s="23"/>
      <c r="D91" s="15"/>
      <c r="E91" s="23"/>
      <c r="F91" s="66"/>
      <c r="G91" s="23"/>
      <c r="H91" s="67"/>
      <c r="I91" s="45"/>
      <c r="O91" s="103" t="s">
        <v>249</v>
      </c>
      <c r="P91" s="105" t="str">
        <f>IF(AND(B88&lt;&gt;"",F88=""),"Check","Validated")</f>
        <v>Validated</v>
      </c>
      <c r="Q91" s="105" t="s">
        <v>2</v>
      </c>
      <c r="R91" s="104"/>
    </row>
    <row r="92" spans="1:19" x14ac:dyDescent="0.3">
      <c r="A92" s="69"/>
      <c r="B92" s="26"/>
      <c r="C92" s="70"/>
      <c r="D92" s="26"/>
      <c r="E92" s="26"/>
      <c r="F92" s="26"/>
      <c r="G92" s="26"/>
      <c r="H92" s="26"/>
      <c r="I92" s="45"/>
      <c r="O92" s="103" t="s">
        <v>250</v>
      </c>
      <c r="P92" s="105" t="str">
        <f>IF(AND(B88&lt;&gt;"",H88=""),"Check","Validated")</f>
        <v>Validated</v>
      </c>
      <c r="Q92" s="105" t="s">
        <v>2</v>
      </c>
      <c r="R92" s="104"/>
    </row>
    <row r="93" spans="1:19" x14ac:dyDescent="0.3">
      <c r="A93" s="41"/>
      <c r="B93" s="40" t="s">
        <v>79</v>
      </c>
      <c r="C93" s="64"/>
      <c r="D93" s="64"/>
      <c r="E93" s="64"/>
      <c r="F93" s="20"/>
      <c r="G93" s="4"/>
      <c r="H93" s="26"/>
      <c r="I93" s="45"/>
      <c r="O93" s="103" t="s">
        <v>213</v>
      </c>
      <c r="P93" s="105" t="str">
        <f>IF((B96&amp;D96&amp;F96)="","Check","Validated")</f>
        <v>Validated</v>
      </c>
      <c r="Q93" s="104" t="s">
        <v>2</v>
      </c>
      <c r="R93" s="104"/>
    </row>
    <row r="94" spans="1:19" s="5" customFormat="1" ht="6" customHeight="1" x14ac:dyDescent="0.3">
      <c r="A94" s="7"/>
      <c r="B94" s="4"/>
      <c r="C94" s="4"/>
      <c r="D94" s="11"/>
      <c r="E94" s="4"/>
      <c r="F94" s="4"/>
      <c r="G94" s="4"/>
      <c r="H94" s="11"/>
      <c r="I94" s="10"/>
      <c r="J94" s="4"/>
      <c r="K94" s="4"/>
      <c r="O94" s="103" t="s">
        <v>214</v>
      </c>
      <c r="P94" s="105" t="str">
        <f>IF(TOE_PI&lt;&gt;"Employee","Validated",IF(B106="","Check","Validated"))</f>
        <v>Validated</v>
      </c>
      <c r="Q94" s="105" t="s">
        <v>2</v>
      </c>
      <c r="R94" s="104"/>
      <c r="S94"/>
    </row>
    <row r="95" spans="1:19" x14ac:dyDescent="0.3">
      <c r="A95" s="41"/>
      <c r="B95" s="25" t="s">
        <v>78</v>
      </c>
      <c r="C95" s="21"/>
      <c r="D95" s="25" t="s">
        <v>80</v>
      </c>
      <c r="E95" s="21"/>
      <c r="F95" s="25" t="s">
        <v>81</v>
      </c>
      <c r="G95" s="21"/>
      <c r="H95" s="57" t="s">
        <v>82</v>
      </c>
      <c r="I95" s="45"/>
      <c r="O95" s="103" t="s">
        <v>216</v>
      </c>
      <c r="P95" s="105" t="str">
        <f>IF(AND(B106&lt;&gt;"",D106=""),"Check","Validated")</f>
        <v>Validated</v>
      </c>
      <c r="Q95" s="105" t="s">
        <v>2</v>
      </c>
      <c r="R95" s="104"/>
    </row>
    <row r="96" spans="1:19" x14ac:dyDescent="0.3">
      <c r="A96" s="41"/>
      <c r="B96" s="15" t="s">
        <v>817</v>
      </c>
      <c r="C96" s="22"/>
      <c r="D96" s="65">
        <v>43255</v>
      </c>
      <c r="E96" s="22"/>
      <c r="F96" s="65"/>
      <c r="G96" s="22"/>
      <c r="H96" s="58" t="s">
        <v>819</v>
      </c>
      <c r="I96" s="45"/>
      <c r="O96" s="103" t="s">
        <v>217</v>
      </c>
      <c r="P96" s="105" t="str">
        <f>IF(AND(B106&lt;&gt;"",F106=""),"Check","Validated")</f>
        <v>Validated</v>
      </c>
      <c r="Q96" s="105" t="s">
        <v>2</v>
      </c>
      <c r="R96" s="104"/>
    </row>
    <row r="97" spans="1:19" x14ac:dyDescent="0.3">
      <c r="A97" s="69"/>
      <c r="B97" s="15" t="s">
        <v>818</v>
      </c>
      <c r="C97" s="22"/>
      <c r="D97" s="65">
        <v>42744</v>
      </c>
      <c r="E97" s="22"/>
      <c r="F97" s="65">
        <v>43245</v>
      </c>
      <c r="G97" s="22"/>
      <c r="H97" s="58" t="s">
        <v>820</v>
      </c>
      <c r="I97" s="45"/>
      <c r="O97" s="103" t="s">
        <v>215</v>
      </c>
      <c r="R97" s="104"/>
    </row>
    <row r="98" spans="1:19" x14ac:dyDescent="0.3">
      <c r="A98" s="69"/>
      <c r="B98" s="15"/>
      <c r="C98" s="22"/>
      <c r="D98" s="65"/>
      <c r="E98" s="22"/>
      <c r="F98" s="65"/>
      <c r="G98" s="22"/>
      <c r="H98" s="58"/>
      <c r="I98" s="45"/>
      <c r="O98" s="103" t="s">
        <v>218</v>
      </c>
      <c r="P98" s="105" t="str">
        <f>IF(AND(B107&lt;&gt;"",D107=""),"Check","Validated")</f>
        <v>Validated</v>
      </c>
      <c r="Q98" s="105" t="s">
        <v>2</v>
      </c>
      <c r="R98" s="104"/>
    </row>
    <row r="99" spans="1:19" x14ac:dyDescent="0.3">
      <c r="A99" s="69"/>
      <c r="B99" s="15"/>
      <c r="C99" s="22"/>
      <c r="D99" s="65"/>
      <c r="E99" s="22"/>
      <c r="F99" s="65"/>
      <c r="G99" s="22"/>
      <c r="H99" s="58"/>
      <c r="I99" s="45"/>
      <c r="O99" s="103" t="s">
        <v>220</v>
      </c>
      <c r="P99" s="105" t="str">
        <f>IF(AND(B107&lt;&gt;"",F107=""),"Check","Validated")</f>
        <v>Validated</v>
      </c>
      <c r="Q99" s="105" t="s">
        <v>2</v>
      </c>
      <c r="R99" s="104"/>
    </row>
    <row r="100" spans="1:19" x14ac:dyDescent="0.3">
      <c r="A100" s="69"/>
      <c r="B100" s="15"/>
      <c r="C100" s="22"/>
      <c r="D100" s="65"/>
      <c r="E100" s="22"/>
      <c r="F100" s="65"/>
      <c r="G100" s="22"/>
      <c r="H100" s="58"/>
      <c r="I100" s="45"/>
      <c r="O100" s="103" t="s">
        <v>221</v>
      </c>
      <c r="R100" s="104"/>
    </row>
    <row r="101" spans="1:19" x14ac:dyDescent="0.3">
      <c r="A101" s="69"/>
      <c r="B101" s="15"/>
      <c r="C101" s="23"/>
      <c r="D101" s="65"/>
      <c r="E101" s="23"/>
      <c r="F101" s="65"/>
      <c r="G101" s="23"/>
      <c r="H101" s="58"/>
      <c r="I101" s="45"/>
      <c r="O101" s="103" t="s">
        <v>219</v>
      </c>
      <c r="P101" s="105" t="str">
        <f>IF(AND(B108&lt;&gt;"",D108=""),"Check","Validated")</f>
        <v>Validated</v>
      </c>
      <c r="Q101" s="105" t="s">
        <v>2</v>
      </c>
      <c r="R101" s="104"/>
    </row>
    <row r="102" spans="1:19" x14ac:dyDescent="0.3">
      <c r="A102" s="69"/>
      <c r="B102" s="26"/>
      <c r="C102" s="70"/>
      <c r="D102" s="26"/>
      <c r="E102" s="26"/>
      <c r="F102" s="26"/>
      <c r="G102" s="26"/>
      <c r="H102" s="26"/>
      <c r="I102" s="45"/>
      <c r="O102" s="103" t="s">
        <v>222</v>
      </c>
      <c r="P102" s="105" t="str">
        <f>IF(AND(B108&lt;&gt;"",F108=""),"Check","Validated")</f>
        <v>Validated</v>
      </c>
      <c r="Q102" s="105" t="s">
        <v>2</v>
      </c>
      <c r="R102" s="104"/>
    </row>
    <row r="103" spans="1:19" x14ac:dyDescent="0.3">
      <c r="A103" s="69"/>
      <c r="B103" s="40" t="s">
        <v>83</v>
      </c>
      <c r="C103" s="64"/>
      <c r="D103" s="64"/>
      <c r="E103" s="64"/>
      <c r="F103" s="20"/>
      <c r="G103" s="4"/>
      <c r="H103" s="26"/>
      <c r="I103" s="45"/>
      <c r="O103" s="103" t="s">
        <v>227</v>
      </c>
      <c r="R103" s="104"/>
    </row>
    <row r="104" spans="1:19" s="5" customFormat="1" ht="6" customHeight="1" x14ac:dyDescent="0.3">
      <c r="A104" s="69"/>
      <c r="B104" s="4"/>
      <c r="C104" s="4"/>
      <c r="D104" s="11"/>
      <c r="E104" s="4"/>
      <c r="F104" s="4"/>
      <c r="G104" s="4"/>
      <c r="H104" s="11"/>
      <c r="I104" s="45"/>
      <c r="J104" s="4"/>
      <c r="K104" s="4"/>
      <c r="O104" s="103" t="s">
        <v>228</v>
      </c>
      <c r="P104" s="105" t="str">
        <f>IF(AND(B109&lt;&gt;"",D109=""),"Check","Validated")</f>
        <v>Validated</v>
      </c>
      <c r="Q104" s="105" t="s">
        <v>2</v>
      </c>
      <c r="R104" s="104"/>
      <c r="S104"/>
    </row>
    <row r="105" spans="1:19" x14ac:dyDescent="0.3">
      <c r="A105" s="69"/>
      <c r="B105" s="25" t="s">
        <v>84</v>
      </c>
      <c r="C105" s="21"/>
      <c r="D105" s="25" t="s">
        <v>85</v>
      </c>
      <c r="E105" s="21"/>
      <c r="F105" s="25" t="s">
        <v>8</v>
      </c>
      <c r="G105" s="21"/>
      <c r="H105" s="57" t="s">
        <v>95</v>
      </c>
      <c r="I105" s="45"/>
      <c r="L105" s="106" t="s">
        <v>259</v>
      </c>
      <c r="M105" s="106" t="s">
        <v>84</v>
      </c>
      <c r="N105" s="106" t="s">
        <v>85</v>
      </c>
      <c r="O105" s="103" t="s">
        <v>229</v>
      </c>
      <c r="P105" s="105" t="str">
        <f>IF(AND(B109&lt;&gt;"",F109=""),"Check","Validated")</f>
        <v>Validated</v>
      </c>
      <c r="Q105" s="105" t="s">
        <v>2</v>
      </c>
      <c r="R105" s="104"/>
    </row>
    <row r="106" spans="1:19" x14ac:dyDescent="0.3">
      <c r="A106" s="69"/>
      <c r="B106" s="15" t="s">
        <v>791</v>
      </c>
      <c r="C106" s="22"/>
      <c r="D106" s="65" t="s">
        <v>822</v>
      </c>
      <c r="E106" s="22"/>
      <c r="F106" s="65">
        <v>22867</v>
      </c>
      <c r="G106" s="22"/>
      <c r="H106" s="67"/>
      <c r="I106" s="45"/>
      <c r="L106" s="111">
        <f ca="1">IF(M106="","",MAX(L$105:L105)+1)</f>
        <v>1</v>
      </c>
      <c r="M106" s="107" t="str">
        <f t="shared" ref="M106:M111" ca="1" si="2">IF(B106="","",IF(((TODAY()-F106)/365)&gt;=18,B106,""))</f>
        <v>Siyaram Singh</v>
      </c>
      <c r="N106" s="107" t="str">
        <f t="shared" ref="N106:N111" ca="1" si="3">IF(B106="","",IF(((TODAY()-F106)/365)&gt;=18,D106,""))</f>
        <v>FATHER</v>
      </c>
      <c r="O106" s="103" t="s">
        <v>230</v>
      </c>
      <c r="R106" s="104"/>
    </row>
    <row r="107" spans="1:19" x14ac:dyDescent="0.3">
      <c r="A107" s="69"/>
      <c r="B107" s="15" t="s">
        <v>821</v>
      </c>
      <c r="C107" s="22"/>
      <c r="D107" s="65" t="s">
        <v>823</v>
      </c>
      <c r="E107" s="22"/>
      <c r="F107" s="65">
        <v>25107</v>
      </c>
      <c r="G107" s="22"/>
      <c r="H107" s="67"/>
      <c r="I107" s="45"/>
      <c r="L107" s="111">
        <f ca="1">IF(M107="","",MAX(L$105:L106)+1)</f>
        <v>2</v>
      </c>
      <c r="M107" s="107" t="str">
        <f t="shared" ca="1" si="2"/>
        <v>Rajkumari Singh</v>
      </c>
      <c r="N107" s="107" t="str">
        <f t="shared" ca="1" si="3"/>
        <v>MOTHER</v>
      </c>
      <c r="O107" s="103" t="s">
        <v>231</v>
      </c>
      <c r="P107" s="105" t="str">
        <f>IF(AND(B110&lt;&gt;"",D110=""),"Check","Validated")</f>
        <v>Validated</v>
      </c>
      <c r="Q107" s="105" t="s">
        <v>2</v>
      </c>
      <c r="R107" s="104"/>
    </row>
    <row r="108" spans="1:19" x14ac:dyDescent="0.3">
      <c r="A108" s="69"/>
      <c r="B108" s="15"/>
      <c r="C108" s="22"/>
      <c r="D108" s="65"/>
      <c r="E108" s="22"/>
      <c r="F108" s="65"/>
      <c r="G108" s="22"/>
      <c r="H108" s="67"/>
      <c r="I108" s="45"/>
      <c r="L108" s="111" t="str">
        <f ca="1">IF(M108="","",MAX(L$105:L107)+1)</f>
        <v/>
      </c>
      <c r="M108" s="107" t="str">
        <f t="shared" ca="1" si="2"/>
        <v/>
      </c>
      <c r="N108" s="107" t="str">
        <f t="shared" ca="1" si="3"/>
        <v/>
      </c>
      <c r="O108" s="103" t="s">
        <v>232</v>
      </c>
      <c r="P108" s="105" t="str">
        <f>IF(AND(B110&lt;&gt;"",F110=""),"Check","Validated")</f>
        <v>Validated</v>
      </c>
      <c r="Q108" s="105" t="s">
        <v>2</v>
      </c>
      <c r="R108" s="104"/>
    </row>
    <row r="109" spans="1:19" x14ac:dyDescent="0.3">
      <c r="A109" s="69"/>
      <c r="B109" s="15"/>
      <c r="C109" s="22"/>
      <c r="D109" s="65"/>
      <c r="E109" s="22"/>
      <c r="F109" s="65"/>
      <c r="G109" s="22"/>
      <c r="H109" s="67"/>
      <c r="I109" s="45"/>
      <c r="L109" s="111" t="str">
        <f ca="1">IF(M109="","",MAX(L$105:L108)+1)</f>
        <v/>
      </c>
      <c r="M109" s="111" t="str">
        <f t="shared" ca="1" si="2"/>
        <v/>
      </c>
      <c r="N109" s="111" t="str">
        <f t="shared" ca="1" si="3"/>
        <v/>
      </c>
      <c r="O109" s="103" t="s">
        <v>233</v>
      </c>
      <c r="R109" s="104"/>
    </row>
    <row r="110" spans="1:19" x14ac:dyDescent="0.3">
      <c r="A110" s="69"/>
      <c r="B110" s="15"/>
      <c r="C110" s="22"/>
      <c r="D110" s="65"/>
      <c r="E110" s="22"/>
      <c r="F110" s="65"/>
      <c r="G110" s="22"/>
      <c r="H110" s="67"/>
      <c r="I110" s="45"/>
      <c r="L110" s="111" t="str">
        <f ca="1">IF(M110="","",MAX(L$105:L109)+1)</f>
        <v/>
      </c>
      <c r="M110" s="111" t="str">
        <f t="shared" ca="1" si="2"/>
        <v/>
      </c>
      <c r="N110" s="111" t="str">
        <f t="shared" ca="1" si="3"/>
        <v/>
      </c>
      <c r="O110" s="103" t="s">
        <v>234</v>
      </c>
      <c r="P110" s="105" t="str">
        <f>IF(AND(B111&lt;&gt;"",D111=""),"Check","Validated")</f>
        <v>Validated</v>
      </c>
      <c r="Q110" s="105" t="s">
        <v>2</v>
      </c>
      <c r="R110" s="104"/>
    </row>
    <row r="111" spans="1:19" x14ac:dyDescent="0.3">
      <c r="A111" s="69"/>
      <c r="B111" s="15"/>
      <c r="C111" s="23"/>
      <c r="D111" s="65"/>
      <c r="E111" s="23"/>
      <c r="F111" s="65"/>
      <c r="G111" s="23"/>
      <c r="H111" s="67"/>
      <c r="I111" s="45"/>
      <c r="L111" s="111" t="str">
        <f ca="1">IF(M111="","",MAX(L$105:L110)+1)</f>
        <v/>
      </c>
      <c r="M111" s="111" t="str">
        <f t="shared" ca="1" si="2"/>
        <v/>
      </c>
      <c r="N111" s="111" t="str">
        <f t="shared" ca="1" si="3"/>
        <v/>
      </c>
      <c r="O111" s="103" t="s">
        <v>235</v>
      </c>
      <c r="P111" s="105" t="str">
        <f>IF(AND(B111&lt;&gt;"",F111=""),"Check","Validated")</f>
        <v>Validated</v>
      </c>
      <c r="Q111" s="105" t="s">
        <v>2</v>
      </c>
      <c r="R111" s="104"/>
    </row>
    <row r="112" spans="1:19" x14ac:dyDescent="0.3">
      <c r="A112" s="69"/>
      <c r="B112" s="26"/>
      <c r="C112" s="70"/>
      <c r="D112" s="26"/>
      <c r="E112" s="26"/>
      <c r="F112" s="26"/>
      <c r="G112" s="26"/>
      <c r="H112" s="11"/>
      <c r="I112" s="45"/>
      <c r="M112" t="s">
        <v>502</v>
      </c>
      <c r="N112" s="536" t="b">
        <f>N_D=COUNTIF($D$106:$D$111,"Daughter")</f>
        <v>1</v>
      </c>
      <c r="O112" s="103" t="s">
        <v>223</v>
      </c>
      <c r="P112" s="105" t="str">
        <f>IF(TOE_PI&lt;&gt;"Employee","Validated",IF(D117="","Check","Validated"))</f>
        <v>Validated</v>
      </c>
      <c r="Q112" s="105" t="s">
        <v>2</v>
      </c>
      <c r="R112" s="104"/>
    </row>
    <row r="113" spans="1:19" x14ac:dyDescent="0.3">
      <c r="A113" s="69"/>
      <c r="B113" s="40" t="s">
        <v>93</v>
      </c>
      <c r="C113" s="64"/>
      <c r="D113" s="64"/>
      <c r="E113" s="64"/>
      <c r="F113" s="20"/>
      <c r="G113" s="26"/>
      <c r="H113" s="39" t="s">
        <v>173</v>
      </c>
      <c r="I113" s="45"/>
      <c r="M113" t="s">
        <v>503</v>
      </c>
      <c r="N113" s="536" t="b">
        <f>N_S=COUNTIF($D$106:$D$111,"Son")</f>
        <v>1</v>
      </c>
      <c r="O113" s="103" t="s">
        <v>712</v>
      </c>
      <c r="P113" s="105" t="str">
        <f>IF(TOE_PI&lt;&gt;"Employee","Validated",IF(D121="","Check","Validated"))</f>
        <v>Validated</v>
      </c>
      <c r="Q113" s="105" t="s">
        <v>2</v>
      </c>
      <c r="R113" s="104"/>
    </row>
    <row r="114" spans="1:19" s="5" customFormat="1" ht="6" customHeight="1" x14ac:dyDescent="0.3">
      <c r="A114" s="69"/>
      <c r="B114" s="4"/>
      <c r="C114" s="4"/>
      <c r="D114" s="11"/>
      <c r="E114" s="4"/>
      <c r="F114" s="4"/>
      <c r="G114" s="4"/>
      <c r="H114" s="11"/>
      <c r="I114" s="45"/>
      <c r="J114" s="4"/>
      <c r="K114" s="4"/>
      <c r="O114" s="103" t="s">
        <v>214</v>
      </c>
      <c r="P114" s="105" t="str">
        <f>IF(TOE_PI&lt;&gt;"Employee","Validated",IF(B124="","Check","Validated"))</f>
        <v>Validated</v>
      </c>
      <c r="Q114" s="105" t="s">
        <v>2</v>
      </c>
      <c r="R114" s="104"/>
      <c r="S114"/>
    </row>
    <row r="115" spans="1:19" x14ac:dyDescent="0.3">
      <c r="A115" s="41"/>
      <c r="B115" s="12" t="s">
        <v>254</v>
      </c>
      <c r="C115" s="51" t="s">
        <v>1</v>
      </c>
      <c r="D115" s="768"/>
      <c r="E115" s="766"/>
      <c r="F115" s="767"/>
      <c r="G115" s="29"/>
      <c r="H115" s="100" t="s">
        <v>178</v>
      </c>
      <c r="I115" s="45"/>
      <c r="N115" t="b">
        <f>N113=N112</f>
        <v>1</v>
      </c>
      <c r="O115" s="103" t="s">
        <v>225</v>
      </c>
      <c r="P115" s="105" t="str">
        <f>IF(AND(B124&lt;&gt;"",F124=""),"Check","Validated")</f>
        <v>Validated</v>
      </c>
      <c r="Q115" s="105" t="s">
        <v>2</v>
      </c>
      <c r="R115" s="104"/>
    </row>
    <row r="116" spans="1:19" s="5" customFormat="1" ht="6" customHeight="1" x14ac:dyDescent="0.3">
      <c r="A116" s="69"/>
      <c r="B116" s="4"/>
      <c r="C116" s="4"/>
      <c r="D116" s="11"/>
      <c r="E116" s="4"/>
      <c r="F116" s="4"/>
      <c r="G116" s="4"/>
      <c r="H116" s="11"/>
      <c r="I116" s="45"/>
      <c r="J116" s="4"/>
      <c r="K116" s="4"/>
      <c r="O116" s="103" t="s">
        <v>226</v>
      </c>
      <c r="P116" s="105" t="str">
        <f>IF(AND(B124&lt;&gt;"",H124=""),"Check","Validated")</f>
        <v>Validated</v>
      </c>
      <c r="Q116" s="105" t="s">
        <v>2</v>
      </c>
      <c r="R116" s="104"/>
      <c r="S116"/>
    </row>
    <row r="117" spans="1:19" x14ac:dyDescent="0.3">
      <c r="A117" s="41"/>
      <c r="B117" s="12" t="s">
        <v>160</v>
      </c>
      <c r="C117" s="51" t="s">
        <v>1</v>
      </c>
      <c r="D117" s="772" t="s">
        <v>812</v>
      </c>
      <c r="E117" s="773"/>
      <c r="F117" s="773"/>
      <c r="G117" s="29"/>
      <c r="H117" s="100" t="s">
        <v>505</v>
      </c>
      <c r="I117" s="45"/>
      <c r="O117" s="103"/>
      <c r="R117" s="104"/>
    </row>
    <row r="118" spans="1:19" s="5" customFormat="1" ht="6" customHeight="1" x14ac:dyDescent="0.3">
      <c r="A118" s="69"/>
      <c r="B118" s="4"/>
      <c r="C118" s="4"/>
      <c r="D118" s="543"/>
      <c r="E118" s="4"/>
      <c r="F118" s="4"/>
      <c r="G118" s="4"/>
      <c r="H118" s="11"/>
      <c r="I118" s="45"/>
      <c r="J118" s="4"/>
      <c r="K118" s="4"/>
      <c r="O118" s="103" t="s">
        <v>215</v>
      </c>
      <c r="P118" s="105"/>
      <c r="Q118" s="105"/>
      <c r="R118" s="104"/>
      <c r="S118"/>
    </row>
    <row r="119" spans="1:19" x14ac:dyDescent="0.3">
      <c r="A119" s="41"/>
      <c r="B119" s="12" t="s">
        <v>253</v>
      </c>
      <c r="C119" s="51" t="s">
        <v>1</v>
      </c>
      <c r="D119" s="765"/>
      <c r="E119" s="766"/>
      <c r="F119" s="767"/>
      <c r="G119" s="29"/>
      <c r="H119" s="11"/>
      <c r="I119" s="45"/>
      <c r="O119" s="103" t="s">
        <v>236</v>
      </c>
      <c r="P119" s="105" t="str">
        <f>IF(AND(B125&lt;&gt;"",F125=""),"Check","Validated")</f>
        <v>Validated</v>
      </c>
      <c r="Q119" s="105" t="s">
        <v>2</v>
      </c>
      <c r="R119" s="104"/>
    </row>
    <row r="120" spans="1:19" s="5" customFormat="1" ht="6" customHeight="1" x14ac:dyDescent="0.3">
      <c r="A120" s="69"/>
      <c r="B120" s="4"/>
      <c r="C120" s="4"/>
      <c r="D120" s="11"/>
      <c r="E120" s="4"/>
      <c r="F120" s="4"/>
      <c r="G120" s="4"/>
      <c r="H120" s="11"/>
      <c r="I120" s="45"/>
      <c r="J120" s="4"/>
      <c r="K120" s="4"/>
      <c r="O120" s="103" t="s">
        <v>237</v>
      </c>
      <c r="P120" s="105" t="str">
        <f>IF(AND(B125&lt;&gt;"",H125=""),"Check","Validated")</f>
        <v>Validated</v>
      </c>
      <c r="Q120" s="105" t="s">
        <v>2</v>
      </c>
      <c r="R120" s="104"/>
      <c r="S120"/>
    </row>
    <row r="121" spans="1:19" x14ac:dyDescent="0.3">
      <c r="A121" s="41"/>
      <c r="B121" s="12" t="s">
        <v>777</v>
      </c>
      <c r="C121" s="51" t="s">
        <v>1</v>
      </c>
      <c r="D121" s="731" t="s">
        <v>813</v>
      </c>
      <c r="E121" s="51"/>
      <c r="F121" s="12" t="s">
        <v>778</v>
      </c>
      <c r="G121" s="29"/>
      <c r="H121" s="15" t="s">
        <v>804</v>
      </c>
      <c r="I121" s="45"/>
      <c r="O121" s="103"/>
      <c r="R121" s="104"/>
    </row>
    <row r="122" spans="1:19" s="5" customFormat="1" ht="6" customHeight="1" x14ac:dyDescent="0.3">
      <c r="A122" s="69"/>
      <c r="B122" s="4"/>
      <c r="C122" s="4"/>
      <c r="D122" s="11"/>
      <c r="E122" s="4"/>
      <c r="F122" s="4"/>
      <c r="G122" s="4"/>
      <c r="H122" s="11"/>
      <c r="I122" s="45"/>
      <c r="J122" s="4"/>
      <c r="K122" s="4"/>
      <c r="O122" s="103"/>
      <c r="P122" s="105"/>
      <c r="Q122" s="105"/>
      <c r="R122" s="104"/>
      <c r="S122"/>
    </row>
    <row r="123" spans="1:19" x14ac:dyDescent="0.3">
      <c r="A123" s="69"/>
      <c r="B123" s="25" t="s">
        <v>84</v>
      </c>
      <c r="C123" s="21"/>
      <c r="D123" s="25" t="s">
        <v>85</v>
      </c>
      <c r="E123" s="21"/>
      <c r="F123" s="25" t="s">
        <v>86</v>
      </c>
      <c r="G123" s="21"/>
      <c r="H123" s="57" t="s">
        <v>94</v>
      </c>
      <c r="I123" s="45"/>
      <c r="M123" s="106" t="s">
        <v>84</v>
      </c>
      <c r="N123" s="106" t="s">
        <v>85</v>
      </c>
      <c r="O123" s="103" t="s">
        <v>221</v>
      </c>
      <c r="R123" s="104"/>
    </row>
    <row r="124" spans="1:19" x14ac:dyDescent="0.3">
      <c r="A124" s="69"/>
      <c r="B124" s="74"/>
      <c r="C124" s="22"/>
      <c r="D124" s="13" t="str">
        <f t="shared" ref="D124:D129" ca="1" si="4">IFERROR(VLOOKUP(B124,$M$124:$N$129,2,0),"")</f>
        <v/>
      </c>
      <c r="E124" s="22"/>
      <c r="F124" s="720"/>
      <c r="G124" s="22"/>
      <c r="H124" s="67"/>
      <c r="I124" s="45"/>
      <c r="M124" s="107" t="str">
        <f t="shared" ref="M124:M129" ca="1" si="5">IFERROR(INDEX($M$106:$M$111,MATCH(ROW()-ROW($M$123),$L$106:$L$111,0)),"")</f>
        <v>Siyaram Singh</v>
      </c>
      <c r="N124" s="107" t="str">
        <f t="shared" ref="N124:N129" ca="1" si="6">IF(OR(VLOOKUP(M124,$M$106:$N$111,2,0)="Wife",VLOOKUP(M124,$M$106:$N$111,2,0)="Husband"),"Spouse",VLOOKUP(M124,$M$106:$N$111,2,0))</f>
        <v>FATHER</v>
      </c>
      <c r="O124" s="103" t="s">
        <v>238</v>
      </c>
      <c r="P124" s="105" t="str">
        <f>IF(AND(B126&lt;&gt;"",F126=""),"Check","Validated")</f>
        <v>Validated</v>
      </c>
      <c r="Q124" s="105" t="s">
        <v>2</v>
      </c>
      <c r="R124" s="104"/>
    </row>
    <row r="125" spans="1:19" x14ac:dyDescent="0.3">
      <c r="A125" s="69"/>
      <c r="B125" s="74"/>
      <c r="C125" s="22"/>
      <c r="D125" s="13" t="str">
        <f t="shared" ca="1" si="4"/>
        <v/>
      </c>
      <c r="E125" s="22"/>
      <c r="F125" s="720"/>
      <c r="G125" s="22"/>
      <c r="H125" s="67"/>
      <c r="I125" s="45"/>
      <c r="M125" s="107" t="str">
        <f t="shared" ca="1" si="5"/>
        <v>Rajkumari Singh</v>
      </c>
      <c r="N125" s="107" t="str">
        <f t="shared" ca="1" si="6"/>
        <v>MOTHER</v>
      </c>
      <c r="O125" s="103" t="s">
        <v>239</v>
      </c>
      <c r="P125" s="105" t="str">
        <f>IF(AND(B126&lt;&gt;"",H126=""),"Check","Validated")</f>
        <v>Validated</v>
      </c>
      <c r="Q125" s="105" t="s">
        <v>2</v>
      </c>
      <c r="R125" s="104"/>
    </row>
    <row r="126" spans="1:19" x14ac:dyDescent="0.3">
      <c r="A126" s="69"/>
      <c r="B126" s="74"/>
      <c r="C126" s="22"/>
      <c r="D126" s="13" t="str">
        <f t="shared" ca="1" si="4"/>
        <v/>
      </c>
      <c r="E126" s="22"/>
      <c r="F126" s="720"/>
      <c r="G126" s="22"/>
      <c r="H126" s="67"/>
      <c r="I126" s="45"/>
      <c r="M126" s="107" t="str">
        <f t="shared" ca="1" si="5"/>
        <v/>
      </c>
      <c r="N126" s="107" t="str">
        <f t="shared" ca="1" si="6"/>
        <v/>
      </c>
      <c r="O126" s="103" t="s">
        <v>227</v>
      </c>
      <c r="R126" s="104"/>
    </row>
    <row r="127" spans="1:19" x14ac:dyDescent="0.3">
      <c r="A127" s="69"/>
      <c r="B127" s="74"/>
      <c r="C127" s="22"/>
      <c r="D127" s="13" t="str">
        <f t="shared" ca="1" si="4"/>
        <v/>
      </c>
      <c r="E127" s="22"/>
      <c r="F127" s="720"/>
      <c r="G127" s="22"/>
      <c r="H127" s="67"/>
      <c r="I127" s="45"/>
      <c r="M127" s="111" t="str">
        <f t="shared" ca="1" si="5"/>
        <v/>
      </c>
      <c r="N127" s="107" t="str">
        <f t="shared" ca="1" si="6"/>
        <v/>
      </c>
      <c r="O127" s="103" t="s">
        <v>240</v>
      </c>
      <c r="P127" s="105" t="str">
        <f>IF(AND(B127&lt;&gt;"",F127=""),"Check","Validated")</f>
        <v>Validated</v>
      </c>
      <c r="Q127" s="105" t="s">
        <v>2</v>
      </c>
      <c r="R127" s="104"/>
    </row>
    <row r="128" spans="1:19" x14ac:dyDescent="0.3">
      <c r="A128" s="69"/>
      <c r="B128" s="74"/>
      <c r="C128" s="22"/>
      <c r="D128" s="13" t="str">
        <f t="shared" ca="1" si="4"/>
        <v/>
      </c>
      <c r="E128" s="22"/>
      <c r="F128" s="720"/>
      <c r="G128" s="22"/>
      <c r="H128" s="67"/>
      <c r="I128" s="45"/>
      <c r="M128" s="111" t="str">
        <f t="shared" ca="1" si="5"/>
        <v/>
      </c>
      <c r="N128" s="107" t="str">
        <f t="shared" ca="1" si="6"/>
        <v/>
      </c>
      <c r="O128" s="103" t="s">
        <v>241</v>
      </c>
      <c r="P128" s="105" t="str">
        <f>IF(AND(B127&lt;&gt;"",H127=""),"Check","Validated")</f>
        <v>Validated</v>
      </c>
      <c r="Q128" s="105" t="s">
        <v>2</v>
      </c>
      <c r="R128" s="104"/>
    </row>
    <row r="129" spans="1:18" x14ac:dyDescent="0.3">
      <c r="A129" s="69"/>
      <c r="B129" s="74"/>
      <c r="C129" s="23"/>
      <c r="D129" s="13" t="str">
        <f t="shared" ca="1" si="4"/>
        <v/>
      </c>
      <c r="E129" s="23"/>
      <c r="F129" s="720"/>
      <c r="G129" s="23"/>
      <c r="H129" s="67"/>
      <c r="I129" s="45"/>
      <c r="M129" s="111" t="str">
        <f t="shared" ca="1" si="5"/>
        <v/>
      </c>
      <c r="N129" s="107" t="str">
        <f t="shared" ca="1" si="6"/>
        <v/>
      </c>
      <c r="O129" s="32" t="s">
        <v>705</v>
      </c>
      <c r="P129" s="105" t="str">
        <f>IF(OR(SUM($F$124:$F$129)&gt;1,SUM($H$124:$H$129)&gt;1),"Check","Validated")</f>
        <v>Validated</v>
      </c>
      <c r="Q129" s="105" t="s">
        <v>2</v>
      </c>
      <c r="R129" s="104"/>
    </row>
    <row r="130" spans="1:18" x14ac:dyDescent="0.3">
      <c r="A130" s="69"/>
      <c r="B130" s="26"/>
      <c r="C130" s="70"/>
      <c r="D130" s="26"/>
      <c r="E130" s="26"/>
      <c r="F130" s="26"/>
      <c r="G130" s="26"/>
      <c r="H130" s="26"/>
      <c r="I130" s="45"/>
      <c r="O130" s="103" t="s">
        <v>257</v>
      </c>
      <c r="P130" s="105" t="str">
        <f>IF(TOE_PI&lt;&gt;"Employee","Validated",IF(F133="","Check","Validated"))</f>
        <v>Validated</v>
      </c>
      <c r="Q130" s="105" t="s">
        <v>2</v>
      </c>
      <c r="R130" s="104"/>
    </row>
    <row r="131" spans="1:18" x14ac:dyDescent="0.3">
      <c r="A131" s="69"/>
      <c r="B131" s="40" t="s">
        <v>126</v>
      </c>
      <c r="C131" s="68"/>
      <c r="D131" s="68"/>
      <c r="E131" s="68"/>
      <c r="F131" s="68"/>
      <c r="G131" s="68"/>
      <c r="H131" s="55"/>
      <c r="I131" s="45"/>
      <c r="O131" s="32" t="s">
        <v>504</v>
      </c>
      <c r="P131" s="105" t="str">
        <f>IF(TOE_PI&lt;&gt;"Employee","Validated",IF(Children_Check=FALSE,"Check","Validated"))</f>
        <v>Validated</v>
      </c>
      <c r="Q131" s="105" t="s">
        <v>2</v>
      </c>
      <c r="R131" s="104"/>
    </row>
    <row r="132" spans="1:18" s="5" customFormat="1" x14ac:dyDescent="0.3">
      <c r="A132" s="69"/>
      <c r="B132" s="4"/>
      <c r="C132" s="4"/>
      <c r="D132" s="11"/>
      <c r="E132" s="4"/>
      <c r="F132" s="4"/>
      <c r="G132" s="4"/>
      <c r="H132" s="11"/>
      <c r="I132" s="45"/>
      <c r="J132" s="4"/>
      <c r="K132" s="4"/>
      <c r="O132" s="103" t="s">
        <v>719</v>
      </c>
      <c r="P132" s="105" t="str">
        <f>IF(TOE_PI&lt;&gt;"Employee","Validated",IF(F138="","Check","Validated"))</f>
        <v>Validated</v>
      </c>
      <c r="Q132" s="105" t="s">
        <v>2</v>
      </c>
      <c r="R132" s="104"/>
    </row>
    <row r="133" spans="1:18" x14ac:dyDescent="0.3">
      <c r="A133" s="41"/>
      <c r="B133" s="95" t="s">
        <v>256</v>
      </c>
      <c r="C133" s="96"/>
      <c r="D133" s="94"/>
      <c r="E133" s="51" t="s">
        <v>1</v>
      </c>
      <c r="F133" s="92" t="s">
        <v>722</v>
      </c>
      <c r="G133" s="29"/>
      <c r="H133" s="29"/>
      <c r="I133" s="45"/>
      <c r="O133" s="32" t="s">
        <v>713</v>
      </c>
      <c r="P133" s="105" t="str">
        <f>IF(TOE_PI&lt;&gt;"Employee","Validated",IF(N_InLaw="Not Availing","Validated",IF(F140="","Check","Validated")))</f>
        <v>Validated</v>
      </c>
      <c r="Q133" s="105" t="s">
        <v>2</v>
      </c>
    </row>
    <row r="134" spans="1:18" x14ac:dyDescent="0.3">
      <c r="A134" s="69"/>
      <c r="B134" s="26"/>
      <c r="C134" s="70"/>
      <c r="D134" s="26"/>
      <c r="E134" s="26"/>
      <c r="F134" s="26"/>
      <c r="G134" s="26"/>
      <c r="H134" s="26"/>
      <c r="I134" s="45"/>
      <c r="O134" s="32" t="s">
        <v>720</v>
      </c>
      <c r="P134" s="105" t="str">
        <f>IF(TOE_PI&lt;&gt;"Employee","Validated",IF(N_InLaw="Not Availing","Validated",IF(B143="","Check","Validated")))</f>
        <v>Validated</v>
      </c>
      <c r="Q134" s="105" t="s">
        <v>2</v>
      </c>
    </row>
    <row r="135" spans="1:18" x14ac:dyDescent="0.3">
      <c r="A135" s="69"/>
      <c r="B135" s="38" t="s">
        <v>698</v>
      </c>
      <c r="C135" s="109"/>
      <c r="D135" s="109"/>
      <c r="E135" s="109"/>
      <c r="F135" s="109"/>
      <c r="G135" s="109"/>
      <c r="H135" s="56"/>
      <c r="I135" s="45"/>
      <c r="O135" s="32" t="s">
        <v>721</v>
      </c>
      <c r="P135" s="105" t="str">
        <f>IF(TOE_PI&lt;&gt;"Employee","Validated",IF(N_InLaw="Not Availing","Validated",IF(F140="Single","Validated",IF(B144="","Check","Validated"))))</f>
        <v>Validated</v>
      </c>
      <c r="Q135" s="105" t="s">
        <v>2</v>
      </c>
    </row>
    <row r="136" spans="1:18" x14ac:dyDescent="0.3">
      <c r="A136" s="69"/>
      <c r="B136" s="717" t="s">
        <v>699</v>
      </c>
      <c r="C136" s="718"/>
      <c r="D136" s="718"/>
      <c r="E136" s="718"/>
      <c r="F136" s="718"/>
      <c r="G136" s="718"/>
      <c r="H136" s="719"/>
      <c r="I136" s="45"/>
    </row>
    <row r="137" spans="1:18" s="5" customFormat="1" ht="24" customHeight="1" x14ac:dyDescent="0.3">
      <c r="A137" s="69"/>
      <c r="B137" s="4"/>
      <c r="C137" s="4"/>
      <c r="D137" s="11"/>
      <c r="E137" s="4"/>
      <c r="F137" s="4"/>
      <c r="G137" s="4"/>
      <c r="H137" s="11"/>
      <c r="I137" s="45"/>
      <c r="J137" s="4"/>
      <c r="K137" s="4"/>
      <c r="O137" s="103"/>
      <c r="R137" s="104"/>
    </row>
    <row r="138" spans="1:18" x14ac:dyDescent="0.3">
      <c r="A138" s="41"/>
      <c r="B138" s="95" t="s">
        <v>717</v>
      </c>
      <c r="C138" s="96"/>
      <c r="D138" s="94"/>
      <c r="E138" s="51" t="s">
        <v>1</v>
      </c>
      <c r="F138" s="92" t="s">
        <v>722</v>
      </c>
      <c r="G138" s="29"/>
      <c r="H138" s="29"/>
      <c r="I138" s="45"/>
    </row>
    <row r="139" spans="1:18" hidden="1" x14ac:dyDescent="0.3">
      <c r="A139" s="41"/>
      <c r="B139" s="4"/>
      <c r="C139" s="4"/>
      <c r="D139" s="4"/>
      <c r="E139" s="4"/>
      <c r="F139" s="4"/>
      <c r="G139" s="4"/>
      <c r="H139" s="4"/>
      <c r="I139" s="45"/>
    </row>
    <row r="140" spans="1:18" hidden="1" x14ac:dyDescent="0.3">
      <c r="A140" s="41"/>
      <c r="B140" s="95" t="s">
        <v>714</v>
      </c>
      <c r="C140" s="96"/>
      <c r="D140" s="94"/>
      <c r="E140" s="51" t="s">
        <v>1</v>
      </c>
      <c r="F140" s="92" t="s">
        <v>781</v>
      </c>
      <c r="G140" s="29"/>
      <c r="H140" s="29"/>
      <c r="I140" s="45"/>
    </row>
    <row r="141" spans="1:18" hidden="1" x14ac:dyDescent="0.3">
      <c r="A141" s="41"/>
      <c r="B141" s="4"/>
      <c r="C141" s="6"/>
      <c r="D141" s="26"/>
      <c r="E141" s="46"/>
      <c r="F141" s="46"/>
      <c r="G141" s="29"/>
      <c r="H141" s="29"/>
      <c r="I141" s="45"/>
    </row>
    <row r="142" spans="1:18" hidden="1" x14ac:dyDescent="0.3">
      <c r="A142" s="41"/>
      <c r="B142" s="25" t="s">
        <v>715</v>
      </c>
      <c r="C142" s="21"/>
      <c r="D142" s="25" t="s">
        <v>85</v>
      </c>
      <c r="E142" s="21"/>
      <c r="F142" s="25" t="s">
        <v>8</v>
      </c>
      <c r="G142" s="21"/>
      <c r="H142" s="57" t="s">
        <v>95</v>
      </c>
      <c r="I142" s="45"/>
    </row>
    <row r="143" spans="1:18" hidden="1" x14ac:dyDescent="0.3">
      <c r="A143" s="41"/>
      <c r="B143" s="15"/>
      <c r="C143" s="22"/>
      <c r="D143" s="65"/>
      <c r="E143" s="22"/>
      <c r="F143" s="65"/>
      <c r="G143" s="22"/>
      <c r="H143" s="721" t="str">
        <f>IF(N_InLaw="Not Availing",N_InLaw,"Yes")</f>
        <v>Not Availing</v>
      </c>
      <c r="I143" s="45"/>
    </row>
    <row r="144" spans="1:18" hidden="1" x14ac:dyDescent="0.3">
      <c r="A144" s="41"/>
      <c r="B144" s="15"/>
      <c r="C144" s="22"/>
      <c r="D144" s="65"/>
      <c r="E144" s="22"/>
      <c r="F144" s="65"/>
      <c r="G144" s="22"/>
      <c r="H144" s="721" t="str">
        <f>IF(N_InLaw="Not Availing",N_InLaw,"Yes")</f>
        <v>Not Availing</v>
      </c>
      <c r="I144" s="45"/>
    </row>
    <row r="145" spans="1:17" x14ac:dyDescent="0.3">
      <c r="A145" s="69"/>
      <c r="B145" s="46"/>
      <c r="C145" s="46"/>
      <c r="D145" s="46"/>
      <c r="E145" s="46"/>
      <c r="F145" s="46"/>
      <c r="G145" s="46"/>
      <c r="H145" s="46"/>
      <c r="I145" s="45"/>
    </row>
    <row r="146" spans="1:17" x14ac:dyDescent="0.3">
      <c r="A146" s="69"/>
      <c r="B146" s="40" t="s">
        <v>716</v>
      </c>
      <c r="C146" s="68"/>
      <c r="D146" s="68"/>
      <c r="E146" s="68"/>
      <c r="F146" s="68"/>
      <c r="G146" s="68"/>
      <c r="H146" s="55"/>
      <c r="I146" s="45"/>
    </row>
    <row r="147" spans="1:17" ht="15" thickBot="1" x14ac:dyDescent="0.35">
      <c r="A147" s="534"/>
      <c r="B147" s="71"/>
      <c r="C147" s="72"/>
      <c r="D147" s="71"/>
      <c r="E147" s="71"/>
      <c r="F147" s="71"/>
      <c r="G147" s="71"/>
      <c r="H147" s="535"/>
      <c r="I147" s="73"/>
    </row>
    <row r="148" spans="1:17" x14ac:dyDescent="0.3"/>
    <row r="149" spans="1:17" hidden="1" x14ac:dyDescent="0.3">
      <c r="O149" s="103"/>
    </row>
    <row r="150" spans="1:17" hidden="1" x14ac:dyDescent="0.3">
      <c r="O150" s="103" t="b">
        <f ca="1">IF(P150&gt;=Q150,TRUE,FALSE)</f>
        <v>1</v>
      </c>
      <c r="P150" s="105">
        <f ca="1">COUNTIFS($P$8:$P$132,"Validated")</f>
        <v>90</v>
      </c>
      <c r="Q150" s="105">
        <f>COUNTIFS($Q$8:$Q$132,"x")</f>
        <v>90</v>
      </c>
    </row>
  </sheetData>
  <sheetProtection algorithmName="SHA-512" hashValue="1UEsMcAJPwSKeoiycmP+tQAlc6nIjIfzVT3uE92hVgVipl7RQHqNm3oCUT+eF63idbDjdBAZEVUcK5CPjdJojA==" saltValue="1jO2kFuByz1i4qeYrrXZmw==" spinCount="100000" sheet="1" objects="1" scenarios="1" selectLockedCells="1"/>
  <mergeCells count="38">
    <mergeCell ref="D119:F119"/>
    <mergeCell ref="D115:F115"/>
    <mergeCell ref="D16:F16"/>
    <mergeCell ref="D17:F17"/>
    <mergeCell ref="D18:F18"/>
    <mergeCell ref="D19:F19"/>
    <mergeCell ref="D117:F117"/>
    <mergeCell ref="D21:F21"/>
    <mergeCell ref="D22:F22"/>
    <mergeCell ref="D37:F37"/>
    <mergeCell ref="D25:F25"/>
    <mergeCell ref="D26:F26"/>
    <mergeCell ref="D27:F27"/>
    <mergeCell ref="D28:F28"/>
    <mergeCell ref="D29:F29"/>
    <mergeCell ref="D61:F61"/>
    <mergeCell ref="D64:F64"/>
    <mergeCell ref="A2:I6"/>
    <mergeCell ref="D10:F10"/>
    <mergeCell ref="D11:F11"/>
    <mergeCell ref="D12:F12"/>
    <mergeCell ref="F14:H14"/>
    <mergeCell ref="D62:F62"/>
    <mergeCell ref="D63:F63"/>
    <mergeCell ref="D33:F33"/>
    <mergeCell ref="D20:F20"/>
    <mergeCell ref="D55:F55"/>
    <mergeCell ref="D56:F56"/>
    <mergeCell ref="D57:F57"/>
    <mergeCell ref="D30:F30"/>
    <mergeCell ref="H40:H42"/>
    <mergeCell ref="L2:R5"/>
    <mergeCell ref="D54:F54"/>
    <mergeCell ref="D58:F58"/>
    <mergeCell ref="D38:F38"/>
    <mergeCell ref="D31:F31"/>
    <mergeCell ref="D34:F34"/>
    <mergeCell ref="D32:F32"/>
  </mergeCells>
  <conditionalFormatting sqref="H123:H129 H105:H111 H142:H144">
    <cfRule type="expression" dxfId="24" priority="4">
      <formula>$D$20="Expat"</formula>
    </cfRule>
  </conditionalFormatting>
  <conditionalFormatting sqref="H106:H107">
    <cfRule type="expression" dxfId="23" priority="1">
      <formula>$D$20="Expat"</formula>
    </cfRule>
  </conditionalFormatting>
  <dataValidations count="27">
    <dataValidation type="list" allowBlank="1" showInputMessage="1" showErrorMessage="1" sqref="F133">
      <formula1>"Not Availing,Rs. 1 Lakh, Rs. 2 Lakhs, Rs. 3 Lakhs, Rs. 5 Lakhs, Rs. 10 Lakhs, Rs. 15 Lakhs"</formula1>
    </dataValidation>
    <dataValidation type="list" allowBlank="1" showInputMessage="1" showErrorMessage="1" sqref="B124:B129">
      <formula1>$M$124:$M$129</formula1>
    </dataValidation>
    <dataValidation allowBlank="1" showInputMessage="1" showErrorMessage="1" error="Wrong date format" sqref="D124:D129"/>
    <dataValidation type="custom" allowBlank="1" showInputMessage="1" showErrorMessage="1" error="Enter only Number" sqref="F124:F129 H124:H129">
      <formula1>ISNUMBER(F124)</formula1>
    </dataValidation>
    <dataValidation type="date" allowBlank="1" showInputMessage="1" showErrorMessage="1" error="Wrong date format" promptTitle="Date Format" prompt="Date format should be DD/MMM/YY (eg. 22/Mar/81 result in 22-Mar-81)" sqref="D96:D101 F143:F144 D18:F18 F96:F101 F106:F111 D56:D57 E56:F56">
      <formula1>1</formula1>
      <formula2>73082</formula2>
    </dataValidation>
    <dataValidation type="list" allowBlank="1" showInputMessage="1" showErrorMessage="1" error="Wrong date format" sqref="D106:D111">
      <formula1>Relationship</formula1>
    </dataValidation>
    <dataValidation type="list" allowBlank="1" showInputMessage="1" showErrorMessage="1" sqref="B86:B91">
      <formula1>Qualification</formula1>
    </dataValidation>
    <dataValidation type="list" allowBlank="1" showInputMessage="1" showErrorMessage="1" sqref="D33:F33">
      <formula1>"Yes,No"</formula1>
    </dataValidation>
    <dataValidation type="list" allowBlank="1" showInputMessage="1" showErrorMessage="1" sqref="D37:D38">
      <formula1>"0,1,2,3"</formula1>
    </dataValidation>
    <dataValidation type="list" allowBlank="1" showInputMessage="1" showErrorMessage="1" sqref="D26:F26">
      <formula1>Martial_Status</formula1>
    </dataValidation>
    <dataValidation type="list" allowBlank="1" showInputMessage="1" showErrorMessage="1" sqref="D27:F27">
      <formula1>Blood_Group</formula1>
    </dataValidation>
    <dataValidation type="list" allowBlank="1" showInputMessage="1" showErrorMessage="1" sqref="F8">
      <formula1>"Passport,Pan Card, 10th Mark List, Aadhar Card"</formula1>
    </dataValidation>
    <dataValidation type="list" allowBlank="1" showInputMessage="1" showErrorMessage="1" sqref="D25:F25">
      <formula1>Gender</formula1>
    </dataValidation>
    <dataValidation type="list" allowBlank="1" showInputMessage="1" showErrorMessage="1" sqref="D29:F29">
      <formula1>"Kannadiga,Non-Kannadiga"</formula1>
    </dataValidation>
    <dataValidation type="list" allowBlank="1" showInputMessage="1" showErrorMessage="1" sqref="D23">
      <formula1>"Bangalore,Chennai"</formula1>
    </dataValidation>
    <dataValidation type="list" allowBlank="1" showInputMessage="1" showErrorMessage="1" sqref="F23">
      <formula1>INDIRECT($D$23)</formula1>
    </dataValidation>
    <dataValidation type="list" allowBlank="1" showInputMessage="1" showErrorMessage="1" sqref="D20:F20">
      <formula1>TOE</formula1>
    </dataValidation>
    <dataValidation type="list" allowBlank="1" showInputMessage="1" showErrorMessage="1" sqref="D30:F30">
      <formula1>Domcile</formula1>
    </dataValidation>
    <dataValidation type="custom" allowBlank="1" showInputMessage="1" showErrorMessage="1" error="Please enter 10 digit Mobile Number" sqref="D50 H77 D77 H50">
      <formula1>AND(ISNUMBER(D50),LEN(D50)=10)</formula1>
    </dataValidation>
    <dataValidation type="custom" operator="greaterThan" allowBlank="1" showInputMessage="1" showErrorMessage="1" error="Enter 12 Digit UAN Number_x000a_" sqref="D117:F117">
      <formula1>LEN(D117)=12</formula1>
    </dataValidation>
    <dataValidation type="custom" allowBlank="1" showInputMessage="1" showErrorMessage="1" error="Age should be &gt; 20 or_x000a_Wrong Date format" promptTitle="Date Format" prompt="Date format should be DD/MMM/YY (eg. 22/Mar/81 result in 22-Mar-81)" sqref="D19:F19">
      <formula1>AND(D19&lt;&gt;"",DATEDIF(D19,TODAY(),"y")&gt;18)</formula1>
    </dataValidation>
    <dataValidation type="custom" allowBlank="1" showInputMessage="1" showErrorMessage="1" error="Enter Only Pincode [6 - Digit]" sqref="D48 H48 D75 H75">
      <formula1>AND(LEN(D48)=6,ISNUMBER(D48))</formula1>
    </dataValidation>
    <dataValidation type="custom" allowBlank="1" showInputMessage="1" showErrorMessage="1" error="Enter Correct PAN Number [10 Digit]" sqref="D64:F64">
      <formula1>LEN(D64)=10</formula1>
    </dataValidation>
    <dataValidation type="list" allowBlank="1" showInputMessage="1" showErrorMessage="1" sqref="D34:F34">
      <formula1>"LOCOMOTIVE,VISUAL,HEARING"</formula1>
    </dataValidation>
    <dataValidation type="list" allowBlank="1" showInputMessage="1" showErrorMessage="1" sqref="F138">
      <formula1>"Not Availing,Rs. 2 Lakhs, Rs. 3 Lakhs, Rs. 5 Lakhs"</formula1>
    </dataValidation>
    <dataValidation type="list" allowBlank="1" showInputMessage="1" showErrorMessage="1" sqref="F140">
      <formula1>"Single,Both"</formula1>
    </dataValidation>
    <dataValidation type="list" allowBlank="1" showInputMessage="1" showErrorMessage="1" error="Wrong date format" sqref="D143:D144">
      <formula1>"Father-in-Law,Mother-in-Law"</formula1>
    </dataValidation>
  </dataValidations>
  <pageMargins left="0.7" right="0.7" top="0.75" bottom="0.75" header="0.3" footer="0.3"/>
  <pageSetup scale="61" fitToHeight="2" orientation="portrait" r:id="rId1"/>
  <headerFooter>
    <oddHeader xml:space="preserve">&amp;L -   </oddHeader>
    <oddFooter>&amp;CPage &amp;P - &amp;N</oddFooter>
  </headerFooter>
  <rowBreaks count="1" manualBreakCount="1">
    <brk id="79" max="9" man="1"/>
  </rowBreaks>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R43"/>
  <sheetViews>
    <sheetView showGridLines="0" showRowColHeaders="0" topLeftCell="A25" zoomScaleNormal="100" zoomScaleSheetLayoutView="70" workbookViewId="0">
      <selection activeCell="D27" sqref="D27"/>
    </sheetView>
  </sheetViews>
  <sheetFormatPr defaultColWidth="0" defaultRowHeight="14.4" zeroHeight="1" x14ac:dyDescent="0.3"/>
  <cols>
    <col min="1" max="1" width="1.44140625" style="29" customWidth="1"/>
    <col min="2" max="2" width="46.33203125" style="29" customWidth="1"/>
    <col min="3" max="3" width="1.109375" style="29" customWidth="1"/>
    <col min="4" max="4" width="34" style="29" bestFit="1" customWidth="1"/>
    <col min="5" max="5" width="1.109375" style="29" customWidth="1"/>
    <col min="6" max="6" width="23.6640625" style="29" customWidth="1"/>
    <col min="7" max="7" width="1.5546875" style="29" customWidth="1"/>
    <col min="8" max="8" width="1.44140625" style="29" customWidth="1"/>
    <col min="9" max="9" width="1.44140625" style="29" hidden="1" customWidth="1"/>
    <col min="10" max="10" width="9.109375" style="29" hidden="1" customWidth="1"/>
    <col min="11" max="11" width="13.44140625" style="29" hidden="1" customWidth="1"/>
    <col min="12" max="12" width="20.33203125" style="29" hidden="1" customWidth="1"/>
    <col min="13" max="13" width="26.5546875" style="29" hidden="1" customWidth="1"/>
    <col min="14" max="14" width="49" style="29" hidden="1" customWidth="1"/>
    <col min="15" max="15" width="12.33203125" style="29" hidden="1" customWidth="1"/>
    <col min="16" max="16" width="12.6640625" style="29" hidden="1" customWidth="1"/>
    <col min="17" max="17" width="12.88671875" style="29" hidden="1" customWidth="1"/>
    <col min="18" max="16384" width="9.109375" style="29" hidden="1"/>
  </cols>
  <sheetData>
    <row r="1" spans="1:18" x14ac:dyDescent="0.3">
      <c r="A1" s="537"/>
      <c r="B1" s="117"/>
      <c r="C1" s="117"/>
      <c r="D1" s="117"/>
      <c r="E1" s="117"/>
      <c r="F1" s="117"/>
      <c r="G1" s="60"/>
      <c r="K1" s="740" t="s">
        <v>224</v>
      </c>
      <c r="L1" s="740"/>
      <c r="M1" s="740"/>
      <c r="N1" s="740"/>
      <c r="O1" s="740"/>
      <c r="P1" s="740"/>
      <c r="Q1" s="740"/>
    </row>
    <row r="2" spans="1:18" ht="15" customHeight="1" x14ac:dyDescent="0.3">
      <c r="A2" s="775" t="s">
        <v>263</v>
      </c>
      <c r="B2" s="776"/>
      <c r="C2" s="776"/>
      <c r="D2" s="776"/>
      <c r="E2" s="776"/>
      <c r="F2" s="776"/>
      <c r="G2" s="777"/>
      <c r="K2" s="740"/>
      <c r="L2" s="740"/>
      <c r="M2" s="740"/>
      <c r="N2" s="740"/>
      <c r="O2" s="740"/>
      <c r="P2" s="740"/>
      <c r="Q2" s="740"/>
    </row>
    <row r="3" spans="1:18" ht="15" customHeight="1" x14ac:dyDescent="0.3">
      <c r="A3" s="775"/>
      <c r="B3" s="776"/>
      <c r="C3" s="776"/>
      <c r="D3" s="776"/>
      <c r="E3" s="776"/>
      <c r="F3" s="776"/>
      <c r="G3" s="777"/>
      <c r="K3" s="740"/>
      <c r="L3" s="740"/>
      <c r="M3" s="740"/>
      <c r="N3" s="740"/>
      <c r="O3" s="740"/>
      <c r="P3" s="740"/>
      <c r="Q3" s="740"/>
    </row>
    <row r="4" spans="1:18" ht="15" customHeight="1" x14ac:dyDescent="0.3">
      <c r="A4" s="775"/>
      <c r="B4" s="776"/>
      <c r="C4" s="776"/>
      <c r="D4" s="776"/>
      <c r="E4" s="776"/>
      <c r="F4" s="776"/>
      <c r="G4" s="777"/>
      <c r="K4" s="740"/>
      <c r="L4" s="740"/>
      <c r="M4" s="740"/>
      <c r="N4" s="740"/>
      <c r="O4" s="740"/>
      <c r="P4" s="740"/>
      <c r="Q4" s="740"/>
    </row>
    <row r="5" spans="1:18" ht="15" customHeight="1" x14ac:dyDescent="0.3">
      <c r="A5" s="775"/>
      <c r="B5" s="776"/>
      <c r="C5" s="776"/>
      <c r="D5" s="776"/>
      <c r="E5" s="776"/>
      <c r="F5" s="776"/>
      <c r="G5" s="777"/>
      <c r="K5"/>
      <c r="L5"/>
      <c r="M5"/>
      <c r="N5" s="32"/>
      <c r="O5" s="105"/>
      <c r="P5" s="105"/>
      <c r="Q5" s="32"/>
    </row>
    <row r="6" spans="1:18" ht="15.75" customHeight="1" thickBot="1" x14ac:dyDescent="0.35">
      <c r="A6" s="778"/>
      <c r="B6" s="779"/>
      <c r="C6" s="779"/>
      <c r="D6" s="779"/>
      <c r="E6" s="779"/>
      <c r="F6" s="779"/>
      <c r="G6" s="780"/>
      <c r="K6"/>
      <c r="L6"/>
      <c r="M6"/>
      <c r="N6" s="102" t="s">
        <v>174</v>
      </c>
      <c r="O6" s="101" t="s">
        <v>175</v>
      </c>
      <c r="P6" s="101" t="s">
        <v>176</v>
      </c>
      <c r="Q6" s="101"/>
    </row>
    <row r="7" spans="1:18" s="118" customFormat="1" ht="6" customHeight="1" x14ac:dyDescent="0.3">
      <c r="A7" s="41"/>
      <c r="B7" s="6"/>
      <c r="C7" s="46"/>
      <c r="D7" s="6"/>
      <c r="E7" s="6"/>
      <c r="F7" s="6"/>
      <c r="G7" s="114"/>
      <c r="H7" s="29"/>
      <c r="I7" s="6"/>
      <c r="J7" s="6"/>
      <c r="K7"/>
      <c r="L7"/>
      <c r="M7"/>
      <c r="N7" s="103"/>
      <c r="O7" s="104"/>
      <c r="P7" s="104"/>
      <c r="Q7" s="104"/>
      <c r="R7" s="29"/>
    </row>
    <row r="8" spans="1:18" x14ac:dyDescent="0.3">
      <c r="A8" s="119"/>
      <c r="B8" s="120" t="s">
        <v>264</v>
      </c>
      <c r="C8" s="46"/>
      <c r="D8" s="115"/>
      <c r="E8" s="115"/>
      <c r="F8" s="115"/>
      <c r="G8" s="121"/>
      <c r="L8" s="5"/>
      <c r="M8" s="5"/>
      <c r="N8" s="103" t="str">
        <f>B15</f>
        <v>Transportation opted (Mode of Transportation)</v>
      </c>
      <c r="O8" s="104" t="str">
        <f>IF(T_OPT="","Check","Validated")</f>
        <v>Validated</v>
      </c>
      <c r="P8" s="104" t="s">
        <v>2</v>
      </c>
      <c r="Q8" s="104"/>
    </row>
    <row r="9" spans="1:18" s="118" customFormat="1" ht="6" customHeight="1" x14ac:dyDescent="0.3">
      <c r="A9" s="41"/>
      <c r="B9" s="6"/>
      <c r="C9" s="46"/>
      <c r="D9" s="6"/>
      <c r="E9" s="6"/>
      <c r="F9" s="6"/>
      <c r="G9" s="114"/>
      <c r="H9" s="29"/>
      <c r="I9" s="6"/>
      <c r="J9" s="6"/>
      <c r="K9"/>
      <c r="L9"/>
      <c r="M9"/>
      <c r="N9" s="103"/>
      <c r="O9" s="104"/>
      <c r="P9" s="104"/>
      <c r="Q9" s="104"/>
      <c r="R9" s="29"/>
    </row>
    <row r="10" spans="1:18" x14ac:dyDescent="0.3">
      <c r="A10" s="41"/>
      <c r="B10" s="122" t="s">
        <v>261</v>
      </c>
      <c r="C10" s="51" t="s">
        <v>1</v>
      </c>
      <c r="D10" s="116" t="str">
        <f>IF(E_Name="","",E_Name)</f>
        <v>Gaurav  Singh</v>
      </c>
      <c r="E10" s="115"/>
      <c r="F10" s="123" t="s">
        <v>4</v>
      </c>
      <c r="G10" s="45"/>
      <c r="K10" s="5" t="s">
        <v>509</v>
      </c>
      <c r="L10"/>
      <c r="M10"/>
      <c r="N10" s="103" t="str">
        <f>B21</f>
        <v>Two Wheeler/Four Wheeler</v>
      </c>
      <c r="O10" s="104" t="str">
        <f>IF(AND(T_OPT="Own Transport",D21=""),"Check","Validated")</f>
        <v>Validated</v>
      </c>
      <c r="P10" s="104" t="s">
        <v>2</v>
      </c>
      <c r="Q10" s="104"/>
    </row>
    <row r="11" spans="1:18" x14ac:dyDescent="0.3">
      <c r="A11" s="41"/>
      <c r="B11" s="122" t="s">
        <v>21</v>
      </c>
      <c r="C11" s="51" t="s">
        <v>1</v>
      </c>
      <c r="D11" s="116" t="str">
        <f>IF(Empl_No="","",Empl_No)</f>
        <v/>
      </c>
      <c r="E11" s="115"/>
      <c r="F11" s="13" t="s">
        <v>5</v>
      </c>
      <c r="G11" s="45"/>
      <c r="K11" t="s">
        <v>510</v>
      </c>
      <c r="L11"/>
      <c r="M11"/>
      <c r="N11" s="103" t="str">
        <f>B22</f>
        <v>Parking</v>
      </c>
      <c r="O11" s="104" t="str">
        <f>IF(AND(T_OPT="Own Transport",D22=""),"Check","Validated")</f>
        <v>Validated</v>
      </c>
      <c r="P11" s="104" t="s">
        <v>2</v>
      </c>
      <c r="Q11" s="104"/>
    </row>
    <row r="12" spans="1:18" x14ac:dyDescent="0.3">
      <c r="A12" s="41"/>
      <c r="B12" s="122" t="s">
        <v>121</v>
      </c>
      <c r="C12" s="51" t="s">
        <v>1</v>
      </c>
      <c r="D12" s="116" t="str">
        <f>IF(TOE_PI="","",TOE_PI)</f>
        <v/>
      </c>
      <c r="E12" s="115"/>
      <c r="F12" s="52" t="s">
        <v>6</v>
      </c>
      <c r="G12" s="45"/>
      <c r="K12" s="5" t="s">
        <v>511</v>
      </c>
      <c r="L12" s="5"/>
      <c r="M12" s="5"/>
      <c r="N12" s="103" t="str">
        <f>$B$24&amp;" "&amp;B26</f>
        <v>Vehicle Details:  Registration Number</v>
      </c>
      <c r="O12" s="104" t="str">
        <f>IF(AND(T_OPT="Own Transport",D26=""),"Check","Validated")</f>
        <v>Validated</v>
      </c>
      <c r="P12" s="104" t="s">
        <v>2</v>
      </c>
      <c r="Q12" s="104"/>
    </row>
    <row r="13" spans="1:18" x14ac:dyDescent="0.3">
      <c r="A13" s="41"/>
      <c r="B13" s="122" t="s">
        <v>100</v>
      </c>
      <c r="C13" s="51" t="s">
        <v>1</v>
      </c>
      <c r="D13" s="116" t="str">
        <f>IF('Personal Information'!$F$23=0,"",'Personal Information'!$F$23)</f>
        <v/>
      </c>
      <c r="E13" s="115"/>
      <c r="F13" s="14" t="s">
        <v>7</v>
      </c>
      <c r="G13" s="45"/>
      <c r="K13" t="s">
        <v>510</v>
      </c>
      <c r="L13"/>
      <c r="M13"/>
      <c r="N13" s="103" t="str">
        <f>$B$24&amp;" "&amp;B27</f>
        <v>Vehicle Details:  Make &amp; Colour</v>
      </c>
      <c r="O13" s="104" t="str">
        <f>IF(AND(T_OPT="Own Transport",D27=""),"Check","Validated")</f>
        <v>Validated</v>
      </c>
      <c r="P13" s="104" t="s">
        <v>2</v>
      </c>
      <c r="Q13" s="104"/>
    </row>
    <row r="14" spans="1:18" x14ac:dyDescent="0.3">
      <c r="A14" s="41"/>
      <c r="B14" s="122" t="s">
        <v>262</v>
      </c>
      <c r="C14" s="51" t="s">
        <v>1</v>
      </c>
      <c r="D14" s="116"/>
      <c r="E14" s="115"/>
      <c r="F14" s="115"/>
      <c r="G14" s="45"/>
      <c r="K14" s="5" t="s">
        <v>506</v>
      </c>
    </row>
    <row r="15" spans="1:18" x14ac:dyDescent="0.3">
      <c r="A15" s="41"/>
      <c r="B15" s="122" t="s">
        <v>271</v>
      </c>
      <c r="C15" s="51" t="s">
        <v>1</v>
      </c>
      <c r="D15" s="730" t="s">
        <v>825</v>
      </c>
      <c r="E15" s="115"/>
      <c r="F15" s="115"/>
      <c r="G15" s="45"/>
      <c r="N15" s="103" t="b">
        <f>O15=P15</f>
        <v>1</v>
      </c>
      <c r="O15" s="105">
        <f>COUNTIF(O8:O14,"Validated")</f>
        <v>5</v>
      </c>
      <c r="P15" s="105">
        <f>COUNTIF($P$8:$P$14,"x")</f>
        <v>5</v>
      </c>
    </row>
    <row r="16" spans="1:18" ht="15" customHeight="1" x14ac:dyDescent="0.3">
      <c r="A16" s="119"/>
      <c r="B16" s="122" t="s">
        <v>25</v>
      </c>
      <c r="C16" s="51" t="s">
        <v>1</v>
      </c>
      <c r="D16" s="116" t="str">
        <f>IF('Personal Information'!D27:F27=0,"",'Personal Information'!D27:F27)</f>
        <v>O+</v>
      </c>
      <c r="E16" s="115"/>
      <c r="F16" s="115"/>
      <c r="G16" s="121"/>
    </row>
    <row r="17" spans="1:18" x14ac:dyDescent="0.3">
      <c r="A17" s="119"/>
      <c r="B17" s="120" t="s">
        <v>265</v>
      </c>
      <c r="C17" s="115"/>
      <c r="D17" s="115"/>
      <c r="E17" s="115"/>
      <c r="F17" s="115"/>
      <c r="G17" s="121"/>
    </row>
    <row r="18" spans="1:18" s="118" customFormat="1" ht="6" customHeight="1" x14ac:dyDescent="0.3">
      <c r="A18" s="41"/>
      <c r="B18" s="6"/>
      <c r="C18" s="46"/>
      <c r="D18" s="6"/>
      <c r="E18" s="6"/>
      <c r="F18" s="6"/>
      <c r="G18" s="114"/>
      <c r="H18" s="29"/>
      <c r="I18" s="6"/>
      <c r="J18" s="6"/>
      <c r="N18" s="103"/>
      <c r="O18" s="104"/>
      <c r="P18" s="104"/>
      <c r="Q18" s="104"/>
      <c r="R18" s="29"/>
    </row>
    <row r="19" spans="1:18" x14ac:dyDescent="0.3">
      <c r="A19" s="119"/>
      <c r="B19" s="126" t="str">
        <f>CONCATENATE("I, ",D10," would like to avail parking facility at ITPL/ Prtiech for my")</f>
        <v>I, Gaurav  Singh would like to avail parking facility at ITPL/ Prtiech for my</v>
      </c>
      <c r="C19" s="115"/>
      <c r="D19" s="115"/>
      <c r="E19" s="115"/>
      <c r="F19" s="115"/>
      <c r="G19" s="121"/>
    </row>
    <row r="20" spans="1:18" s="118" customFormat="1" ht="6" customHeight="1" x14ac:dyDescent="0.3">
      <c r="A20" s="41"/>
      <c r="B20" s="6"/>
      <c r="C20" s="46"/>
      <c r="D20" s="6"/>
      <c r="E20" s="6"/>
      <c r="F20" s="6"/>
      <c r="G20" s="114"/>
      <c r="H20" s="29"/>
      <c r="I20" s="6"/>
      <c r="J20" s="6"/>
      <c r="N20" s="103"/>
      <c r="O20" s="104"/>
      <c r="P20" s="104"/>
      <c r="Q20" s="104"/>
      <c r="R20" s="29"/>
    </row>
    <row r="21" spans="1:18" x14ac:dyDescent="0.3">
      <c r="A21" s="119"/>
      <c r="B21" s="544" t="s">
        <v>507</v>
      </c>
      <c r="C21" s="51" t="s">
        <v>1</v>
      </c>
      <c r="D21" s="124" t="s">
        <v>826</v>
      </c>
      <c r="E21" s="115"/>
      <c r="F21" s="115"/>
      <c r="G21" s="121"/>
      <c r="K21" s="29" t="str">
        <f>IF(D21="Four Wheeler",K10,K12)</f>
        <v>Four_Wheeler</v>
      </c>
    </row>
    <row r="22" spans="1:18" x14ac:dyDescent="0.3">
      <c r="A22" s="119"/>
      <c r="B22" s="544" t="s">
        <v>508</v>
      </c>
      <c r="C22" s="51" t="s">
        <v>1</v>
      </c>
      <c r="D22" s="124" t="s">
        <v>510</v>
      </c>
      <c r="E22" s="115"/>
      <c r="F22" s="115"/>
      <c r="G22" s="121"/>
    </row>
    <row r="23" spans="1:18" x14ac:dyDescent="0.3">
      <c r="A23" s="119"/>
      <c r="B23" s="115"/>
      <c r="C23" s="115"/>
      <c r="D23" s="115"/>
      <c r="E23" s="115"/>
      <c r="F23" s="115"/>
      <c r="G23" s="121"/>
    </row>
    <row r="24" spans="1:18" x14ac:dyDescent="0.3">
      <c r="A24" s="119"/>
      <c r="B24" s="120" t="s">
        <v>266</v>
      </c>
      <c r="C24" s="115"/>
      <c r="D24" s="115"/>
      <c r="E24" s="115"/>
      <c r="F24" s="115"/>
      <c r="G24" s="121"/>
    </row>
    <row r="25" spans="1:18" s="118" customFormat="1" ht="6" customHeight="1" x14ac:dyDescent="0.3">
      <c r="A25" s="41"/>
      <c r="B25" s="6"/>
      <c r="C25" s="46"/>
      <c r="D25" s="6"/>
      <c r="E25" s="6"/>
      <c r="F25" s="115"/>
      <c r="G25" s="114"/>
      <c r="H25" s="29"/>
      <c r="I25" s="6"/>
      <c r="J25" s="6"/>
      <c r="N25" s="103"/>
      <c r="O25" s="104"/>
      <c r="P25" s="104"/>
      <c r="Q25" s="104"/>
      <c r="R25" s="29"/>
    </row>
    <row r="26" spans="1:18" x14ac:dyDescent="0.3">
      <c r="A26" s="119"/>
      <c r="B26" s="125" t="s">
        <v>267</v>
      </c>
      <c r="C26" s="51" t="s">
        <v>1</v>
      </c>
      <c r="D26" s="384" t="s">
        <v>827</v>
      </c>
      <c r="E26" s="6"/>
      <c r="F26" s="115"/>
      <c r="G26" s="121"/>
    </row>
    <row r="27" spans="1:18" x14ac:dyDescent="0.3">
      <c r="A27" s="119"/>
      <c r="B27" s="125" t="s">
        <v>268</v>
      </c>
      <c r="C27" s="51" t="s">
        <v>1</v>
      </c>
      <c r="D27" s="384" t="s">
        <v>828</v>
      </c>
      <c r="E27" s="6"/>
      <c r="F27" s="115"/>
      <c r="G27" s="121"/>
    </row>
    <row r="28" spans="1:18" x14ac:dyDescent="0.3">
      <c r="A28" s="119"/>
      <c r="B28" s="115"/>
      <c r="C28" s="115"/>
      <c r="D28" s="115"/>
      <c r="E28" s="115"/>
      <c r="F28" s="115"/>
      <c r="G28" s="121"/>
    </row>
    <row r="29" spans="1:18" x14ac:dyDescent="0.3">
      <c r="A29" s="119"/>
      <c r="B29" s="263" t="s">
        <v>269</v>
      </c>
      <c r="C29" s="115"/>
      <c r="D29" s="115"/>
      <c r="E29" s="115"/>
      <c r="F29" s="115"/>
      <c r="G29" s="121"/>
    </row>
    <row r="30" spans="1:18" x14ac:dyDescent="0.3">
      <c r="A30" s="119"/>
      <c r="B30" s="262" t="s">
        <v>270</v>
      </c>
      <c r="C30" s="115"/>
      <c r="D30" s="115"/>
      <c r="E30" s="115"/>
      <c r="F30" s="115"/>
      <c r="G30" s="121"/>
    </row>
    <row r="31" spans="1:18" x14ac:dyDescent="0.3">
      <c r="A31" s="119"/>
      <c r="B31" s="115"/>
      <c r="C31" s="115"/>
      <c r="D31" s="115"/>
      <c r="E31" s="115"/>
      <c r="F31" s="115"/>
      <c r="G31" s="121"/>
    </row>
    <row r="32" spans="1:18" ht="45" customHeight="1" x14ac:dyDescent="0.3">
      <c r="A32" s="119"/>
      <c r="B32" s="125" t="s">
        <v>273</v>
      </c>
      <c r="C32" s="51" t="s">
        <v>1</v>
      </c>
      <c r="D32" s="112"/>
      <c r="E32" s="115"/>
      <c r="F32" s="115"/>
      <c r="G32" s="121"/>
    </row>
    <row r="33" spans="1:18" ht="24.9" customHeight="1" x14ac:dyDescent="0.3">
      <c r="A33" s="119"/>
      <c r="B33" s="125" t="s">
        <v>274</v>
      </c>
      <c r="C33" s="51" t="s">
        <v>1</v>
      </c>
      <c r="D33" s="116" t="str">
        <f>TEXT(IF(DOJ=0," ",DOJ),"dd-mmm-yyyy")</f>
        <v xml:space="preserve"> </v>
      </c>
      <c r="E33" s="115"/>
      <c r="F33" s="115"/>
      <c r="G33" s="121"/>
    </row>
    <row r="34" spans="1:18" ht="45" customHeight="1" x14ac:dyDescent="0.3">
      <c r="A34" s="119"/>
      <c r="B34" s="125" t="s">
        <v>275</v>
      </c>
      <c r="C34" s="51" t="s">
        <v>1</v>
      </c>
      <c r="D34" s="112"/>
      <c r="E34" s="115"/>
      <c r="F34" s="115"/>
      <c r="G34" s="121"/>
    </row>
    <row r="35" spans="1:18" s="118" customFormat="1" ht="6" customHeight="1" x14ac:dyDescent="0.3">
      <c r="A35" s="41"/>
      <c r="B35" s="6"/>
      <c r="C35" s="46"/>
      <c r="D35" s="6"/>
      <c r="E35" s="6"/>
      <c r="F35" s="6"/>
      <c r="G35" s="114"/>
      <c r="H35" s="29"/>
      <c r="I35" s="6"/>
      <c r="J35" s="6"/>
      <c r="N35" s="103"/>
      <c r="O35" s="104"/>
      <c r="P35" s="104"/>
      <c r="Q35" s="104"/>
      <c r="R35" s="29"/>
    </row>
    <row r="36" spans="1:18" x14ac:dyDescent="0.3">
      <c r="A36" s="119"/>
      <c r="B36" s="120" t="s">
        <v>276</v>
      </c>
      <c r="C36" s="115"/>
      <c r="D36" s="115"/>
      <c r="E36" s="115"/>
      <c r="F36" s="115"/>
      <c r="G36" s="121"/>
    </row>
    <row r="37" spans="1:18" s="118" customFormat="1" ht="6" customHeight="1" x14ac:dyDescent="0.3">
      <c r="A37" s="41"/>
      <c r="B37" s="6"/>
      <c r="C37" s="46"/>
      <c r="D37" s="6"/>
      <c r="E37" s="6"/>
      <c r="F37" s="6"/>
      <c r="G37" s="114"/>
      <c r="H37" s="29"/>
      <c r="I37" s="6"/>
      <c r="J37" s="6"/>
      <c r="N37" s="103"/>
      <c r="O37" s="104"/>
      <c r="P37" s="104"/>
      <c r="Q37" s="104"/>
      <c r="R37" s="29"/>
    </row>
    <row r="38" spans="1:18" x14ac:dyDescent="0.3">
      <c r="A38" s="119"/>
      <c r="B38" s="127" t="s">
        <v>277</v>
      </c>
      <c r="C38" s="128"/>
      <c r="D38" s="127" t="s">
        <v>279</v>
      </c>
      <c r="E38" s="128"/>
      <c r="F38" s="129" t="s">
        <v>278</v>
      </c>
      <c r="G38" s="121"/>
    </row>
    <row r="39" spans="1:18" ht="24.9" customHeight="1" x14ac:dyDescent="0.3">
      <c r="A39" s="119"/>
      <c r="B39" s="130" t="s">
        <v>280</v>
      </c>
      <c r="C39" s="135"/>
      <c r="D39" s="112"/>
      <c r="E39" s="136"/>
      <c r="F39" s="112"/>
      <c r="G39" s="121"/>
    </row>
    <row r="40" spans="1:18" ht="24.9" customHeight="1" x14ac:dyDescent="0.3">
      <c r="A40" s="119"/>
      <c r="B40" s="130" t="s">
        <v>281</v>
      </c>
      <c r="C40" s="134"/>
      <c r="D40" s="112"/>
      <c r="E40" s="120"/>
      <c r="F40" s="112"/>
      <c r="G40" s="121"/>
    </row>
    <row r="41" spans="1:18" ht="24.9" customHeight="1" x14ac:dyDescent="0.3">
      <c r="A41" s="119"/>
      <c r="B41" s="130" t="s">
        <v>282</v>
      </c>
      <c r="C41" s="134"/>
      <c r="D41" s="112"/>
      <c r="E41" s="120"/>
      <c r="F41" s="112"/>
      <c r="G41" s="121"/>
    </row>
    <row r="42" spans="1:18" ht="15" thickBot="1" x14ac:dyDescent="0.35">
      <c r="A42" s="131"/>
      <c r="B42" s="132"/>
      <c r="C42" s="132"/>
      <c r="D42" s="132"/>
      <c r="E42" s="132"/>
      <c r="F42" s="132"/>
      <c r="G42" s="133"/>
    </row>
    <row r="43" spans="1:18" x14ac:dyDescent="0.3"/>
  </sheetData>
  <sheetProtection algorithmName="SHA-512" hashValue="Yj7lPNIYUIq1oC0ymZUBSXPI0wlE8WuQ4qBOC6q2lHj2dXoUA5p+6BqRt6K9qbfi+Iz+6xkdxWtDBxCkUSyPlQ==" saltValue="hz708iphP2VlGfhy+ZFRiQ==" spinCount="100000" sheet="1" objects="1" scenarios="1" selectLockedCells="1"/>
  <mergeCells count="2">
    <mergeCell ref="A2:G6"/>
    <mergeCell ref="K1:Q4"/>
  </mergeCells>
  <dataValidations count="4">
    <dataValidation type="list" allowBlank="1" showInputMessage="1" showErrorMessage="1" sqref="D15">
      <formula1>"Bus Pass for ITPL, Own Transport"</formula1>
    </dataValidation>
    <dataValidation type="list" allowBlank="1" showInputMessage="1" showErrorMessage="1" sqref="D21">
      <formula1>"Two Wheeler, Four Wheeler"</formula1>
    </dataValidation>
    <dataValidation type="list" allowBlank="1" showInputMessage="1" showErrorMessage="1" sqref="D22">
      <formula1>INDIRECT($K$21)</formula1>
    </dataValidation>
    <dataValidation type="date" allowBlank="1" showInputMessage="1" showErrorMessage="1" error="Wrong date format" promptTitle="Date Format" prompt="Date format should be DD/MMM/YY (eg. 22/Mar/81 result in 22-Mar-81)" sqref="F39:F41">
      <formula1>1</formula1>
      <formula2>73082</formula2>
    </dataValidation>
  </dataValidations>
  <pageMargins left="0.7" right="0.7" top="0.75" bottom="0.75" header="0.3" footer="0.3"/>
  <pageSetup scale="82" orientation="portrait" r:id="rId1"/>
  <headerFooter>
    <oddHeader xml:space="preserve">&amp;L -   </oddHeader>
    <oddFooter>&amp;CPage &amp;P -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R32"/>
  <sheetViews>
    <sheetView showGridLines="0" showRowColHeaders="0" topLeftCell="A4" zoomScale="85" zoomScaleNormal="85" workbookViewId="0">
      <selection activeCell="D29" sqref="D29:F29"/>
    </sheetView>
  </sheetViews>
  <sheetFormatPr defaultColWidth="0" defaultRowHeight="14.4" zeroHeight="1" x14ac:dyDescent="0.3"/>
  <cols>
    <col min="1" max="1" width="1.44140625" style="29" customWidth="1"/>
    <col min="2" max="2" width="46.33203125" style="29" customWidth="1"/>
    <col min="3" max="3" width="1.109375" style="29" customWidth="1"/>
    <col min="4" max="4" width="34" style="29" bestFit="1" customWidth="1"/>
    <col min="5" max="5" width="1.109375" style="29" customWidth="1"/>
    <col min="6" max="6" width="23.6640625" style="29" customWidth="1"/>
    <col min="7" max="8" width="1.44140625" style="29" customWidth="1"/>
    <col min="9" max="9" width="1.44140625" style="29" hidden="1" customWidth="1"/>
    <col min="10" max="18" width="0" style="29" hidden="1" customWidth="1"/>
    <col min="19" max="16384" width="9.109375" style="29" hidden="1"/>
  </cols>
  <sheetData>
    <row r="1" spans="1:18" x14ac:dyDescent="0.3">
      <c r="A1" s="537"/>
      <c r="B1" s="117"/>
      <c r="C1" s="117"/>
      <c r="D1" s="117"/>
      <c r="E1" s="117"/>
      <c r="F1" s="117"/>
      <c r="G1" s="60"/>
    </row>
    <row r="2" spans="1:18" ht="15" customHeight="1" x14ac:dyDescent="0.3">
      <c r="A2" s="775" t="s">
        <v>283</v>
      </c>
      <c r="B2" s="776"/>
      <c r="C2" s="776"/>
      <c r="D2" s="776"/>
      <c r="E2" s="776"/>
      <c r="F2" s="776"/>
      <c r="G2" s="777"/>
    </row>
    <row r="3" spans="1:18" ht="15" customHeight="1" x14ac:dyDescent="0.3">
      <c r="A3" s="775"/>
      <c r="B3" s="776"/>
      <c r="C3" s="776"/>
      <c r="D3" s="776"/>
      <c r="E3" s="776"/>
      <c r="F3" s="776"/>
      <c r="G3" s="777"/>
    </row>
    <row r="4" spans="1:18" ht="15" customHeight="1" x14ac:dyDescent="0.3">
      <c r="A4" s="775"/>
      <c r="B4" s="776"/>
      <c r="C4" s="776"/>
      <c r="D4" s="776"/>
      <c r="E4" s="776"/>
      <c r="F4" s="776"/>
      <c r="G4" s="777"/>
    </row>
    <row r="5" spans="1:18" ht="15" customHeight="1" x14ac:dyDescent="0.3">
      <c r="A5" s="775"/>
      <c r="B5" s="776"/>
      <c r="C5" s="776"/>
      <c r="D5" s="776"/>
      <c r="E5" s="776"/>
      <c r="F5" s="776"/>
      <c r="G5" s="777"/>
    </row>
    <row r="6" spans="1:18" ht="15.75" customHeight="1" thickBot="1" x14ac:dyDescent="0.35">
      <c r="A6" s="778"/>
      <c r="B6" s="779"/>
      <c r="C6" s="779"/>
      <c r="D6" s="779"/>
      <c r="E6" s="779"/>
      <c r="F6" s="779"/>
      <c r="G6" s="780"/>
    </row>
    <row r="7" spans="1:18" s="118" customFormat="1" ht="6" customHeight="1" x14ac:dyDescent="0.3">
      <c r="A7" s="41"/>
      <c r="B7" s="6"/>
      <c r="C7" s="46"/>
      <c r="D7" s="6"/>
      <c r="E7" s="6"/>
      <c r="F7" s="6"/>
      <c r="G7" s="114"/>
      <c r="H7" s="29"/>
      <c r="I7" s="6"/>
      <c r="J7" s="6"/>
      <c r="N7" s="103"/>
      <c r="O7" s="104"/>
      <c r="P7" s="104"/>
      <c r="Q7" s="104"/>
      <c r="R7" s="29"/>
    </row>
    <row r="8" spans="1:18" x14ac:dyDescent="0.3">
      <c r="A8" s="119"/>
      <c r="B8" s="120" t="s">
        <v>264</v>
      </c>
      <c r="C8" s="46"/>
      <c r="D8" s="115"/>
      <c r="E8" s="115"/>
      <c r="F8" s="115"/>
      <c r="G8" s="121"/>
    </row>
    <row r="9" spans="1:18" s="118" customFormat="1" ht="6" customHeight="1" x14ac:dyDescent="0.3">
      <c r="A9" s="41"/>
      <c r="B9" s="6"/>
      <c r="C9" s="46"/>
      <c r="D9" s="6"/>
      <c r="E9" s="6"/>
      <c r="F9" s="6"/>
      <c r="G9" s="114"/>
      <c r="H9" s="29"/>
      <c r="I9" s="6"/>
      <c r="J9" s="6"/>
      <c r="N9" s="103"/>
      <c r="O9" s="104"/>
      <c r="P9" s="104"/>
      <c r="Q9" s="104"/>
      <c r="R9" s="29"/>
    </row>
    <row r="10" spans="1:18" x14ac:dyDescent="0.3">
      <c r="A10" s="41"/>
      <c r="B10" s="122" t="s">
        <v>261</v>
      </c>
      <c r="C10" s="51" t="s">
        <v>1</v>
      </c>
      <c r="D10" s="116" t="str">
        <f>IF(E_Name="","",E_Name)</f>
        <v>Gaurav  Singh</v>
      </c>
      <c r="E10" s="115"/>
      <c r="F10" s="123" t="s">
        <v>4</v>
      </c>
      <c r="G10" s="45"/>
    </row>
    <row r="11" spans="1:18" x14ac:dyDescent="0.3">
      <c r="A11" s="41"/>
      <c r="B11" s="113" t="s">
        <v>284</v>
      </c>
      <c r="C11" s="51" t="s">
        <v>1</v>
      </c>
      <c r="D11" s="116" t="str">
        <f>IF('Personal Information'!D43="","",'Personal Information'!D43)</f>
        <v>Flat 201 Sree Hanuma's Srivatsa Residency</v>
      </c>
      <c r="E11" s="115"/>
      <c r="F11" s="13" t="s">
        <v>5</v>
      </c>
      <c r="G11" s="45"/>
    </row>
    <row r="12" spans="1:18" x14ac:dyDescent="0.3">
      <c r="A12" s="41"/>
      <c r="B12" s="113" t="s">
        <v>19</v>
      </c>
      <c r="C12" s="51" t="s">
        <v>1</v>
      </c>
      <c r="D12" s="116" t="str">
        <f>IF('Personal Information'!D44="","",'Personal Information'!D44)</f>
        <v>Serilinghampally</v>
      </c>
      <c r="E12" s="115"/>
      <c r="F12" s="52" t="s">
        <v>6</v>
      </c>
      <c r="G12" s="45"/>
    </row>
    <row r="13" spans="1:18" x14ac:dyDescent="0.3">
      <c r="A13" s="41"/>
      <c r="B13" s="113" t="s">
        <v>19</v>
      </c>
      <c r="C13" s="51" t="s">
        <v>1</v>
      </c>
      <c r="D13" s="116" t="str">
        <f>IF('Personal Information'!D45="","",'Personal Information'!D45)</f>
        <v/>
      </c>
      <c r="E13" s="115"/>
      <c r="F13" s="14" t="s">
        <v>7</v>
      </c>
      <c r="G13" s="45"/>
    </row>
    <row r="14" spans="1:18" x14ac:dyDescent="0.3">
      <c r="A14" s="41"/>
      <c r="B14" s="113" t="s">
        <v>285</v>
      </c>
      <c r="C14" s="51" t="s">
        <v>1</v>
      </c>
      <c r="D14" s="116" t="str">
        <f>IF('Personal Information'!D46="","",'Personal Information'!D46)</f>
        <v>Hyderabad</v>
      </c>
      <c r="E14" s="115"/>
      <c r="F14" s="115"/>
      <c r="G14" s="45"/>
    </row>
    <row r="15" spans="1:18" x14ac:dyDescent="0.3">
      <c r="A15" s="41"/>
      <c r="B15" s="113" t="s">
        <v>286</v>
      </c>
      <c r="C15" s="51" t="s">
        <v>1</v>
      </c>
      <c r="D15" s="116" t="str">
        <f>IF('Personal Information'!D47="","",'Personal Information'!D47)</f>
        <v>Telangana</v>
      </c>
      <c r="E15" s="115"/>
      <c r="F15" s="115"/>
      <c r="G15" s="45"/>
    </row>
    <row r="16" spans="1:18" x14ac:dyDescent="0.3">
      <c r="A16" s="41"/>
      <c r="B16" s="113" t="s">
        <v>287</v>
      </c>
      <c r="C16" s="51" t="s">
        <v>1</v>
      </c>
      <c r="D16" s="116">
        <f>IF('Personal Information'!D48="","",'Personal Information'!D48)</f>
        <v>500019</v>
      </c>
      <c r="E16" s="115"/>
      <c r="F16" s="115"/>
      <c r="G16" s="45"/>
    </row>
    <row r="17" spans="1:7" x14ac:dyDescent="0.3">
      <c r="A17" s="41"/>
      <c r="B17" s="122" t="s">
        <v>255</v>
      </c>
      <c r="C17" s="51" t="s">
        <v>1</v>
      </c>
      <c r="D17" s="116" t="str">
        <f>IF('Personal Information'!D49="","",'Personal Information'!D49)</f>
        <v/>
      </c>
      <c r="E17" s="115"/>
      <c r="F17" s="115"/>
      <c r="G17" s="45"/>
    </row>
    <row r="18" spans="1:7" x14ac:dyDescent="0.3">
      <c r="A18" s="41"/>
      <c r="B18" s="113" t="s">
        <v>288</v>
      </c>
      <c r="C18" s="51" t="s">
        <v>1</v>
      </c>
      <c r="D18" s="116">
        <f>IF('Personal Information'!D50="","",'Personal Information'!D50)</f>
        <v>9407669172</v>
      </c>
      <c r="E18" s="115"/>
      <c r="F18" s="115"/>
      <c r="G18" s="45"/>
    </row>
    <row r="19" spans="1:7" x14ac:dyDescent="0.3">
      <c r="A19" s="41"/>
      <c r="B19" s="113" t="s">
        <v>25</v>
      </c>
      <c r="C19" s="51" t="s">
        <v>1</v>
      </c>
      <c r="D19" s="116" t="str">
        <f>IF('Personal Information'!D27="","",'Personal Information'!D27)</f>
        <v>O+</v>
      </c>
      <c r="E19" s="115"/>
      <c r="F19" s="115"/>
      <c r="G19" s="45"/>
    </row>
    <row r="20" spans="1:7" x14ac:dyDescent="0.3">
      <c r="A20" s="119"/>
      <c r="B20" s="115"/>
      <c r="C20" s="115"/>
      <c r="D20" s="115"/>
      <c r="E20" s="115"/>
      <c r="F20" s="115"/>
      <c r="G20" s="121"/>
    </row>
    <row r="21" spans="1:7" x14ac:dyDescent="0.3">
      <c r="A21" s="119"/>
      <c r="B21" s="115" t="s">
        <v>289</v>
      </c>
      <c r="C21" s="115"/>
      <c r="D21" s="115"/>
      <c r="E21" s="115"/>
      <c r="F21" s="115"/>
      <c r="G21" s="121"/>
    </row>
    <row r="22" spans="1:7" x14ac:dyDescent="0.3">
      <c r="A22" s="119"/>
      <c r="B22" s="115" t="s">
        <v>290</v>
      </c>
      <c r="C22" s="115"/>
      <c r="D22" s="115"/>
      <c r="E22" s="115"/>
      <c r="F22" s="115"/>
      <c r="G22" s="121"/>
    </row>
    <row r="23" spans="1:7" x14ac:dyDescent="0.3">
      <c r="A23" s="119"/>
      <c r="B23" s="115" t="s">
        <v>291</v>
      </c>
      <c r="C23" s="115"/>
      <c r="D23" s="115"/>
      <c r="E23" s="115"/>
      <c r="F23" s="115"/>
      <c r="G23" s="121"/>
    </row>
    <row r="24" spans="1:7" x14ac:dyDescent="0.3">
      <c r="A24" s="119"/>
      <c r="B24" s="115" t="s">
        <v>788</v>
      </c>
      <c r="C24" s="115"/>
      <c r="D24" s="115"/>
      <c r="E24" s="115"/>
      <c r="F24" s="115"/>
      <c r="G24" s="121"/>
    </row>
    <row r="25" spans="1:7" x14ac:dyDescent="0.3">
      <c r="A25" s="119"/>
      <c r="B25" s="115"/>
      <c r="C25" s="115"/>
      <c r="D25" s="115"/>
      <c r="E25" s="115"/>
      <c r="F25" s="115"/>
      <c r="G25" s="121"/>
    </row>
    <row r="26" spans="1:7" x14ac:dyDescent="0.3">
      <c r="A26" s="119"/>
      <c r="B26" s="115" t="str">
        <f>"This is to confirm that I have reported and joined duty with effect from  " &amp; TEXT(IF('Personal Information'!D18=0," ",'Personal Information'!D18),"dd-mmm-yyyy")</f>
        <v xml:space="preserve">This is to confirm that I have reported and joined duty with effect from   </v>
      </c>
      <c r="C26" s="115"/>
      <c r="D26" s="115"/>
      <c r="E26" s="115"/>
      <c r="F26" s="115"/>
      <c r="G26" s="121"/>
    </row>
    <row r="27" spans="1:7" x14ac:dyDescent="0.3">
      <c r="A27" s="119"/>
      <c r="B27" s="115"/>
      <c r="C27" s="115"/>
      <c r="D27" s="115"/>
      <c r="E27" s="115"/>
      <c r="F27" s="115"/>
      <c r="G27" s="121"/>
    </row>
    <row r="28" spans="1:7" x14ac:dyDescent="0.3">
      <c r="A28" s="119"/>
      <c r="B28" s="115"/>
      <c r="C28" s="115"/>
      <c r="D28" s="115"/>
      <c r="E28" s="115"/>
      <c r="F28" s="115"/>
      <c r="G28" s="121"/>
    </row>
    <row r="29" spans="1:7" ht="45" customHeight="1" x14ac:dyDescent="0.3">
      <c r="A29" s="119"/>
      <c r="B29" s="125" t="s">
        <v>273</v>
      </c>
      <c r="C29" s="51" t="s">
        <v>1</v>
      </c>
      <c r="D29" s="784"/>
      <c r="E29" s="785"/>
      <c r="F29" s="786"/>
      <c r="G29" s="121"/>
    </row>
    <row r="30" spans="1:7" ht="24.9" customHeight="1" x14ac:dyDescent="0.3">
      <c r="A30" s="119"/>
      <c r="B30" s="125" t="s">
        <v>274</v>
      </c>
      <c r="C30" s="51" t="s">
        <v>1</v>
      </c>
      <c r="D30" s="781" t="str">
        <f>TEXT(IF(DOJ=0," ",DOJ),"dd-mmm-yyyy")</f>
        <v xml:space="preserve"> </v>
      </c>
      <c r="E30" s="782"/>
      <c r="F30" s="783"/>
      <c r="G30" s="121"/>
    </row>
    <row r="31" spans="1:7" ht="15" thickBot="1" x14ac:dyDescent="0.35">
      <c r="A31" s="131"/>
      <c r="B31" s="132"/>
      <c r="C31" s="132"/>
      <c r="D31" s="132"/>
      <c r="E31" s="132"/>
      <c r="F31" s="132"/>
      <c r="G31" s="538"/>
    </row>
    <row r="32" spans="1:7" x14ac:dyDescent="0.3"/>
  </sheetData>
  <sheetProtection password="CA99" sheet="1" selectLockedCells="1"/>
  <mergeCells count="3">
    <mergeCell ref="A2:G6"/>
    <mergeCell ref="D30:F30"/>
    <mergeCell ref="D29:F29"/>
  </mergeCells>
  <pageMargins left="0.7" right="0.7" top="0.75" bottom="0.75" header="0.3" footer="0.3"/>
  <pageSetup scale="82" orientation="portrait" r:id="rId1"/>
  <headerFooter>
    <oddHeader xml:space="preserve">&amp;L -   </oddHeader>
    <oddFooter>&amp;CPage &amp;P -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R57"/>
  <sheetViews>
    <sheetView showGridLines="0" showRowColHeaders="0" topLeftCell="A4" zoomScaleNormal="100" workbookViewId="0"/>
  </sheetViews>
  <sheetFormatPr defaultColWidth="0" defaultRowHeight="14.4" zeroHeight="1" x14ac:dyDescent="0.3"/>
  <cols>
    <col min="1" max="1" width="1.44140625" style="371" customWidth="1"/>
    <col min="2" max="3" width="19.6640625" style="371" customWidth="1"/>
    <col min="4" max="4" width="34" style="371" bestFit="1" customWidth="1"/>
    <col min="5" max="5" width="1.109375" style="371" customWidth="1"/>
    <col min="6" max="6" width="23.6640625" style="371" customWidth="1"/>
    <col min="7" max="8" width="1.44140625" style="371" customWidth="1"/>
    <col min="9" max="9" width="9.109375" style="371" hidden="1" customWidth="1"/>
    <col min="10" max="18" width="0" style="371" hidden="1" customWidth="1"/>
    <col min="19" max="16384" width="9.109375" style="371" hidden="1"/>
  </cols>
  <sheetData>
    <row r="1" spans="1:16" x14ac:dyDescent="0.3">
      <c r="A1" s="537"/>
      <c r="B1" s="117"/>
      <c r="C1" s="117"/>
      <c r="D1" s="117"/>
      <c r="E1" s="117"/>
      <c r="F1" s="117"/>
      <c r="G1" s="60"/>
    </row>
    <row r="2" spans="1:16" ht="15" customHeight="1" x14ac:dyDescent="0.3">
      <c r="A2" s="775"/>
      <c r="B2" s="776"/>
      <c r="C2" s="776"/>
      <c r="D2" s="776"/>
      <c r="E2" s="776"/>
      <c r="F2" s="776"/>
      <c r="G2" s="777"/>
    </row>
    <row r="3" spans="1:16" ht="15" customHeight="1" x14ac:dyDescent="0.3">
      <c r="A3" s="775"/>
      <c r="B3" s="776"/>
      <c r="C3" s="776"/>
      <c r="D3" s="776"/>
      <c r="E3" s="776"/>
      <c r="F3" s="776"/>
      <c r="G3" s="777"/>
    </row>
    <row r="4" spans="1:16" ht="15" customHeight="1" x14ac:dyDescent="0.3">
      <c r="A4" s="775"/>
      <c r="B4" s="776"/>
      <c r="C4" s="776"/>
      <c r="D4" s="776"/>
      <c r="E4" s="776"/>
      <c r="F4" s="776"/>
      <c r="G4" s="777"/>
    </row>
    <row r="5" spans="1:16" ht="15" customHeight="1" x14ac:dyDescent="0.3">
      <c r="A5" s="775"/>
      <c r="B5" s="776"/>
      <c r="C5" s="776"/>
      <c r="D5" s="776"/>
      <c r="E5" s="776"/>
      <c r="F5" s="776"/>
      <c r="G5" s="777"/>
    </row>
    <row r="6" spans="1:16" ht="15.75" customHeight="1" x14ac:dyDescent="0.3">
      <c r="A6" s="775"/>
      <c r="B6" s="776"/>
      <c r="C6" s="776"/>
      <c r="D6" s="776"/>
      <c r="E6" s="776"/>
      <c r="F6" s="776"/>
      <c r="G6" s="777"/>
    </row>
    <row r="7" spans="1:16" s="118" customFormat="1" ht="6" customHeight="1" x14ac:dyDescent="0.3">
      <c r="A7" s="41"/>
      <c r="B7" s="6"/>
      <c r="C7" s="46"/>
      <c r="D7" s="6"/>
      <c r="E7" s="6"/>
      <c r="F7" s="6"/>
      <c r="G7" s="114"/>
      <c r="H7" s="371"/>
      <c r="L7" s="103"/>
      <c r="M7" s="104"/>
      <c r="N7" s="104"/>
      <c r="O7" s="104"/>
      <c r="P7" s="371"/>
    </row>
    <row r="8" spans="1:16" x14ac:dyDescent="0.3">
      <c r="A8" s="372"/>
      <c r="B8" s="373" t="s">
        <v>289</v>
      </c>
      <c r="C8" s="374"/>
      <c r="D8" s="374"/>
      <c r="E8" s="374"/>
      <c r="F8" s="374"/>
      <c r="G8" s="375"/>
    </row>
    <row r="9" spans="1:16" x14ac:dyDescent="0.3">
      <c r="A9" s="372"/>
      <c r="B9" s="374"/>
      <c r="C9" s="374"/>
      <c r="D9" s="374"/>
      <c r="E9" s="374"/>
      <c r="F9" s="374"/>
      <c r="G9" s="375"/>
    </row>
    <row r="10" spans="1:16" x14ac:dyDescent="0.3">
      <c r="A10" s="372"/>
      <c r="B10" s="374" t="s">
        <v>478</v>
      </c>
      <c r="C10" s="374"/>
      <c r="D10" s="374"/>
      <c r="E10" s="374"/>
      <c r="F10" s="374"/>
      <c r="G10" s="375"/>
    </row>
    <row r="11" spans="1:16" x14ac:dyDescent="0.3">
      <c r="A11" s="372"/>
      <c r="B11" s="376" t="s">
        <v>479</v>
      </c>
      <c r="C11" s="374"/>
      <c r="D11" s="374"/>
      <c r="E11" s="374"/>
      <c r="F11" s="374"/>
      <c r="G11" s="375"/>
    </row>
    <row r="12" spans="1:16" x14ac:dyDescent="0.3">
      <c r="A12" s="372"/>
      <c r="B12" s="374" t="s">
        <v>480</v>
      </c>
      <c r="C12" s="374"/>
      <c r="D12" s="374"/>
      <c r="E12" s="374"/>
      <c r="F12" s="374"/>
      <c r="G12" s="375"/>
    </row>
    <row r="13" spans="1:16" x14ac:dyDescent="0.3">
      <c r="A13" s="372"/>
      <c r="B13" s="374" t="s">
        <v>481</v>
      </c>
      <c r="C13" s="374"/>
      <c r="D13" s="374"/>
      <c r="E13" s="374"/>
      <c r="F13" s="374"/>
      <c r="G13" s="375"/>
    </row>
    <row r="14" spans="1:16" x14ac:dyDescent="0.3">
      <c r="A14" s="372"/>
      <c r="B14" s="374" t="s">
        <v>482</v>
      </c>
      <c r="C14" s="374"/>
      <c r="D14" s="374"/>
      <c r="E14" s="374"/>
      <c r="F14" s="374"/>
      <c r="G14" s="375"/>
    </row>
    <row r="15" spans="1:16" x14ac:dyDescent="0.3">
      <c r="A15" s="372"/>
      <c r="B15" s="374" t="s">
        <v>292</v>
      </c>
      <c r="C15" s="374"/>
      <c r="D15" s="374"/>
      <c r="E15" s="374"/>
      <c r="F15" s="374"/>
      <c r="G15" s="375"/>
    </row>
    <row r="16" spans="1:16" x14ac:dyDescent="0.3">
      <c r="A16" s="372"/>
      <c r="B16" s="374"/>
      <c r="C16" s="374"/>
      <c r="D16" s="374"/>
      <c r="E16" s="374"/>
      <c r="F16" s="374"/>
      <c r="G16" s="375"/>
    </row>
    <row r="17" spans="1:7" x14ac:dyDescent="0.3">
      <c r="A17" s="372"/>
      <c r="B17" s="377" t="s">
        <v>483</v>
      </c>
      <c r="C17" s="374"/>
      <c r="D17" s="374"/>
      <c r="E17" s="374"/>
      <c r="F17" s="374"/>
      <c r="G17" s="375"/>
    </row>
    <row r="18" spans="1:7" x14ac:dyDescent="0.3">
      <c r="A18" s="372"/>
      <c r="B18" s="374"/>
      <c r="C18" s="374"/>
      <c r="D18" s="374"/>
      <c r="E18" s="374"/>
      <c r="F18" s="374"/>
      <c r="G18" s="375"/>
    </row>
    <row r="19" spans="1:7" ht="117" customHeight="1" x14ac:dyDescent="0.3">
      <c r="A19" s="372"/>
      <c r="B19" s="787" t="s">
        <v>487</v>
      </c>
      <c r="C19" s="788"/>
      <c r="D19" s="788"/>
      <c r="E19" s="788"/>
      <c r="F19" s="788"/>
      <c r="G19" s="375"/>
    </row>
    <row r="20" spans="1:7" x14ac:dyDescent="0.3">
      <c r="A20" s="372"/>
      <c r="B20" s="374"/>
      <c r="C20" s="374"/>
      <c r="D20" s="374"/>
      <c r="E20" s="374"/>
      <c r="F20" s="374"/>
      <c r="G20" s="375"/>
    </row>
    <row r="21" spans="1:7" x14ac:dyDescent="0.3">
      <c r="A21" s="372"/>
      <c r="B21" s="374" t="s">
        <v>484</v>
      </c>
      <c r="C21" s="374"/>
      <c r="D21" s="374"/>
      <c r="E21" s="374"/>
      <c r="F21" s="374"/>
      <c r="G21" s="375"/>
    </row>
    <row r="22" spans="1:7" x14ac:dyDescent="0.3">
      <c r="A22" s="372"/>
      <c r="B22" s="374"/>
      <c r="C22" s="374"/>
      <c r="D22" s="374"/>
      <c r="E22" s="374"/>
      <c r="F22" s="374"/>
      <c r="G22" s="375"/>
    </row>
    <row r="23" spans="1:7" x14ac:dyDescent="0.3">
      <c r="A23" s="372"/>
      <c r="B23" s="374"/>
      <c r="C23" s="374"/>
      <c r="D23" s="374"/>
      <c r="E23" s="374"/>
      <c r="F23" s="374"/>
      <c r="G23" s="375"/>
    </row>
    <row r="24" spans="1:7" x14ac:dyDescent="0.3">
      <c r="A24" s="372"/>
      <c r="B24" s="374"/>
      <c r="C24" s="374"/>
      <c r="D24" s="374"/>
      <c r="E24" s="374"/>
      <c r="F24" s="374"/>
      <c r="G24" s="375"/>
    </row>
    <row r="25" spans="1:7" ht="30" customHeight="1" x14ac:dyDescent="0.3">
      <c r="A25" s="372"/>
      <c r="B25" s="377" t="s">
        <v>272</v>
      </c>
      <c r="C25" s="385"/>
      <c r="D25" s="378"/>
      <c r="E25" s="374"/>
      <c r="F25" s="374"/>
      <c r="G25" s="375"/>
    </row>
    <row r="26" spans="1:7" ht="30" customHeight="1" x14ac:dyDescent="0.3">
      <c r="A26" s="372"/>
      <c r="B26" s="377" t="s">
        <v>485</v>
      </c>
      <c r="C26" s="379" t="str">
        <f>IF(E_Name="","",E_Name)</f>
        <v>Gaurav  Singh</v>
      </c>
      <c r="D26" s="380"/>
      <c r="E26" s="374"/>
      <c r="F26" s="374"/>
      <c r="G26" s="375"/>
    </row>
    <row r="27" spans="1:7" ht="30" customHeight="1" x14ac:dyDescent="0.3">
      <c r="A27" s="372"/>
      <c r="B27" s="377" t="s">
        <v>486</v>
      </c>
      <c r="C27" s="379" t="str">
        <f>IF(Empl_No="","",Empl_No)</f>
        <v/>
      </c>
      <c r="D27" s="374"/>
      <c r="E27" s="374"/>
      <c r="F27" s="374"/>
      <c r="G27" s="375"/>
    </row>
    <row r="28" spans="1:7" ht="30" customHeight="1" x14ac:dyDescent="0.3">
      <c r="A28" s="372"/>
      <c r="B28" s="374" t="s">
        <v>322</v>
      </c>
      <c r="C28" s="379" t="str">
        <f>TEXT(IF(DOJ=0," ",DOJ),"dd-mmm-yyyy")</f>
        <v xml:space="preserve"> </v>
      </c>
      <c r="D28" s="374"/>
      <c r="E28" s="374"/>
      <c r="F28" s="374"/>
      <c r="G28" s="375"/>
    </row>
    <row r="29" spans="1:7" x14ac:dyDescent="0.3">
      <c r="A29" s="372"/>
      <c r="B29" s="374"/>
      <c r="C29" s="374"/>
      <c r="D29" s="374"/>
      <c r="E29" s="374"/>
      <c r="F29" s="374"/>
      <c r="G29" s="375"/>
    </row>
    <row r="30" spans="1:7" x14ac:dyDescent="0.3">
      <c r="A30" s="372"/>
      <c r="B30" s="374"/>
      <c r="C30" s="374"/>
      <c r="D30" s="374"/>
      <c r="E30" s="374"/>
      <c r="F30" s="374"/>
      <c r="G30" s="375"/>
    </row>
    <row r="31" spans="1:7" ht="15" thickBot="1" x14ac:dyDescent="0.35">
      <c r="A31" s="381"/>
      <c r="B31" s="382"/>
      <c r="C31" s="382"/>
      <c r="D31" s="382"/>
      <c r="E31" s="382"/>
      <c r="F31" s="382"/>
      <c r="G31" s="383"/>
    </row>
    <row r="32" spans="1:7" x14ac:dyDescent="0.3"/>
    <row r="33" hidden="1" x14ac:dyDescent="0.3"/>
    <row r="34" hidden="1" x14ac:dyDescent="0.3"/>
    <row r="35" hidden="1" x14ac:dyDescent="0.3"/>
    <row r="36" hidden="1" x14ac:dyDescent="0.3"/>
    <row r="37" hidden="1" x14ac:dyDescent="0.3"/>
    <row r="38" hidden="1" x14ac:dyDescent="0.3"/>
    <row r="39" hidden="1" x14ac:dyDescent="0.3"/>
    <row r="40" hidden="1" x14ac:dyDescent="0.3"/>
    <row r="41" hidden="1" x14ac:dyDescent="0.3"/>
    <row r="42" hidden="1" x14ac:dyDescent="0.3"/>
    <row r="43" hidden="1" x14ac:dyDescent="0.3"/>
    <row r="44" hidden="1" x14ac:dyDescent="0.3"/>
    <row r="45" hidden="1" x14ac:dyDescent="0.3"/>
    <row r="46" hidden="1" x14ac:dyDescent="0.3"/>
    <row r="47" hidden="1" x14ac:dyDescent="0.3"/>
    <row r="4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sheetData>
  <sheetProtection password="CA99" sheet="1" objects="1" scenarios="1" selectLockedCells="1"/>
  <mergeCells count="2">
    <mergeCell ref="A2:G6"/>
    <mergeCell ref="B19:F19"/>
  </mergeCells>
  <pageMargins left="0.7" right="0.7" top="0.75" bottom="0.75" header="0.3" footer="0.3"/>
  <pageSetup scale="89" orientation="portrait" r:id="rId1"/>
  <headerFooter>
    <oddHeader xml:space="preserve">&amp;L -   </oddHeader>
    <oddFooter>&amp;CPage &amp;P -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WVS77"/>
  <sheetViews>
    <sheetView showGridLines="0" showRowColHeaders="0" zoomScaleNormal="100" zoomScaleSheetLayoutView="85" workbookViewId="0">
      <selection activeCell="D44" sqref="D44:F44"/>
    </sheetView>
  </sheetViews>
  <sheetFormatPr defaultColWidth="0" defaultRowHeight="15.6" zeroHeight="1" x14ac:dyDescent="0.3"/>
  <cols>
    <col min="1" max="1" width="1.109375" style="386" customWidth="1"/>
    <col min="2" max="2" width="8.44140625" style="412" customWidth="1"/>
    <col min="3" max="3" width="19" style="412" customWidth="1"/>
    <col min="4" max="4" width="15" style="412" customWidth="1"/>
    <col min="5" max="5" width="29.88671875" style="412" customWidth="1"/>
    <col min="6" max="6" width="7" style="412" customWidth="1"/>
    <col min="7" max="7" width="7.88671875" style="412" customWidth="1"/>
    <col min="8" max="8" width="19" style="412" customWidth="1"/>
    <col min="9" max="9" width="13.6640625" style="412" customWidth="1"/>
    <col min="10" max="10" width="29.88671875" style="412" customWidth="1"/>
    <col min="11" max="11" width="7.109375" style="413" customWidth="1"/>
    <col min="12" max="12" width="1.109375" style="386" customWidth="1"/>
    <col min="13" max="13" width="1.109375" style="412" customWidth="1"/>
    <col min="14" max="19" width="9.109375" style="412" hidden="1"/>
    <col min="20" max="20" width="18.6640625" style="412" hidden="1"/>
    <col min="21" max="21" width="9.5546875" style="412" hidden="1"/>
    <col min="22" max="256" width="9.109375" style="412" hidden="1"/>
    <col min="257" max="257" width="8.44140625" style="412" hidden="1"/>
    <col min="258" max="258" width="12.5546875" style="412" hidden="1"/>
    <col min="259" max="259" width="5" style="412" hidden="1"/>
    <col min="260" max="260" width="2.109375" style="412" hidden="1"/>
    <col min="261" max="261" width="12.6640625" style="412" hidden="1"/>
    <col min="262" max="262" width="12.33203125" style="412" hidden="1"/>
    <col min="263" max="263" width="7.109375" style="412" hidden="1"/>
    <col min="264" max="264" width="19" style="412" hidden="1"/>
    <col min="265" max="265" width="9.109375" style="412" hidden="1"/>
    <col min="266" max="266" width="29.88671875" style="412" hidden="1"/>
    <col min="267" max="267" width="3.5546875" style="412" hidden="1"/>
    <col min="268" max="512" width="9.109375" style="412" hidden="1"/>
    <col min="513" max="513" width="8.44140625" style="412" hidden="1"/>
    <col min="514" max="514" width="12.5546875" style="412" hidden="1"/>
    <col min="515" max="515" width="5" style="412" hidden="1"/>
    <col min="516" max="516" width="2.109375" style="412" hidden="1"/>
    <col min="517" max="517" width="12.6640625" style="412" hidden="1"/>
    <col min="518" max="518" width="12.33203125" style="412" hidden="1"/>
    <col min="519" max="519" width="7.109375" style="412" hidden="1"/>
    <col min="520" max="520" width="19" style="412" hidden="1"/>
    <col min="521" max="521" width="9.109375" style="412" hidden="1"/>
    <col min="522" max="522" width="29.88671875" style="412" hidden="1"/>
    <col min="523" max="523" width="3.5546875" style="412" hidden="1"/>
    <col min="524" max="768" width="9.109375" style="412" hidden="1"/>
    <col min="769" max="769" width="8.44140625" style="412" hidden="1"/>
    <col min="770" max="770" width="12.5546875" style="412" hidden="1"/>
    <col min="771" max="771" width="5" style="412" hidden="1"/>
    <col min="772" max="772" width="2.109375" style="412" hidden="1"/>
    <col min="773" max="773" width="12.6640625" style="412" hidden="1"/>
    <col min="774" max="774" width="12.33203125" style="412" hidden="1"/>
    <col min="775" max="775" width="7.109375" style="412" hidden="1"/>
    <col min="776" max="776" width="19" style="412" hidden="1"/>
    <col min="777" max="777" width="9.109375" style="412" hidden="1"/>
    <col min="778" max="778" width="29.88671875" style="412" hidden="1"/>
    <col min="779" max="779" width="3.5546875" style="412" hidden="1"/>
    <col min="780" max="1024" width="9.109375" style="412" hidden="1"/>
    <col min="1025" max="1025" width="8.44140625" style="412" hidden="1"/>
    <col min="1026" max="1026" width="12.5546875" style="412" hidden="1"/>
    <col min="1027" max="1027" width="5" style="412" hidden="1"/>
    <col min="1028" max="1028" width="2.109375" style="412" hidden="1"/>
    <col min="1029" max="1029" width="12.6640625" style="412" hidden="1"/>
    <col min="1030" max="1030" width="12.33203125" style="412" hidden="1"/>
    <col min="1031" max="1031" width="7.109375" style="412" hidden="1"/>
    <col min="1032" max="1032" width="19" style="412" hidden="1"/>
    <col min="1033" max="1033" width="9.109375" style="412" hidden="1"/>
    <col min="1034" max="1034" width="29.88671875" style="412" hidden="1"/>
    <col min="1035" max="1035" width="3.5546875" style="412" hidden="1"/>
    <col min="1036" max="1280" width="9.109375" style="412" hidden="1"/>
    <col min="1281" max="1281" width="8.44140625" style="412" hidden="1"/>
    <col min="1282" max="1282" width="12.5546875" style="412" hidden="1"/>
    <col min="1283" max="1283" width="5" style="412" hidden="1"/>
    <col min="1284" max="1284" width="2.109375" style="412" hidden="1"/>
    <col min="1285" max="1285" width="12.6640625" style="412" hidden="1"/>
    <col min="1286" max="1286" width="12.33203125" style="412" hidden="1"/>
    <col min="1287" max="1287" width="7.109375" style="412" hidden="1"/>
    <col min="1288" max="1288" width="19" style="412" hidden="1"/>
    <col min="1289" max="1289" width="9.109375" style="412" hidden="1"/>
    <col min="1290" max="1290" width="29.88671875" style="412" hidden="1"/>
    <col min="1291" max="1291" width="3.5546875" style="412" hidden="1"/>
    <col min="1292" max="1536" width="9.109375" style="412" hidden="1"/>
    <col min="1537" max="1537" width="8.44140625" style="412" hidden="1"/>
    <col min="1538" max="1538" width="12.5546875" style="412" hidden="1"/>
    <col min="1539" max="1539" width="5" style="412" hidden="1"/>
    <col min="1540" max="1540" width="2.109375" style="412" hidden="1"/>
    <col min="1541" max="1541" width="12.6640625" style="412" hidden="1"/>
    <col min="1542" max="1542" width="12.33203125" style="412" hidden="1"/>
    <col min="1543" max="1543" width="7.109375" style="412" hidden="1"/>
    <col min="1544" max="1544" width="19" style="412" hidden="1"/>
    <col min="1545" max="1545" width="9.109375" style="412" hidden="1"/>
    <col min="1546" max="1546" width="29.88671875" style="412" hidden="1"/>
    <col min="1547" max="1547" width="3.5546875" style="412" hidden="1"/>
    <col min="1548" max="1792" width="9.109375" style="412" hidden="1"/>
    <col min="1793" max="1793" width="8.44140625" style="412" hidden="1"/>
    <col min="1794" max="1794" width="12.5546875" style="412" hidden="1"/>
    <col min="1795" max="1795" width="5" style="412" hidden="1"/>
    <col min="1796" max="1796" width="2.109375" style="412" hidden="1"/>
    <col min="1797" max="1797" width="12.6640625" style="412" hidden="1"/>
    <col min="1798" max="1798" width="12.33203125" style="412" hidden="1"/>
    <col min="1799" max="1799" width="7.109375" style="412" hidden="1"/>
    <col min="1800" max="1800" width="19" style="412" hidden="1"/>
    <col min="1801" max="1801" width="9.109375" style="412" hidden="1"/>
    <col min="1802" max="1802" width="29.88671875" style="412" hidden="1"/>
    <col min="1803" max="1803" width="3.5546875" style="412" hidden="1"/>
    <col min="1804" max="2048" width="9.109375" style="412" hidden="1"/>
    <col min="2049" max="2049" width="8.44140625" style="412" hidden="1"/>
    <col min="2050" max="2050" width="12.5546875" style="412" hidden="1"/>
    <col min="2051" max="2051" width="5" style="412" hidden="1"/>
    <col min="2052" max="2052" width="2.109375" style="412" hidden="1"/>
    <col min="2053" max="2053" width="12.6640625" style="412" hidden="1"/>
    <col min="2054" max="2054" width="12.33203125" style="412" hidden="1"/>
    <col min="2055" max="2055" width="7.109375" style="412" hidden="1"/>
    <col min="2056" max="2056" width="19" style="412" hidden="1"/>
    <col min="2057" max="2057" width="9.109375" style="412" hidden="1"/>
    <col min="2058" max="2058" width="29.88671875" style="412" hidden="1"/>
    <col min="2059" max="2059" width="3.5546875" style="412" hidden="1"/>
    <col min="2060" max="2304" width="9.109375" style="412" hidden="1"/>
    <col min="2305" max="2305" width="8.44140625" style="412" hidden="1"/>
    <col min="2306" max="2306" width="12.5546875" style="412" hidden="1"/>
    <col min="2307" max="2307" width="5" style="412" hidden="1"/>
    <col min="2308" max="2308" width="2.109375" style="412" hidden="1"/>
    <col min="2309" max="2309" width="12.6640625" style="412" hidden="1"/>
    <col min="2310" max="2310" width="12.33203125" style="412" hidden="1"/>
    <col min="2311" max="2311" width="7.109375" style="412" hidden="1"/>
    <col min="2312" max="2312" width="19" style="412" hidden="1"/>
    <col min="2313" max="2313" width="9.109375" style="412" hidden="1"/>
    <col min="2314" max="2314" width="29.88671875" style="412" hidden="1"/>
    <col min="2315" max="2315" width="3.5546875" style="412" hidden="1"/>
    <col min="2316" max="2560" width="9.109375" style="412" hidden="1"/>
    <col min="2561" max="2561" width="8.44140625" style="412" hidden="1"/>
    <col min="2562" max="2562" width="12.5546875" style="412" hidden="1"/>
    <col min="2563" max="2563" width="5" style="412" hidden="1"/>
    <col min="2564" max="2564" width="2.109375" style="412" hidden="1"/>
    <col min="2565" max="2565" width="12.6640625" style="412" hidden="1"/>
    <col min="2566" max="2566" width="12.33203125" style="412" hidden="1"/>
    <col min="2567" max="2567" width="7.109375" style="412" hidden="1"/>
    <col min="2568" max="2568" width="19" style="412" hidden="1"/>
    <col min="2569" max="2569" width="9.109375" style="412" hidden="1"/>
    <col min="2570" max="2570" width="29.88671875" style="412" hidden="1"/>
    <col min="2571" max="2571" width="3.5546875" style="412" hidden="1"/>
    <col min="2572" max="2816" width="9.109375" style="412" hidden="1"/>
    <col min="2817" max="2817" width="8.44140625" style="412" hidden="1"/>
    <col min="2818" max="2818" width="12.5546875" style="412" hidden="1"/>
    <col min="2819" max="2819" width="5" style="412" hidden="1"/>
    <col min="2820" max="2820" width="2.109375" style="412" hidden="1"/>
    <col min="2821" max="2821" width="12.6640625" style="412" hidden="1"/>
    <col min="2822" max="2822" width="12.33203125" style="412" hidden="1"/>
    <col min="2823" max="2823" width="7.109375" style="412" hidden="1"/>
    <col min="2824" max="2824" width="19" style="412" hidden="1"/>
    <col min="2825" max="2825" width="9.109375" style="412" hidden="1"/>
    <col min="2826" max="2826" width="29.88671875" style="412" hidden="1"/>
    <col min="2827" max="2827" width="3.5546875" style="412" hidden="1"/>
    <col min="2828" max="3072" width="9.109375" style="412" hidden="1"/>
    <col min="3073" max="3073" width="8.44140625" style="412" hidden="1"/>
    <col min="3074" max="3074" width="12.5546875" style="412" hidden="1"/>
    <col min="3075" max="3075" width="5" style="412" hidden="1"/>
    <col min="3076" max="3076" width="2.109375" style="412" hidden="1"/>
    <col min="3077" max="3077" width="12.6640625" style="412" hidden="1"/>
    <col min="3078" max="3078" width="12.33203125" style="412" hidden="1"/>
    <col min="3079" max="3079" width="7.109375" style="412" hidden="1"/>
    <col min="3080" max="3080" width="19" style="412" hidden="1"/>
    <col min="3081" max="3081" width="9.109375" style="412" hidden="1"/>
    <col min="3082" max="3082" width="29.88671875" style="412" hidden="1"/>
    <col min="3083" max="3083" width="3.5546875" style="412" hidden="1"/>
    <col min="3084" max="3328" width="9.109375" style="412" hidden="1"/>
    <col min="3329" max="3329" width="8.44140625" style="412" hidden="1"/>
    <col min="3330" max="3330" width="12.5546875" style="412" hidden="1"/>
    <col min="3331" max="3331" width="5" style="412" hidden="1"/>
    <col min="3332" max="3332" width="2.109375" style="412" hidden="1"/>
    <col min="3333" max="3333" width="12.6640625" style="412" hidden="1"/>
    <col min="3334" max="3334" width="12.33203125" style="412" hidden="1"/>
    <col min="3335" max="3335" width="7.109375" style="412" hidden="1"/>
    <col min="3336" max="3336" width="19" style="412" hidden="1"/>
    <col min="3337" max="3337" width="9.109375" style="412" hidden="1"/>
    <col min="3338" max="3338" width="29.88671875" style="412" hidden="1"/>
    <col min="3339" max="3339" width="3.5546875" style="412" hidden="1"/>
    <col min="3340" max="3584" width="9.109375" style="412" hidden="1"/>
    <col min="3585" max="3585" width="8.44140625" style="412" hidden="1"/>
    <col min="3586" max="3586" width="12.5546875" style="412" hidden="1"/>
    <col min="3587" max="3587" width="5" style="412" hidden="1"/>
    <col min="3588" max="3588" width="2.109375" style="412" hidden="1"/>
    <col min="3589" max="3589" width="12.6640625" style="412" hidden="1"/>
    <col min="3590" max="3590" width="12.33203125" style="412" hidden="1"/>
    <col min="3591" max="3591" width="7.109375" style="412" hidden="1"/>
    <col min="3592" max="3592" width="19" style="412" hidden="1"/>
    <col min="3593" max="3593" width="9.109375" style="412" hidden="1"/>
    <col min="3594" max="3594" width="29.88671875" style="412" hidden="1"/>
    <col min="3595" max="3595" width="3.5546875" style="412" hidden="1"/>
    <col min="3596" max="3840" width="9.109375" style="412" hidden="1"/>
    <col min="3841" max="3841" width="8.44140625" style="412" hidden="1"/>
    <col min="3842" max="3842" width="12.5546875" style="412" hidden="1"/>
    <col min="3843" max="3843" width="5" style="412" hidden="1"/>
    <col min="3844" max="3844" width="2.109375" style="412" hidden="1"/>
    <col min="3845" max="3845" width="12.6640625" style="412" hidden="1"/>
    <col min="3846" max="3846" width="12.33203125" style="412" hidden="1"/>
    <col min="3847" max="3847" width="7.109375" style="412" hidden="1"/>
    <col min="3848" max="3848" width="19" style="412" hidden="1"/>
    <col min="3849" max="3849" width="9.109375" style="412" hidden="1"/>
    <col min="3850" max="3850" width="29.88671875" style="412" hidden="1"/>
    <col min="3851" max="3851" width="3.5546875" style="412" hidden="1"/>
    <col min="3852" max="4096" width="9.109375" style="412" hidden="1"/>
    <col min="4097" max="4097" width="8.44140625" style="412" hidden="1"/>
    <col min="4098" max="4098" width="12.5546875" style="412" hidden="1"/>
    <col min="4099" max="4099" width="5" style="412" hidden="1"/>
    <col min="4100" max="4100" width="2.109375" style="412" hidden="1"/>
    <col min="4101" max="4101" width="12.6640625" style="412" hidden="1"/>
    <col min="4102" max="4102" width="12.33203125" style="412" hidden="1"/>
    <col min="4103" max="4103" width="7.109375" style="412" hidden="1"/>
    <col min="4104" max="4104" width="19" style="412" hidden="1"/>
    <col min="4105" max="4105" width="9.109375" style="412" hidden="1"/>
    <col min="4106" max="4106" width="29.88671875" style="412" hidden="1"/>
    <col min="4107" max="4107" width="3.5546875" style="412" hidden="1"/>
    <col min="4108" max="4352" width="9.109375" style="412" hidden="1"/>
    <col min="4353" max="4353" width="8.44140625" style="412" hidden="1"/>
    <col min="4354" max="4354" width="12.5546875" style="412" hidden="1"/>
    <col min="4355" max="4355" width="5" style="412" hidden="1"/>
    <col min="4356" max="4356" width="2.109375" style="412" hidden="1"/>
    <col min="4357" max="4357" width="12.6640625" style="412" hidden="1"/>
    <col min="4358" max="4358" width="12.33203125" style="412" hidden="1"/>
    <col min="4359" max="4359" width="7.109375" style="412" hidden="1"/>
    <col min="4360" max="4360" width="19" style="412" hidden="1"/>
    <col min="4361" max="4361" width="9.109375" style="412" hidden="1"/>
    <col min="4362" max="4362" width="29.88671875" style="412" hidden="1"/>
    <col min="4363" max="4363" width="3.5546875" style="412" hidden="1"/>
    <col min="4364" max="4608" width="9.109375" style="412" hidden="1"/>
    <col min="4609" max="4609" width="8.44140625" style="412" hidden="1"/>
    <col min="4610" max="4610" width="12.5546875" style="412" hidden="1"/>
    <col min="4611" max="4611" width="5" style="412" hidden="1"/>
    <col min="4612" max="4612" width="2.109375" style="412" hidden="1"/>
    <col min="4613" max="4613" width="12.6640625" style="412" hidden="1"/>
    <col min="4614" max="4614" width="12.33203125" style="412" hidden="1"/>
    <col min="4615" max="4615" width="7.109375" style="412" hidden="1"/>
    <col min="4616" max="4616" width="19" style="412" hidden="1"/>
    <col min="4617" max="4617" width="9.109375" style="412" hidden="1"/>
    <col min="4618" max="4618" width="29.88671875" style="412" hidden="1"/>
    <col min="4619" max="4619" width="3.5546875" style="412" hidden="1"/>
    <col min="4620" max="4864" width="9.109375" style="412" hidden="1"/>
    <col min="4865" max="4865" width="8.44140625" style="412" hidden="1"/>
    <col min="4866" max="4866" width="12.5546875" style="412" hidden="1"/>
    <col min="4867" max="4867" width="5" style="412" hidden="1"/>
    <col min="4868" max="4868" width="2.109375" style="412" hidden="1"/>
    <col min="4869" max="4869" width="12.6640625" style="412" hidden="1"/>
    <col min="4870" max="4870" width="12.33203125" style="412" hidden="1"/>
    <col min="4871" max="4871" width="7.109375" style="412" hidden="1"/>
    <col min="4872" max="4872" width="19" style="412" hidden="1"/>
    <col min="4873" max="4873" width="9.109375" style="412" hidden="1"/>
    <col min="4874" max="4874" width="29.88671875" style="412" hidden="1"/>
    <col min="4875" max="4875" width="3.5546875" style="412" hidden="1"/>
    <col min="4876" max="5120" width="9.109375" style="412" hidden="1"/>
    <col min="5121" max="5121" width="8.44140625" style="412" hidden="1"/>
    <col min="5122" max="5122" width="12.5546875" style="412" hidden="1"/>
    <col min="5123" max="5123" width="5" style="412" hidden="1"/>
    <col min="5124" max="5124" width="2.109375" style="412" hidden="1"/>
    <col min="5125" max="5125" width="12.6640625" style="412" hidden="1"/>
    <col min="5126" max="5126" width="12.33203125" style="412" hidden="1"/>
    <col min="5127" max="5127" width="7.109375" style="412" hidden="1"/>
    <col min="5128" max="5128" width="19" style="412" hidden="1"/>
    <col min="5129" max="5129" width="9.109375" style="412" hidden="1"/>
    <col min="5130" max="5130" width="29.88671875" style="412" hidden="1"/>
    <col min="5131" max="5131" width="3.5546875" style="412" hidden="1"/>
    <col min="5132" max="5376" width="9.109375" style="412" hidden="1"/>
    <col min="5377" max="5377" width="8.44140625" style="412" hidden="1"/>
    <col min="5378" max="5378" width="12.5546875" style="412" hidden="1"/>
    <col min="5379" max="5379" width="5" style="412" hidden="1"/>
    <col min="5380" max="5380" width="2.109375" style="412" hidden="1"/>
    <col min="5381" max="5381" width="12.6640625" style="412" hidden="1"/>
    <col min="5382" max="5382" width="12.33203125" style="412" hidden="1"/>
    <col min="5383" max="5383" width="7.109375" style="412" hidden="1"/>
    <col min="5384" max="5384" width="19" style="412" hidden="1"/>
    <col min="5385" max="5385" width="9.109375" style="412" hidden="1"/>
    <col min="5386" max="5386" width="29.88671875" style="412" hidden="1"/>
    <col min="5387" max="5387" width="3.5546875" style="412" hidden="1"/>
    <col min="5388" max="5632" width="9.109375" style="412" hidden="1"/>
    <col min="5633" max="5633" width="8.44140625" style="412" hidden="1"/>
    <col min="5634" max="5634" width="12.5546875" style="412" hidden="1"/>
    <col min="5635" max="5635" width="5" style="412" hidden="1"/>
    <col min="5636" max="5636" width="2.109375" style="412" hidden="1"/>
    <col min="5637" max="5637" width="12.6640625" style="412" hidden="1"/>
    <col min="5638" max="5638" width="12.33203125" style="412" hidden="1"/>
    <col min="5639" max="5639" width="7.109375" style="412" hidden="1"/>
    <col min="5640" max="5640" width="19" style="412" hidden="1"/>
    <col min="5641" max="5641" width="9.109375" style="412" hidden="1"/>
    <col min="5642" max="5642" width="29.88671875" style="412" hidden="1"/>
    <col min="5643" max="5643" width="3.5546875" style="412" hidden="1"/>
    <col min="5644" max="5888" width="9.109375" style="412" hidden="1"/>
    <col min="5889" max="5889" width="8.44140625" style="412" hidden="1"/>
    <col min="5890" max="5890" width="12.5546875" style="412" hidden="1"/>
    <col min="5891" max="5891" width="5" style="412" hidden="1"/>
    <col min="5892" max="5892" width="2.109375" style="412" hidden="1"/>
    <col min="5893" max="5893" width="12.6640625" style="412" hidden="1"/>
    <col min="5894" max="5894" width="12.33203125" style="412" hidden="1"/>
    <col min="5895" max="5895" width="7.109375" style="412" hidden="1"/>
    <col min="5896" max="5896" width="19" style="412" hidden="1"/>
    <col min="5897" max="5897" width="9.109375" style="412" hidden="1"/>
    <col min="5898" max="5898" width="29.88671875" style="412" hidden="1"/>
    <col min="5899" max="5899" width="3.5546875" style="412" hidden="1"/>
    <col min="5900" max="6144" width="9.109375" style="412" hidden="1"/>
    <col min="6145" max="6145" width="8.44140625" style="412" hidden="1"/>
    <col min="6146" max="6146" width="12.5546875" style="412" hidden="1"/>
    <col min="6147" max="6147" width="5" style="412" hidden="1"/>
    <col min="6148" max="6148" width="2.109375" style="412" hidden="1"/>
    <col min="6149" max="6149" width="12.6640625" style="412" hidden="1"/>
    <col min="6150" max="6150" width="12.33203125" style="412" hidden="1"/>
    <col min="6151" max="6151" width="7.109375" style="412" hidden="1"/>
    <col min="6152" max="6152" width="19" style="412" hidden="1"/>
    <col min="6153" max="6153" width="9.109375" style="412" hidden="1"/>
    <col min="6154" max="6154" width="29.88671875" style="412" hidden="1"/>
    <col min="6155" max="6155" width="3.5546875" style="412" hidden="1"/>
    <col min="6156" max="6400" width="9.109375" style="412" hidden="1"/>
    <col min="6401" max="6401" width="8.44140625" style="412" hidden="1"/>
    <col min="6402" max="6402" width="12.5546875" style="412" hidden="1"/>
    <col min="6403" max="6403" width="5" style="412" hidden="1"/>
    <col min="6404" max="6404" width="2.109375" style="412" hidden="1"/>
    <col min="6405" max="6405" width="12.6640625" style="412" hidden="1"/>
    <col min="6406" max="6406" width="12.33203125" style="412" hidden="1"/>
    <col min="6407" max="6407" width="7.109375" style="412" hidden="1"/>
    <col min="6408" max="6408" width="19" style="412" hidden="1"/>
    <col min="6409" max="6409" width="9.109375" style="412" hidden="1"/>
    <col min="6410" max="6410" width="29.88671875" style="412" hidden="1"/>
    <col min="6411" max="6411" width="3.5546875" style="412" hidden="1"/>
    <col min="6412" max="6656" width="9.109375" style="412" hidden="1"/>
    <col min="6657" max="6657" width="8.44140625" style="412" hidden="1"/>
    <col min="6658" max="6658" width="12.5546875" style="412" hidden="1"/>
    <col min="6659" max="6659" width="5" style="412" hidden="1"/>
    <col min="6660" max="6660" width="2.109375" style="412" hidden="1"/>
    <col min="6661" max="6661" width="12.6640625" style="412" hidden="1"/>
    <col min="6662" max="6662" width="12.33203125" style="412" hidden="1"/>
    <col min="6663" max="6663" width="7.109375" style="412" hidden="1"/>
    <col min="6664" max="6664" width="19" style="412" hidden="1"/>
    <col min="6665" max="6665" width="9.109375" style="412" hidden="1"/>
    <col min="6666" max="6666" width="29.88671875" style="412" hidden="1"/>
    <col min="6667" max="6667" width="3.5546875" style="412" hidden="1"/>
    <col min="6668" max="6912" width="9.109375" style="412" hidden="1"/>
    <col min="6913" max="6913" width="8.44140625" style="412" hidden="1"/>
    <col min="6914" max="6914" width="12.5546875" style="412" hidden="1"/>
    <col min="6915" max="6915" width="5" style="412" hidden="1"/>
    <col min="6916" max="6916" width="2.109375" style="412" hidden="1"/>
    <col min="6917" max="6917" width="12.6640625" style="412" hidden="1"/>
    <col min="6918" max="6918" width="12.33203125" style="412" hidden="1"/>
    <col min="6919" max="6919" width="7.109375" style="412" hidden="1"/>
    <col min="6920" max="6920" width="19" style="412" hidden="1"/>
    <col min="6921" max="6921" width="9.109375" style="412" hidden="1"/>
    <col min="6922" max="6922" width="29.88671875" style="412" hidden="1"/>
    <col min="6923" max="6923" width="3.5546875" style="412" hidden="1"/>
    <col min="6924" max="7168" width="9.109375" style="412" hidden="1"/>
    <col min="7169" max="7169" width="8.44140625" style="412" hidden="1"/>
    <col min="7170" max="7170" width="12.5546875" style="412" hidden="1"/>
    <col min="7171" max="7171" width="5" style="412" hidden="1"/>
    <col min="7172" max="7172" width="2.109375" style="412" hidden="1"/>
    <col min="7173" max="7173" width="12.6640625" style="412" hidden="1"/>
    <col min="7174" max="7174" width="12.33203125" style="412" hidden="1"/>
    <col min="7175" max="7175" width="7.109375" style="412" hidden="1"/>
    <col min="7176" max="7176" width="19" style="412" hidden="1"/>
    <col min="7177" max="7177" width="9.109375" style="412" hidden="1"/>
    <col min="7178" max="7178" width="29.88671875" style="412" hidden="1"/>
    <col min="7179" max="7179" width="3.5546875" style="412" hidden="1"/>
    <col min="7180" max="7424" width="9.109375" style="412" hidden="1"/>
    <col min="7425" max="7425" width="8.44140625" style="412" hidden="1"/>
    <col min="7426" max="7426" width="12.5546875" style="412" hidden="1"/>
    <col min="7427" max="7427" width="5" style="412" hidden="1"/>
    <col min="7428" max="7428" width="2.109375" style="412" hidden="1"/>
    <col min="7429" max="7429" width="12.6640625" style="412" hidden="1"/>
    <col min="7430" max="7430" width="12.33203125" style="412" hidden="1"/>
    <col min="7431" max="7431" width="7.109375" style="412" hidden="1"/>
    <col min="7432" max="7432" width="19" style="412" hidden="1"/>
    <col min="7433" max="7433" width="9.109375" style="412" hidden="1"/>
    <col min="7434" max="7434" width="29.88671875" style="412" hidden="1"/>
    <col min="7435" max="7435" width="3.5546875" style="412" hidden="1"/>
    <col min="7436" max="7680" width="9.109375" style="412" hidden="1"/>
    <col min="7681" max="7681" width="8.44140625" style="412" hidden="1"/>
    <col min="7682" max="7682" width="12.5546875" style="412" hidden="1"/>
    <col min="7683" max="7683" width="5" style="412" hidden="1"/>
    <col min="7684" max="7684" width="2.109375" style="412" hidden="1"/>
    <col min="7685" max="7685" width="12.6640625" style="412" hidden="1"/>
    <col min="7686" max="7686" width="12.33203125" style="412" hidden="1"/>
    <col min="7687" max="7687" width="7.109375" style="412" hidden="1"/>
    <col min="7688" max="7688" width="19" style="412" hidden="1"/>
    <col min="7689" max="7689" width="9.109375" style="412" hidden="1"/>
    <col min="7690" max="7690" width="29.88671875" style="412" hidden="1"/>
    <col min="7691" max="7691" width="3.5546875" style="412" hidden="1"/>
    <col min="7692" max="7936" width="9.109375" style="412" hidden="1"/>
    <col min="7937" max="7937" width="8.44140625" style="412" hidden="1"/>
    <col min="7938" max="7938" width="12.5546875" style="412" hidden="1"/>
    <col min="7939" max="7939" width="5" style="412" hidden="1"/>
    <col min="7940" max="7940" width="2.109375" style="412" hidden="1"/>
    <col min="7941" max="7941" width="12.6640625" style="412" hidden="1"/>
    <col min="7942" max="7942" width="12.33203125" style="412" hidden="1"/>
    <col min="7943" max="7943" width="7.109375" style="412" hidden="1"/>
    <col min="7944" max="7944" width="19" style="412" hidden="1"/>
    <col min="7945" max="7945" width="9.109375" style="412" hidden="1"/>
    <col min="7946" max="7946" width="29.88671875" style="412" hidden="1"/>
    <col min="7947" max="7947" width="3.5546875" style="412" hidden="1"/>
    <col min="7948" max="8192" width="9.109375" style="412" hidden="1"/>
    <col min="8193" max="8193" width="8.44140625" style="412" hidden="1"/>
    <col min="8194" max="8194" width="12.5546875" style="412" hidden="1"/>
    <col min="8195" max="8195" width="5" style="412" hidden="1"/>
    <col min="8196" max="8196" width="2.109375" style="412" hidden="1"/>
    <col min="8197" max="8197" width="12.6640625" style="412" hidden="1"/>
    <col min="8198" max="8198" width="12.33203125" style="412" hidden="1"/>
    <col min="8199" max="8199" width="7.109375" style="412" hidden="1"/>
    <col min="8200" max="8200" width="19" style="412" hidden="1"/>
    <col min="8201" max="8201" width="9.109375" style="412" hidden="1"/>
    <col min="8202" max="8202" width="29.88671875" style="412" hidden="1"/>
    <col min="8203" max="8203" width="3.5546875" style="412" hidden="1"/>
    <col min="8204" max="8448" width="9.109375" style="412" hidden="1"/>
    <col min="8449" max="8449" width="8.44140625" style="412" hidden="1"/>
    <col min="8450" max="8450" width="12.5546875" style="412" hidden="1"/>
    <col min="8451" max="8451" width="5" style="412" hidden="1"/>
    <col min="8452" max="8452" width="2.109375" style="412" hidden="1"/>
    <col min="8453" max="8453" width="12.6640625" style="412" hidden="1"/>
    <col min="8454" max="8454" width="12.33203125" style="412" hidden="1"/>
    <col min="8455" max="8455" width="7.109375" style="412" hidden="1"/>
    <col min="8456" max="8456" width="19" style="412" hidden="1"/>
    <col min="8457" max="8457" width="9.109375" style="412" hidden="1"/>
    <col min="8458" max="8458" width="29.88671875" style="412" hidden="1"/>
    <col min="8459" max="8459" width="3.5546875" style="412" hidden="1"/>
    <col min="8460" max="8704" width="9.109375" style="412" hidden="1"/>
    <col min="8705" max="8705" width="8.44140625" style="412" hidden="1"/>
    <col min="8706" max="8706" width="12.5546875" style="412" hidden="1"/>
    <col min="8707" max="8707" width="5" style="412" hidden="1"/>
    <col min="8708" max="8708" width="2.109375" style="412" hidden="1"/>
    <col min="8709" max="8709" width="12.6640625" style="412" hidden="1"/>
    <col min="8710" max="8710" width="12.33203125" style="412" hidden="1"/>
    <col min="8711" max="8711" width="7.109375" style="412" hidden="1"/>
    <col min="8712" max="8712" width="19" style="412" hidden="1"/>
    <col min="8713" max="8713" width="9.109375" style="412" hidden="1"/>
    <col min="8714" max="8714" width="29.88671875" style="412" hidden="1"/>
    <col min="8715" max="8715" width="3.5546875" style="412" hidden="1"/>
    <col min="8716" max="8960" width="9.109375" style="412" hidden="1"/>
    <col min="8961" max="8961" width="8.44140625" style="412" hidden="1"/>
    <col min="8962" max="8962" width="12.5546875" style="412" hidden="1"/>
    <col min="8963" max="8963" width="5" style="412" hidden="1"/>
    <col min="8964" max="8964" width="2.109375" style="412" hidden="1"/>
    <col min="8965" max="8965" width="12.6640625" style="412" hidden="1"/>
    <col min="8966" max="8966" width="12.33203125" style="412" hidden="1"/>
    <col min="8967" max="8967" width="7.109375" style="412" hidden="1"/>
    <col min="8968" max="8968" width="19" style="412" hidden="1"/>
    <col min="8969" max="8969" width="9.109375" style="412" hidden="1"/>
    <col min="8970" max="8970" width="29.88671875" style="412" hidden="1"/>
    <col min="8971" max="8971" width="3.5546875" style="412" hidden="1"/>
    <col min="8972" max="9216" width="9.109375" style="412" hidden="1"/>
    <col min="9217" max="9217" width="8.44140625" style="412" hidden="1"/>
    <col min="9218" max="9218" width="12.5546875" style="412" hidden="1"/>
    <col min="9219" max="9219" width="5" style="412" hidden="1"/>
    <col min="9220" max="9220" width="2.109375" style="412" hidden="1"/>
    <col min="9221" max="9221" width="12.6640625" style="412" hidden="1"/>
    <col min="9222" max="9222" width="12.33203125" style="412" hidden="1"/>
    <col min="9223" max="9223" width="7.109375" style="412" hidden="1"/>
    <col min="9224" max="9224" width="19" style="412" hidden="1"/>
    <col min="9225" max="9225" width="9.109375" style="412" hidden="1"/>
    <col min="9226" max="9226" width="29.88671875" style="412" hidden="1"/>
    <col min="9227" max="9227" width="3.5546875" style="412" hidden="1"/>
    <col min="9228" max="9472" width="9.109375" style="412" hidden="1"/>
    <col min="9473" max="9473" width="8.44140625" style="412" hidden="1"/>
    <col min="9474" max="9474" width="12.5546875" style="412" hidden="1"/>
    <col min="9475" max="9475" width="5" style="412" hidden="1"/>
    <col min="9476" max="9476" width="2.109375" style="412" hidden="1"/>
    <col min="9477" max="9477" width="12.6640625" style="412" hidden="1"/>
    <col min="9478" max="9478" width="12.33203125" style="412" hidden="1"/>
    <col min="9479" max="9479" width="7.109375" style="412" hidden="1"/>
    <col min="9480" max="9480" width="19" style="412" hidden="1"/>
    <col min="9481" max="9481" width="9.109375" style="412" hidden="1"/>
    <col min="9482" max="9482" width="29.88671875" style="412" hidden="1"/>
    <col min="9483" max="9483" width="3.5546875" style="412" hidden="1"/>
    <col min="9484" max="9728" width="9.109375" style="412" hidden="1"/>
    <col min="9729" max="9729" width="8.44140625" style="412" hidden="1"/>
    <col min="9730" max="9730" width="12.5546875" style="412" hidden="1"/>
    <col min="9731" max="9731" width="5" style="412" hidden="1"/>
    <col min="9732" max="9732" width="2.109375" style="412" hidden="1"/>
    <col min="9733" max="9733" width="12.6640625" style="412" hidden="1"/>
    <col min="9734" max="9734" width="12.33203125" style="412" hidden="1"/>
    <col min="9735" max="9735" width="7.109375" style="412" hidden="1"/>
    <col min="9736" max="9736" width="19" style="412" hidden="1"/>
    <col min="9737" max="9737" width="9.109375" style="412" hidden="1"/>
    <col min="9738" max="9738" width="29.88671875" style="412" hidden="1"/>
    <col min="9739" max="9739" width="3.5546875" style="412" hidden="1"/>
    <col min="9740" max="9984" width="9.109375" style="412" hidden="1"/>
    <col min="9985" max="9985" width="8.44140625" style="412" hidden="1"/>
    <col min="9986" max="9986" width="12.5546875" style="412" hidden="1"/>
    <col min="9987" max="9987" width="5" style="412" hidden="1"/>
    <col min="9988" max="9988" width="2.109375" style="412" hidden="1"/>
    <col min="9989" max="9989" width="12.6640625" style="412" hidden="1"/>
    <col min="9990" max="9990" width="12.33203125" style="412" hidden="1"/>
    <col min="9991" max="9991" width="7.109375" style="412" hidden="1"/>
    <col min="9992" max="9992" width="19" style="412" hidden="1"/>
    <col min="9993" max="9993" width="9.109375" style="412" hidden="1"/>
    <col min="9994" max="9994" width="29.88671875" style="412" hidden="1"/>
    <col min="9995" max="9995" width="3.5546875" style="412" hidden="1"/>
    <col min="9996" max="10240" width="9.109375" style="412" hidden="1"/>
    <col min="10241" max="10241" width="8.44140625" style="412" hidden="1"/>
    <col min="10242" max="10242" width="12.5546875" style="412" hidden="1"/>
    <col min="10243" max="10243" width="5" style="412" hidden="1"/>
    <col min="10244" max="10244" width="2.109375" style="412" hidden="1"/>
    <col min="10245" max="10245" width="12.6640625" style="412" hidden="1"/>
    <col min="10246" max="10246" width="12.33203125" style="412" hidden="1"/>
    <col min="10247" max="10247" width="7.109375" style="412" hidden="1"/>
    <col min="10248" max="10248" width="19" style="412" hidden="1"/>
    <col min="10249" max="10249" width="9.109375" style="412" hidden="1"/>
    <col min="10250" max="10250" width="29.88671875" style="412" hidden="1"/>
    <col min="10251" max="10251" width="3.5546875" style="412" hidden="1"/>
    <col min="10252" max="10496" width="9.109375" style="412" hidden="1"/>
    <col min="10497" max="10497" width="8.44140625" style="412" hidden="1"/>
    <col min="10498" max="10498" width="12.5546875" style="412" hidden="1"/>
    <col min="10499" max="10499" width="5" style="412" hidden="1"/>
    <col min="10500" max="10500" width="2.109375" style="412" hidden="1"/>
    <col min="10501" max="10501" width="12.6640625" style="412" hidden="1"/>
    <col min="10502" max="10502" width="12.33203125" style="412" hidden="1"/>
    <col min="10503" max="10503" width="7.109375" style="412" hidden="1"/>
    <col min="10504" max="10504" width="19" style="412" hidden="1"/>
    <col min="10505" max="10505" width="9.109375" style="412" hidden="1"/>
    <col min="10506" max="10506" width="29.88671875" style="412" hidden="1"/>
    <col min="10507" max="10507" width="3.5546875" style="412" hidden="1"/>
    <col min="10508" max="10752" width="9.109375" style="412" hidden="1"/>
    <col min="10753" max="10753" width="8.44140625" style="412" hidden="1"/>
    <col min="10754" max="10754" width="12.5546875" style="412" hidden="1"/>
    <col min="10755" max="10755" width="5" style="412" hidden="1"/>
    <col min="10756" max="10756" width="2.109375" style="412" hidden="1"/>
    <col min="10757" max="10757" width="12.6640625" style="412" hidden="1"/>
    <col min="10758" max="10758" width="12.33203125" style="412" hidden="1"/>
    <col min="10759" max="10759" width="7.109375" style="412" hidden="1"/>
    <col min="10760" max="10760" width="19" style="412" hidden="1"/>
    <col min="10761" max="10761" width="9.109375" style="412" hidden="1"/>
    <col min="10762" max="10762" width="29.88671875" style="412" hidden="1"/>
    <col min="10763" max="10763" width="3.5546875" style="412" hidden="1"/>
    <col min="10764" max="11008" width="9.109375" style="412" hidden="1"/>
    <col min="11009" max="11009" width="8.44140625" style="412" hidden="1"/>
    <col min="11010" max="11010" width="12.5546875" style="412" hidden="1"/>
    <col min="11011" max="11011" width="5" style="412" hidden="1"/>
    <col min="11012" max="11012" width="2.109375" style="412" hidden="1"/>
    <col min="11013" max="11013" width="12.6640625" style="412" hidden="1"/>
    <col min="11014" max="11014" width="12.33203125" style="412" hidden="1"/>
    <col min="11015" max="11015" width="7.109375" style="412" hidden="1"/>
    <col min="11016" max="11016" width="19" style="412" hidden="1"/>
    <col min="11017" max="11017" width="9.109375" style="412" hidden="1"/>
    <col min="11018" max="11018" width="29.88671875" style="412" hidden="1"/>
    <col min="11019" max="11019" width="3.5546875" style="412" hidden="1"/>
    <col min="11020" max="11264" width="9.109375" style="412" hidden="1"/>
    <col min="11265" max="11265" width="8.44140625" style="412" hidden="1"/>
    <col min="11266" max="11266" width="12.5546875" style="412" hidden="1"/>
    <col min="11267" max="11267" width="5" style="412" hidden="1"/>
    <col min="11268" max="11268" width="2.109375" style="412" hidden="1"/>
    <col min="11269" max="11269" width="12.6640625" style="412" hidden="1"/>
    <col min="11270" max="11270" width="12.33203125" style="412" hidden="1"/>
    <col min="11271" max="11271" width="7.109375" style="412" hidden="1"/>
    <col min="11272" max="11272" width="19" style="412" hidden="1"/>
    <col min="11273" max="11273" width="9.109375" style="412" hidden="1"/>
    <col min="11274" max="11274" width="29.88671875" style="412" hidden="1"/>
    <col min="11275" max="11275" width="3.5546875" style="412" hidden="1"/>
    <col min="11276" max="11520" width="9.109375" style="412" hidden="1"/>
    <col min="11521" max="11521" width="8.44140625" style="412" hidden="1"/>
    <col min="11522" max="11522" width="12.5546875" style="412" hidden="1"/>
    <col min="11523" max="11523" width="5" style="412" hidden="1"/>
    <col min="11524" max="11524" width="2.109375" style="412" hidden="1"/>
    <col min="11525" max="11525" width="12.6640625" style="412" hidden="1"/>
    <col min="11526" max="11526" width="12.33203125" style="412" hidden="1"/>
    <col min="11527" max="11527" width="7.109375" style="412" hidden="1"/>
    <col min="11528" max="11528" width="19" style="412" hidden="1"/>
    <col min="11529" max="11529" width="9.109375" style="412" hidden="1"/>
    <col min="11530" max="11530" width="29.88671875" style="412" hidden="1"/>
    <col min="11531" max="11531" width="3.5546875" style="412" hidden="1"/>
    <col min="11532" max="11776" width="9.109375" style="412" hidden="1"/>
    <col min="11777" max="11777" width="8.44140625" style="412" hidden="1"/>
    <col min="11778" max="11778" width="12.5546875" style="412" hidden="1"/>
    <col min="11779" max="11779" width="5" style="412" hidden="1"/>
    <col min="11780" max="11780" width="2.109375" style="412" hidden="1"/>
    <col min="11781" max="11781" width="12.6640625" style="412" hidden="1"/>
    <col min="11782" max="11782" width="12.33203125" style="412" hidden="1"/>
    <col min="11783" max="11783" width="7.109375" style="412" hidden="1"/>
    <col min="11784" max="11784" width="19" style="412" hidden="1"/>
    <col min="11785" max="11785" width="9.109375" style="412" hidden="1"/>
    <col min="11786" max="11786" width="29.88671875" style="412" hidden="1"/>
    <col min="11787" max="11787" width="3.5546875" style="412" hidden="1"/>
    <col min="11788" max="12032" width="9.109375" style="412" hidden="1"/>
    <col min="12033" max="12033" width="8.44140625" style="412" hidden="1"/>
    <col min="12034" max="12034" width="12.5546875" style="412" hidden="1"/>
    <col min="12035" max="12035" width="5" style="412" hidden="1"/>
    <col min="12036" max="12036" width="2.109375" style="412" hidden="1"/>
    <col min="12037" max="12037" width="12.6640625" style="412" hidden="1"/>
    <col min="12038" max="12038" width="12.33203125" style="412" hidden="1"/>
    <col min="12039" max="12039" width="7.109375" style="412" hidden="1"/>
    <col min="12040" max="12040" width="19" style="412" hidden="1"/>
    <col min="12041" max="12041" width="9.109375" style="412" hidden="1"/>
    <col min="12042" max="12042" width="29.88671875" style="412" hidden="1"/>
    <col min="12043" max="12043" width="3.5546875" style="412" hidden="1"/>
    <col min="12044" max="12288" width="9.109375" style="412" hidden="1"/>
    <col min="12289" max="12289" width="8.44140625" style="412" hidden="1"/>
    <col min="12290" max="12290" width="12.5546875" style="412" hidden="1"/>
    <col min="12291" max="12291" width="5" style="412" hidden="1"/>
    <col min="12292" max="12292" width="2.109375" style="412" hidden="1"/>
    <col min="12293" max="12293" width="12.6640625" style="412" hidden="1"/>
    <col min="12294" max="12294" width="12.33203125" style="412" hidden="1"/>
    <col min="12295" max="12295" width="7.109375" style="412" hidden="1"/>
    <col min="12296" max="12296" width="19" style="412" hidden="1"/>
    <col min="12297" max="12297" width="9.109375" style="412" hidden="1"/>
    <col min="12298" max="12298" width="29.88671875" style="412" hidden="1"/>
    <col min="12299" max="12299" width="3.5546875" style="412" hidden="1"/>
    <col min="12300" max="12544" width="9.109375" style="412" hidden="1"/>
    <col min="12545" max="12545" width="8.44140625" style="412" hidden="1"/>
    <col min="12546" max="12546" width="12.5546875" style="412" hidden="1"/>
    <col min="12547" max="12547" width="5" style="412" hidden="1"/>
    <col min="12548" max="12548" width="2.109375" style="412" hidden="1"/>
    <col min="12549" max="12549" width="12.6640625" style="412" hidden="1"/>
    <col min="12550" max="12550" width="12.33203125" style="412" hidden="1"/>
    <col min="12551" max="12551" width="7.109375" style="412" hidden="1"/>
    <col min="12552" max="12552" width="19" style="412" hidden="1"/>
    <col min="12553" max="12553" width="9.109375" style="412" hidden="1"/>
    <col min="12554" max="12554" width="29.88671875" style="412" hidden="1"/>
    <col min="12555" max="12555" width="3.5546875" style="412" hidden="1"/>
    <col min="12556" max="12800" width="9.109375" style="412" hidden="1"/>
    <col min="12801" max="12801" width="8.44140625" style="412" hidden="1"/>
    <col min="12802" max="12802" width="12.5546875" style="412" hidden="1"/>
    <col min="12803" max="12803" width="5" style="412" hidden="1"/>
    <col min="12804" max="12804" width="2.109375" style="412" hidden="1"/>
    <col min="12805" max="12805" width="12.6640625" style="412" hidden="1"/>
    <col min="12806" max="12806" width="12.33203125" style="412" hidden="1"/>
    <col min="12807" max="12807" width="7.109375" style="412" hidden="1"/>
    <col min="12808" max="12808" width="19" style="412" hidden="1"/>
    <col min="12809" max="12809" width="9.109375" style="412" hidden="1"/>
    <col min="12810" max="12810" width="29.88671875" style="412" hidden="1"/>
    <col min="12811" max="12811" width="3.5546875" style="412" hidden="1"/>
    <col min="12812" max="13056" width="9.109375" style="412" hidden="1"/>
    <col min="13057" max="13057" width="8.44140625" style="412" hidden="1"/>
    <col min="13058" max="13058" width="12.5546875" style="412" hidden="1"/>
    <col min="13059" max="13059" width="5" style="412" hidden="1"/>
    <col min="13060" max="13060" width="2.109375" style="412" hidden="1"/>
    <col min="13061" max="13061" width="12.6640625" style="412" hidden="1"/>
    <col min="13062" max="13062" width="12.33203125" style="412" hidden="1"/>
    <col min="13063" max="13063" width="7.109375" style="412" hidden="1"/>
    <col min="13064" max="13064" width="19" style="412" hidden="1"/>
    <col min="13065" max="13065" width="9.109375" style="412" hidden="1"/>
    <col min="13066" max="13066" width="29.88671875" style="412" hidden="1"/>
    <col min="13067" max="13067" width="3.5546875" style="412" hidden="1"/>
    <col min="13068" max="13312" width="9.109375" style="412" hidden="1"/>
    <col min="13313" max="13313" width="8.44140625" style="412" hidden="1"/>
    <col min="13314" max="13314" width="12.5546875" style="412" hidden="1"/>
    <col min="13315" max="13315" width="5" style="412" hidden="1"/>
    <col min="13316" max="13316" width="2.109375" style="412" hidden="1"/>
    <col min="13317" max="13317" width="12.6640625" style="412" hidden="1"/>
    <col min="13318" max="13318" width="12.33203125" style="412" hidden="1"/>
    <col min="13319" max="13319" width="7.109375" style="412" hidden="1"/>
    <col min="13320" max="13320" width="19" style="412" hidden="1"/>
    <col min="13321" max="13321" width="9.109375" style="412" hidden="1"/>
    <col min="13322" max="13322" width="29.88671875" style="412" hidden="1"/>
    <col min="13323" max="13323" width="3.5546875" style="412" hidden="1"/>
    <col min="13324" max="13568" width="9.109375" style="412" hidden="1"/>
    <col min="13569" max="13569" width="8.44140625" style="412" hidden="1"/>
    <col min="13570" max="13570" width="12.5546875" style="412" hidden="1"/>
    <col min="13571" max="13571" width="5" style="412" hidden="1"/>
    <col min="13572" max="13572" width="2.109375" style="412" hidden="1"/>
    <col min="13573" max="13573" width="12.6640625" style="412" hidden="1"/>
    <col min="13574" max="13574" width="12.33203125" style="412" hidden="1"/>
    <col min="13575" max="13575" width="7.109375" style="412" hidden="1"/>
    <col min="13576" max="13576" width="19" style="412" hidden="1"/>
    <col min="13577" max="13577" width="9.109375" style="412" hidden="1"/>
    <col min="13578" max="13578" width="29.88671875" style="412" hidden="1"/>
    <col min="13579" max="13579" width="3.5546875" style="412" hidden="1"/>
    <col min="13580" max="13824" width="9.109375" style="412" hidden="1"/>
    <col min="13825" max="13825" width="8.44140625" style="412" hidden="1"/>
    <col min="13826" max="13826" width="12.5546875" style="412" hidden="1"/>
    <col min="13827" max="13827" width="5" style="412" hidden="1"/>
    <col min="13828" max="13828" width="2.109375" style="412" hidden="1"/>
    <col min="13829" max="13829" width="12.6640625" style="412" hidden="1"/>
    <col min="13830" max="13830" width="12.33203125" style="412" hidden="1"/>
    <col min="13831" max="13831" width="7.109375" style="412" hidden="1"/>
    <col min="13832" max="13832" width="19" style="412" hidden="1"/>
    <col min="13833" max="13833" width="9.109375" style="412" hidden="1"/>
    <col min="13834" max="13834" width="29.88671875" style="412" hidden="1"/>
    <col min="13835" max="13835" width="3.5546875" style="412" hidden="1"/>
    <col min="13836" max="14080" width="9.109375" style="412" hidden="1"/>
    <col min="14081" max="14081" width="8.44140625" style="412" hidden="1"/>
    <col min="14082" max="14082" width="12.5546875" style="412" hidden="1"/>
    <col min="14083" max="14083" width="5" style="412" hidden="1"/>
    <col min="14084" max="14084" width="2.109375" style="412" hidden="1"/>
    <col min="14085" max="14085" width="12.6640625" style="412" hidden="1"/>
    <col min="14086" max="14086" width="12.33203125" style="412" hidden="1"/>
    <col min="14087" max="14087" width="7.109375" style="412" hidden="1"/>
    <col min="14088" max="14088" width="19" style="412" hidden="1"/>
    <col min="14089" max="14089" width="9.109375" style="412" hidden="1"/>
    <col min="14090" max="14090" width="29.88671875" style="412" hidden="1"/>
    <col min="14091" max="14091" width="3.5546875" style="412" hidden="1"/>
    <col min="14092" max="14336" width="9.109375" style="412" hidden="1"/>
    <col min="14337" max="14337" width="8.44140625" style="412" hidden="1"/>
    <col min="14338" max="14338" width="12.5546875" style="412" hidden="1"/>
    <col min="14339" max="14339" width="5" style="412" hidden="1"/>
    <col min="14340" max="14340" width="2.109375" style="412" hidden="1"/>
    <col min="14341" max="14341" width="12.6640625" style="412" hidden="1"/>
    <col min="14342" max="14342" width="12.33203125" style="412" hidden="1"/>
    <col min="14343" max="14343" width="7.109375" style="412" hidden="1"/>
    <col min="14344" max="14344" width="19" style="412" hidden="1"/>
    <col min="14345" max="14345" width="9.109375" style="412" hidden="1"/>
    <col min="14346" max="14346" width="29.88671875" style="412" hidden="1"/>
    <col min="14347" max="14347" width="3.5546875" style="412" hidden="1"/>
    <col min="14348" max="14592" width="9.109375" style="412" hidden="1"/>
    <col min="14593" max="14593" width="8.44140625" style="412" hidden="1"/>
    <col min="14594" max="14594" width="12.5546875" style="412" hidden="1"/>
    <col min="14595" max="14595" width="5" style="412" hidden="1"/>
    <col min="14596" max="14596" width="2.109375" style="412" hidden="1"/>
    <col min="14597" max="14597" width="12.6640625" style="412" hidden="1"/>
    <col min="14598" max="14598" width="12.33203125" style="412" hidden="1"/>
    <col min="14599" max="14599" width="7.109375" style="412" hidden="1"/>
    <col min="14600" max="14600" width="19" style="412" hidden="1"/>
    <col min="14601" max="14601" width="9.109375" style="412" hidden="1"/>
    <col min="14602" max="14602" width="29.88671875" style="412" hidden="1"/>
    <col min="14603" max="14603" width="3.5546875" style="412" hidden="1"/>
    <col min="14604" max="14848" width="9.109375" style="412" hidden="1"/>
    <col min="14849" max="14849" width="8.44140625" style="412" hidden="1"/>
    <col min="14850" max="14850" width="12.5546875" style="412" hidden="1"/>
    <col min="14851" max="14851" width="5" style="412" hidden="1"/>
    <col min="14852" max="14852" width="2.109375" style="412" hidden="1"/>
    <col min="14853" max="14853" width="12.6640625" style="412" hidden="1"/>
    <col min="14854" max="14854" width="12.33203125" style="412" hidden="1"/>
    <col min="14855" max="14855" width="7.109375" style="412" hidden="1"/>
    <col min="14856" max="14856" width="19" style="412" hidden="1"/>
    <col min="14857" max="14857" width="9.109375" style="412" hidden="1"/>
    <col min="14858" max="14858" width="29.88671875" style="412" hidden="1"/>
    <col min="14859" max="14859" width="3.5546875" style="412" hidden="1"/>
    <col min="14860" max="15104" width="9.109375" style="412" hidden="1"/>
    <col min="15105" max="15105" width="8.44140625" style="412" hidden="1"/>
    <col min="15106" max="15106" width="12.5546875" style="412" hidden="1"/>
    <col min="15107" max="15107" width="5" style="412" hidden="1"/>
    <col min="15108" max="15108" width="2.109375" style="412" hidden="1"/>
    <col min="15109" max="15109" width="12.6640625" style="412" hidden="1"/>
    <col min="15110" max="15110" width="12.33203125" style="412" hidden="1"/>
    <col min="15111" max="15111" width="7.109375" style="412" hidden="1"/>
    <col min="15112" max="15112" width="19" style="412" hidden="1"/>
    <col min="15113" max="15113" width="9.109375" style="412" hidden="1"/>
    <col min="15114" max="15114" width="29.88671875" style="412" hidden="1"/>
    <col min="15115" max="15115" width="3.5546875" style="412" hidden="1"/>
    <col min="15116" max="15360" width="9.109375" style="412" hidden="1"/>
    <col min="15361" max="15361" width="8.44140625" style="412" hidden="1"/>
    <col min="15362" max="15362" width="12.5546875" style="412" hidden="1"/>
    <col min="15363" max="15363" width="5" style="412" hidden="1"/>
    <col min="15364" max="15364" width="2.109375" style="412" hidden="1"/>
    <col min="15365" max="15365" width="12.6640625" style="412" hidden="1"/>
    <col min="15366" max="15366" width="12.33203125" style="412" hidden="1"/>
    <col min="15367" max="15367" width="7.109375" style="412" hidden="1"/>
    <col min="15368" max="15368" width="19" style="412" hidden="1"/>
    <col min="15369" max="15369" width="9.109375" style="412" hidden="1"/>
    <col min="15370" max="15370" width="29.88671875" style="412" hidden="1"/>
    <col min="15371" max="15371" width="3.5546875" style="412" hidden="1"/>
    <col min="15372" max="15616" width="9.109375" style="412" hidden="1"/>
    <col min="15617" max="15617" width="8.44140625" style="412" hidden="1"/>
    <col min="15618" max="15618" width="12.5546875" style="412" hidden="1"/>
    <col min="15619" max="15619" width="5" style="412" hidden="1"/>
    <col min="15620" max="15620" width="2.109375" style="412" hidden="1"/>
    <col min="15621" max="15621" width="12.6640625" style="412" hidden="1"/>
    <col min="15622" max="15622" width="12.33203125" style="412" hidden="1"/>
    <col min="15623" max="15623" width="7.109375" style="412" hidden="1"/>
    <col min="15624" max="15624" width="19" style="412" hidden="1"/>
    <col min="15625" max="15625" width="9.109375" style="412" hidden="1"/>
    <col min="15626" max="15626" width="29.88671875" style="412" hidden="1"/>
    <col min="15627" max="15627" width="3.5546875" style="412" hidden="1"/>
    <col min="15628" max="15872" width="9.109375" style="412" hidden="1"/>
    <col min="15873" max="15873" width="8.44140625" style="412" hidden="1"/>
    <col min="15874" max="15874" width="12.5546875" style="412" hidden="1"/>
    <col min="15875" max="15875" width="5" style="412" hidden="1"/>
    <col min="15876" max="15876" width="2.109375" style="412" hidden="1"/>
    <col min="15877" max="15877" width="12.6640625" style="412" hidden="1"/>
    <col min="15878" max="15878" width="12.33203125" style="412" hidden="1"/>
    <col min="15879" max="15879" width="7.109375" style="412" hidden="1"/>
    <col min="15880" max="15880" width="19" style="412" hidden="1"/>
    <col min="15881" max="15881" width="9.109375" style="412" hidden="1"/>
    <col min="15882" max="15882" width="29.88671875" style="412" hidden="1"/>
    <col min="15883" max="15883" width="3.5546875" style="412" hidden="1"/>
    <col min="15884" max="16128" width="9.109375" style="412" hidden="1"/>
    <col min="16129" max="16129" width="8.44140625" style="412" hidden="1"/>
    <col min="16130" max="16130" width="12.5546875" style="412" hidden="1"/>
    <col min="16131" max="16131" width="5" style="412" hidden="1"/>
    <col min="16132" max="16132" width="2.109375" style="412" hidden="1"/>
    <col min="16133" max="16133" width="12.6640625" style="412" hidden="1"/>
    <col min="16134" max="16134" width="12.33203125" style="412" hidden="1"/>
    <col min="16135" max="16135" width="7.109375" style="412" hidden="1"/>
    <col min="16136" max="16136" width="19" style="412" hidden="1"/>
    <col min="16137" max="16137" width="9.109375" style="412" hidden="1"/>
    <col min="16138" max="16138" width="29.88671875" style="412" hidden="1"/>
    <col min="16139" max="16139" width="3.5546875" style="412" hidden="1"/>
    <col min="16140" max="16384" width="9.109375" style="412" hidden="1"/>
  </cols>
  <sheetData>
    <row r="1" spans="1:23" ht="6" customHeight="1" x14ac:dyDescent="0.3">
      <c r="A1" s="539"/>
      <c r="B1" s="411"/>
      <c r="C1" s="411"/>
      <c r="D1" s="411"/>
      <c r="E1" s="411"/>
      <c r="F1" s="411"/>
      <c r="G1" s="411"/>
      <c r="H1" s="411"/>
      <c r="I1" s="411"/>
      <c r="J1" s="411"/>
      <c r="K1" s="411"/>
      <c r="L1" s="387"/>
    </row>
    <row r="2" spans="1:23" s="461" customFormat="1" ht="19.8" x14ac:dyDescent="0.4">
      <c r="A2" s="458"/>
      <c r="B2" s="798" t="s">
        <v>293</v>
      </c>
      <c r="C2" s="798"/>
      <c r="D2" s="798"/>
      <c r="E2" s="798"/>
      <c r="F2" s="798"/>
      <c r="G2" s="798"/>
      <c r="H2" s="798"/>
      <c r="I2" s="798"/>
      <c r="J2" s="798"/>
      <c r="K2" s="459"/>
      <c r="L2" s="460"/>
      <c r="Q2" s="740" t="s">
        <v>224</v>
      </c>
      <c r="R2" s="740"/>
      <c r="S2" s="740"/>
      <c r="T2" s="740"/>
      <c r="U2" s="740"/>
      <c r="V2" s="740"/>
      <c r="W2" s="740"/>
    </row>
    <row r="3" spans="1:23" s="461" customFormat="1" ht="15.75" customHeight="1" x14ac:dyDescent="0.4">
      <c r="A3" s="462"/>
      <c r="B3" s="805" t="s">
        <v>294</v>
      </c>
      <c r="C3" s="805"/>
      <c r="D3" s="805"/>
      <c r="E3" s="805"/>
      <c r="F3" s="805"/>
      <c r="G3" s="805"/>
      <c r="H3" s="805"/>
      <c r="I3" s="805"/>
      <c r="J3" s="805"/>
      <c r="K3" s="463"/>
      <c r="L3" s="464"/>
      <c r="Q3" s="740"/>
      <c r="R3" s="740"/>
      <c r="S3" s="740"/>
      <c r="T3" s="740"/>
      <c r="U3" s="740"/>
      <c r="V3" s="740"/>
      <c r="W3" s="740"/>
    </row>
    <row r="4" spans="1:23" x14ac:dyDescent="0.3">
      <c r="A4" s="414"/>
      <c r="B4" s="416" t="s">
        <v>295</v>
      </c>
      <c r="C4" s="417"/>
      <c r="D4" s="417"/>
      <c r="E4" s="413"/>
      <c r="F4" s="413"/>
      <c r="G4" s="413"/>
      <c r="H4" s="413"/>
      <c r="I4" s="417"/>
      <c r="J4" s="417"/>
      <c r="L4" s="415"/>
      <c r="Q4" s="740"/>
      <c r="R4" s="740"/>
      <c r="S4" s="740"/>
      <c r="T4" s="740"/>
      <c r="U4" s="740"/>
      <c r="V4" s="740"/>
      <c r="W4" s="740"/>
    </row>
    <row r="5" spans="1:23" s="424" customFormat="1" ht="17.25" customHeight="1" x14ac:dyDescent="0.3">
      <c r="A5" s="418"/>
      <c r="B5" s="419">
        <v>1</v>
      </c>
      <c r="C5" s="420" t="s">
        <v>296</v>
      </c>
      <c r="D5" s="421"/>
      <c r="E5" s="421"/>
      <c r="F5" s="421"/>
      <c r="G5" s="421"/>
      <c r="H5" s="421"/>
      <c r="I5" s="421"/>
      <c r="J5" s="421"/>
      <c r="K5" s="422"/>
      <c r="L5" s="423"/>
      <c r="Q5" s="740"/>
      <c r="R5" s="740"/>
      <c r="S5" s="740"/>
      <c r="T5" s="740"/>
      <c r="U5" s="740"/>
      <c r="V5" s="740"/>
      <c r="W5" s="740"/>
    </row>
    <row r="6" spans="1:23" s="424" customFormat="1" x14ac:dyDescent="0.3">
      <c r="A6" s="418"/>
      <c r="B6" s="419">
        <v>2</v>
      </c>
      <c r="C6" s="806" t="s">
        <v>297</v>
      </c>
      <c r="D6" s="806"/>
      <c r="E6" s="806"/>
      <c r="F6" s="806"/>
      <c r="G6" s="806"/>
      <c r="H6" s="806"/>
      <c r="I6" s="806"/>
      <c r="J6" s="806"/>
      <c r="K6" s="422"/>
      <c r="L6" s="423"/>
      <c r="Q6"/>
      <c r="R6"/>
      <c r="S6"/>
      <c r="T6" s="32"/>
      <c r="U6" s="105"/>
      <c r="V6" s="105"/>
      <c r="W6" s="32"/>
    </row>
    <row r="7" spans="1:23" s="424" customFormat="1" ht="19.5" customHeight="1" x14ac:dyDescent="0.3">
      <c r="A7" s="418"/>
      <c r="B7" s="419">
        <v>3</v>
      </c>
      <c r="C7" s="420" t="s">
        <v>298</v>
      </c>
      <c r="D7" s="421"/>
      <c r="E7" s="421"/>
      <c r="F7" s="421"/>
      <c r="G7" s="421"/>
      <c r="H7" s="421"/>
      <c r="I7" s="421"/>
      <c r="J7" s="421"/>
      <c r="K7" s="422"/>
      <c r="L7" s="423"/>
      <c r="Q7"/>
      <c r="R7"/>
      <c r="S7"/>
      <c r="T7" s="102" t="s">
        <v>174</v>
      </c>
      <c r="U7" s="101" t="s">
        <v>175</v>
      </c>
      <c r="V7" s="101" t="s">
        <v>176</v>
      </c>
      <c r="W7" s="101"/>
    </row>
    <row r="8" spans="1:23" s="424" customFormat="1" ht="19.5" customHeight="1" x14ac:dyDescent="0.3">
      <c r="A8" s="418"/>
      <c r="B8" s="419">
        <v>4</v>
      </c>
      <c r="C8" s="420" t="s">
        <v>698</v>
      </c>
      <c r="D8" s="421"/>
      <c r="E8" s="421"/>
      <c r="F8" s="421"/>
      <c r="G8" s="421"/>
      <c r="H8" s="421"/>
      <c r="I8" s="421"/>
      <c r="J8" s="421"/>
      <c r="K8" s="422"/>
      <c r="L8" s="423"/>
      <c r="Q8"/>
      <c r="R8"/>
      <c r="S8"/>
      <c r="T8" s="102"/>
      <c r="U8" s="101"/>
      <c r="V8" s="101"/>
      <c r="W8" s="101"/>
    </row>
    <row r="9" spans="1:23" s="424" customFormat="1" ht="19.5" customHeight="1" x14ac:dyDescent="0.3">
      <c r="A9" s="418"/>
      <c r="B9" s="419"/>
      <c r="C9" s="420" t="s">
        <v>700</v>
      </c>
      <c r="D9" s="421"/>
      <c r="E9" s="421"/>
      <c r="F9" s="421"/>
      <c r="G9" s="421"/>
      <c r="H9" s="421"/>
      <c r="I9" s="421"/>
      <c r="J9" s="421"/>
      <c r="K9" s="422"/>
      <c r="L9" s="423"/>
      <c r="Q9"/>
      <c r="R9"/>
      <c r="S9"/>
      <c r="T9" s="102"/>
      <c r="U9" s="101"/>
      <c r="V9" s="101"/>
      <c r="W9" s="101"/>
    </row>
    <row r="10" spans="1:23" ht="21.9" hidden="1" customHeight="1" x14ac:dyDescent="0.3">
      <c r="A10" s="388"/>
      <c r="B10" s="416"/>
      <c r="C10" s="425"/>
      <c r="D10" s="425"/>
      <c r="E10" s="425"/>
      <c r="F10" s="425"/>
      <c r="G10" s="425"/>
      <c r="H10" s="425"/>
      <c r="I10" s="425"/>
      <c r="J10" s="425"/>
      <c r="L10" s="389"/>
      <c r="Q10"/>
      <c r="R10"/>
      <c r="S10"/>
      <c r="T10" s="103"/>
      <c r="U10" s="104"/>
      <c r="V10" s="104"/>
      <c r="W10" s="104"/>
    </row>
    <row r="11" spans="1:23" ht="18" hidden="1" customHeight="1" x14ac:dyDescent="0.3">
      <c r="A11" s="390"/>
      <c r="B11" s="419"/>
      <c r="C11" s="420"/>
      <c r="D11" s="421"/>
      <c r="E11" s="421"/>
      <c r="F11" s="421"/>
      <c r="G11" s="421"/>
      <c r="H11" s="421"/>
      <c r="I11" s="421"/>
      <c r="J11" s="421"/>
      <c r="L11" s="391"/>
      <c r="Q11" s="29"/>
      <c r="R11" s="5"/>
      <c r="S11" s="5"/>
      <c r="T11" s="103" t="str">
        <f>G18</f>
        <v>Identification Marks:</v>
      </c>
      <c r="U11" s="104" t="str">
        <f>IF(I18="","Check","Validated")</f>
        <v>Validated</v>
      </c>
      <c r="V11" s="104" t="s">
        <v>2</v>
      </c>
      <c r="W11" s="104"/>
    </row>
    <row r="12" spans="1:23" ht="18" hidden="1" customHeight="1" x14ac:dyDescent="0.3">
      <c r="A12" s="390"/>
      <c r="B12" s="419"/>
      <c r="C12" s="420"/>
      <c r="D12" s="421"/>
      <c r="E12" s="421"/>
      <c r="F12" s="421"/>
      <c r="G12" s="421"/>
      <c r="H12" s="421"/>
      <c r="I12" s="421"/>
      <c r="J12" s="421"/>
      <c r="L12" s="391"/>
      <c r="Q12"/>
      <c r="R12"/>
      <c r="S12"/>
      <c r="T12" s="103" t="str">
        <f>C24</f>
        <v>Name of your family Physician</v>
      </c>
      <c r="U12" s="104" t="str">
        <f>IF(H24="","Check","Validated")</f>
        <v>Validated</v>
      </c>
      <c r="V12" s="104" t="s">
        <v>2</v>
      </c>
      <c r="W12" s="104"/>
    </row>
    <row r="13" spans="1:23" ht="6" customHeight="1" x14ac:dyDescent="0.3">
      <c r="A13" s="390"/>
      <c r="B13" s="425"/>
      <c r="C13" s="425"/>
      <c r="D13" s="425"/>
      <c r="E13" s="425"/>
      <c r="F13" s="425"/>
      <c r="G13" s="425"/>
      <c r="H13" s="425"/>
      <c r="I13" s="421"/>
      <c r="J13" s="421"/>
      <c r="L13" s="391"/>
      <c r="Q13" s="5"/>
      <c r="R13"/>
      <c r="S13"/>
      <c r="T13" s="103" t="str">
        <f>C25</f>
        <v>E-mail and Phone No</v>
      </c>
      <c r="U13" s="104" t="str">
        <f>IF(H25="","Check","Validated")</f>
        <v>Validated</v>
      </c>
      <c r="V13" s="104" t="s">
        <v>2</v>
      </c>
      <c r="W13" s="104"/>
    </row>
    <row r="14" spans="1:23" ht="18" customHeight="1" x14ac:dyDescent="0.3">
      <c r="A14" s="390"/>
      <c r="B14" s="425"/>
      <c r="C14" s="408" t="s">
        <v>299</v>
      </c>
      <c r="D14" s="396"/>
      <c r="E14" s="398" t="str">
        <f>UPPER(IF(E_Name="","",E_Name))</f>
        <v>GAURAV  SINGH</v>
      </c>
      <c r="F14" s="426"/>
      <c r="G14" s="394"/>
      <c r="H14" s="396"/>
      <c r="I14" s="427"/>
      <c r="J14" s="427"/>
      <c r="L14" s="391"/>
      <c r="Q14"/>
      <c r="R14"/>
      <c r="S14"/>
      <c r="T14" s="103" t="str">
        <f>C26</f>
        <v>Details of any existing Indian Medical Insurance cover:</v>
      </c>
      <c r="U14" s="104" t="str">
        <f>IF(H26="","Check","Validated")</f>
        <v>Validated</v>
      </c>
      <c r="V14" s="104" t="s">
        <v>2</v>
      </c>
      <c r="W14" s="104"/>
    </row>
    <row r="15" spans="1:23" ht="18" customHeight="1" x14ac:dyDescent="0.3">
      <c r="A15" s="390"/>
      <c r="B15" s="425"/>
      <c r="C15" s="408" t="s">
        <v>300</v>
      </c>
      <c r="D15" s="426"/>
      <c r="E15" s="395" t="str">
        <f>IF(Empl_No=0," ",Empl_No)</f>
        <v xml:space="preserve"> </v>
      </c>
      <c r="F15" s="396"/>
      <c r="G15" s="410" t="s">
        <v>301</v>
      </c>
      <c r="H15" s="397" t="str">
        <f>IF('Admin Form'!$D$14=0,"",'Admin Form'!$D$14)</f>
        <v/>
      </c>
      <c r="I15" s="410" t="s">
        <v>302</v>
      </c>
      <c r="J15" s="397" t="str">
        <f>IF('Personal Information'!$F$23=0,"",'Personal Information'!$F$23)</f>
        <v/>
      </c>
      <c r="L15" s="391"/>
      <c r="Q15" s="5"/>
      <c r="R15" s="5"/>
      <c r="S15" s="5"/>
      <c r="T15" s="103" t="str">
        <f>C27</f>
        <v>Issued by</v>
      </c>
      <c r="U15" s="104" t="str">
        <f>IF(D27="","Check","Validated")</f>
        <v>Validated</v>
      </c>
      <c r="V15" s="104" t="s">
        <v>2</v>
      </c>
      <c r="W15" s="104"/>
    </row>
    <row r="16" spans="1:23" ht="18" customHeight="1" x14ac:dyDescent="0.3">
      <c r="A16" s="390"/>
      <c r="B16" s="425"/>
      <c r="C16" s="408" t="s">
        <v>303</v>
      </c>
      <c r="D16" s="426"/>
      <c r="E16" s="398" t="str">
        <f>IF('Personal Information'!$D$22=0,"",'Personal Information'!$D$22)</f>
        <v/>
      </c>
      <c r="F16" s="399"/>
      <c r="G16" s="410" t="s">
        <v>304</v>
      </c>
      <c r="H16" s="397">
        <f>IF('Personal Information'!$D$50=0,"",'Personal Information'!$D$50)</f>
        <v>9407669172</v>
      </c>
      <c r="I16" s="410" t="s">
        <v>305</v>
      </c>
      <c r="J16" s="397" t="str">
        <f>IF('Personal Information'!$D$51=0,"",'Personal Information'!$D$51)</f>
        <v>gaurav.mail125@gmail.com</v>
      </c>
      <c r="L16" s="391"/>
      <c r="Q16"/>
      <c r="R16"/>
      <c r="S16"/>
      <c r="T16" s="103" t="str">
        <f>G27</f>
        <v>Expiry Date</v>
      </c>
      <c r="U16" s="104" t="str">
        <f>IF(I27="","Check","Validated")</f>
        <v>Validated</v>
      </c>
      <c r="V16" s="104" t="s">
        <v>2</v>
      </c>
      <c r="W16" s="104"/>
    </row>
    <row r="17" spans="1:23" ht="18" customHeight="1" x14ac:dyDescent="0.3">
      <c r="A17" s="390"/>
      <c r="B17" s="425"/>
      <c r="C17" s="408" t="s">
        <v>306</v>
      </c>
      <c r="D17" s="426"/>
      <c r="E17" s="807">
        <f>IF(DOB=0,"",DOB)</f>
        <v>34101</v>
      </c>
      <c r="F17" s="808"/>
      <c r="G17" s="410" t="s">
        <v>307</v>
      </c>
      <c r="H17" s="400">
        <f ca="1">IF(ISERROR(INT((TODAY()-E17)/365.25))," ",INT((TODAY()-E17)/365.25))</f>
        <v>27</v>
      </c>
      <c r="I17" s="401"/>
      <c r="J17" s="402"/>
      <c r="L17" s="391"/>
      <c r="Q17" s="5"/>
      <c r="R17" s="29"/>
      <c r="S17" s="29"/>
      <c r="T17" s="103" t="s">
        <v>512</v>
      </c>
      <c r="U17" s="104" t="str">
        <f>IF(D44="","Check","Validated")</f>
        <v>Validated</v>
      </c>
      <c r="V17" s="104" t="s">
        <v>2</v>
      </c>
      <c r="W17" s="29"/>
    </row>
    <row r="18" spans="1:23" ht="18" customHeight="1" x14ac:dyDescent="0.3">
      <c r="A18" s="390"/>
      <c r="B18" s="425"/>
      <c r="C18" s="408" t="s">
        <v>308</v>
      </c>
      <c r="D18" s="426"/>
      <c r="E18" s="398" t="str">
        <f>IF('Personal Information'!$D$27=0,"",'Personal Information'!$D$27)</f>
        <v>O+</v>
      </c>
      <c r="F18" s="399"/>
      <c r="G18" s="408" t="s">
        <v>309</v>
      </c>
      <c r="H18" s="399"/>
      <c r="I18" s="799" t="s">
        <v>830</v>
      </c>
      <c r="J18" s="800"/>
      <c r="L18" s="391"/>
      <c r="Q18" s="29"/>
      <c r="R18" s="29"/>
      <c r="S18" s="29"/>
      <c r="T18" s="103" t="s">
        <v>513</v>
      </c>
      <c r="U18" s="104" t="str">
        <f>IF(AND(E49&lt;&gt;"",D54=""),"Check","Validated")</f>
        <v>Validated</v>
      </c>
      <c r="V18" s="104" t="s">
        <v>2</v>
      </c>
      <c r="W18" s="29"/>
    </row>
    <row r="19" spans="1:23" ht="18" customHeight="1" x14ac:dyDescent="0.3">
      <c r="A19" s="390"/>
      <c r="B19" s="425"/>
      <c r="C19" s="428" t="s">
        <v>310</v>
      </c>
      <c r="D19" s="429"/>
      <c r="E19" s="430"/>
      <c r="F19" s="431"/>
      <c r="G19" s="403" t="str">
        <f>IF(('Personal Information'!$D$43&amp;'Personal Information'!$D$44&amp;'Personal Information'!$D$45)=0,"",'Personal Information'!$D$43&amp;" "&amp;'Personal Information'!$D$44)</f>
        <v>Flat 201 Sree Hanuma's Srivatsa Residency Serilinghampally</v>
      </c>
      <c r="H19" s="404"/>
      <c r="I19" s="405"/>
      <c r="J19" s="406"/>
      <c r="L19" s="391"/>
      <c r="T19" s="103" t="s">
        <v>514</v>
      </c>
      <c r="U19" s="104" t="str">
        <f>IF(AND(J49&lt;&gt;"",I54=""),"Check","Validated")</f>
        <v>Validated</v>
      </c>
      <c r="V19" s="104" t="s">
        <v>2</v>
      </c>
    </row>
    <row r="20" spans="1:23" ht="18" customHeight="1" x14ac:dyDescent="0.3">
      <c r="A20" s="390"/>
      <c r="B20" s="425"/>
      <c r="C20" s="432"/>
      <c r="D20" s="433"/>
      <c r="E20" s="427"/>
      <c r="F20" s="434"/>
      <c r="G20" s="809" t="str">
        <f>IF('Personal Information'!$D$45=0,"",'Personal Information'!$D$45&amp;" - "&amp;'Personal Information'!$D$48)</f>
        <v/>
      </c>
      <c r="H20" s="810"/>
      <c r="I20" s="810"/>
      <c r="J20" s="811"/>
      <c r="L20" s="391"/>
      <c r="T20" s="103" t="s">
        <v>515</v>
      </c>
      <c r="U20" s="104" t="str">
        <f>IF(AND(E59&lt;&gt;"",D64=""),"Check","Validated")</f>
        <v>Validated</v>
      </c>
      <c r="V20" s="104" t="s">
        <v>2</v>
      </c>
    </row>
    <row r="21" spans="1:23" ht="18" customHeight="1" x14ac:dyDescent="0.3">
      <c r="A21" s="390"/>
      <c r="B21" s="435"/>
      <c r="C21" s="436"/>
      <c r="D21" s="437"/>
      <c r="E21" s="438"/>
      <c r="F21" s="439"/>
      <c r="G21" s="440" t="s">
        <v>311</v>
      </c>
      <c r="H21" s="407" t="str">
        <f>IF('Personal Information'!$D$46=0,"",'Personal Information'!$D$46)</f>
        <v>Hyderabad</v>
      </c>
      <c r="I21" s="441" t="s">
        <v>312</v>
      </c>
      <c r="J21" s="407" t="str">
        <f>IF('Personal Information'!$D$47=0,"",'Personal Information'!$D$47)</f>
        <v>Telangana</v>
      </c>
      <c r="L21" s="391"/>
      <c r="T21" s="103" t="s">
        <v>516</v>
      </c>
      <c r="U21" s="104" t="str">
        <f>IF(AND(J59&lt;&gt;"",I64=""),"Check","Validated")</f>
        <v>Validated</v>
      </c>
      <c r="V21" s="104" t="s">
        <v>2</v>
      </c>
    </row>
    <row r="22" spans="1:23" ht="6" customHeight="1" thickBot="1" x14ac:dyDescent="0.35">
      <c r="A22" s="390"/>
      <c r="B22" s="442"/>
      <c r="C22" s="443"/>
      <c r="D22" s="443"/>
      <c r="E22" s="444"/>
      <c r="F22" s="444"/>
      <c r="G22" s="444"/>
      <c r="H22" s="444"/>
      <c r="I22" s="444"/>
      <c r="J22" s="444"/>
      <c r="L22" s="391"/>
      <c r="T22" s="103" t="s">
        <v>517</v>
      </c>
      <c r="U22" s="104" t="str">
        <f>IF(AND(E69&lt;&gt;"",D74=""),"Check","Validated")</f>
        <v>Validated</v>
      </c>
      <c r="V22" s="104" t="s">
        <v>2</v>
      </c>
    </row>
    <row r="23" spans="1:23" ht="6" customHeight="1" x14ac:dyDescent="0.3">
      <c r="A23" s="390"/>
      <c r="B23" s="435"/>
      <c r="C23" s="445"/>
      <c r="D23" s="445"/>
      <c r="E23" s="425"/>
      <c r="F23" s="425"/>
      <c r="G23" s="425"/>
      <c r="H23" s="425"/>
      <c r="I23" s="425"/>
      <c r="J23" s="425"/>
      <c r="L23" s="391"/>
      <c r="T23" s="103" t="s">
        <v>518</v>
      </c>
      <c r="U23" s="104" t="str">
        <f>IF(AND(J69&lt;&gt;"",I74=""),"Check","Validated")</f>
        <v>Validated</v>
      </c>
      <c r="V23" s="104" t="s">
        <v>2</v>
      </c>
    </row>
    <row r="24" spans="1:23" ht="18" customHeight="1" x14ac:dyDescent="0.3">
      <c r="A24" s="390"/>
      <c r="B24" s="435"/>
      <c r="C24" s="812" t="s">
        <v>313</v>
      </c>
      <c r="D24" s="813"/>
      <c r="E24" s="813"/>
      <c r="F24" s="813"/>
      <c r="G24" s="814"/>
      <c r="H24" s="801" t="s">
        <v>830</v>
      </c>
      <c r="I24" s="802"/>
      <c r="J24" s="803"/>
      <c r="L24" s="391"/>
    </row>
    <row r="25" spans="1:23" ht="18" customHeight="1" x14ac:dyDescent="0.3">
      <c r="A25" s="390"/>
      <c r="B25" s="435"/>
      <c r="C25" s="812" t="s">
        <v>314</v>
      </c>
      <c r="D25" s="813"/>
      <c r="E25" s="813"/>
      <c r="F25" s="813"/>
      <c r="G25" s="814"/>
      <c r="H25" s="799" t="s">
        <v>830</v>
      </c>
      <c r="I25" s="804"/>
      <c r="J25" s="800"/>
      <c r="L25" s="391"/>
    </row>
    <row r="26" spans="1:23" ht="18" customHeight="1" x14ac:dyDescent="0.3">
      <c r="A26" s="390"/>
      <c r="B26" s="435"/>
      <c r="C26" s="408" t="s">
        <v>315</v>
      </c>
      <c r="D26" s="394"/>
      <c r="E26" s="394"/>
      <c r="F26" s="394"/>
      <c r="G26" s="409"/>
      <c r="H26" s="799" t="s">
        <v>830</v>
      </c>
      <c r="I26" s="804"/>
      <c r="J26" s="800"/>
      <c r="L26" s="391"/>
      <c r="T26" s="103" t="b">
        <f>U26=V26</f>
        <v>1</v>
      </c>
      <c r="U26" s="105">
        <f>COUNTIF(U11:U25,"Validated")</f>
        <v>13</v>
      </c>
      <c r="V26" s="105">
        <f>COUNTIF($V$11:$V$24,"x")</f>
        <v>13</v>
      </c>
    </row>
    <row r="27" spans="1:23" ht="18" customHeight="1" x14ac:dyDescent="0.3">
      <c r="A27" s="390"/>
      <c r="B27" s="435"/>
      <c r="C27" s="410" t="s">
        <v>316</v>
      </c>
      <c r="D27" s="799" t="s">
        <v>830</v>
      </c>
      <c r="E27" s="804"/>
      <c r="F27" s="800"/>
      <c r="G27" s="408" t="s">
        <v>317</v>
      </c>
      <c r="H27" s="446"/>
      <c r="I27" s="816" t="s">
        <v>830</v>
      </c>
      <c r="J27" s="817"/>
      <c r="L27" s="391"/>
    </row>
    <row r="28" spans="1:23" ht="6" customHeight="1" x14ac:dyDescent="0.3">
      <c r="A28" s="390"/>
      <c r="B28" s="435"/>
      <c r="C28" s="447"/>
      <c r="D28" s="445"/>
      <c r="E28" s="425"/>
      <c r="F28" s="425"/>
      <c r="G28" s="447"/>
      <c r="H28" s="448"/>
      <c r="I28" s="449"/>
      <c r="J28" s="449"/>
      <c r="L28" s="391"/>
    </row>
    <row r="29" spans="1:23" s="451" customFormat="1" ht="18" customHeight="1" x14ac:dyDescent="0.3">
      <c r="A29" s="390"/>
      <c r="B29" s="450"/>
      <c r="C29" s="815" t="s">
        <v>318</v>
      </c>
      <c r="D29" s="815"/>
      <c r="E29" s="815"/>
      <c r="F29" s="815"/>
      <c r="G29" s="815"/>
      <c r="H29" s="815"/>
      <c r="I29" s="815"/>
      <c r="J29" s="815"/>
      <c r="K29" s="450"/>
      <c r="L29" s="391"/>
    </row>
    <row r="30" spans="1:23" ht="44.25" customHeight="1" x14ac:dyDescent="0.3">
      <c r="A30" s="390"/>
      <c r="B30" s="435"/>
      <c r="C30" s="815" t="s">
        <v>319</v>
      </c>
      <c r="D30" s="815"/>
      <c r="E30" s="815"/>
      <c r="F30" s="815"/>
      <c r="G30" s="815"/>
      <c r="H30" s="815"/>
      <c r="I30" s="815"/>
      <c r="J30" s="815"/>
      <c r="L30" s="391"/>
    </row>
    <row r="31" spans="1:23" ht="59.25" customHeight="1" x14ac:dyDescent="0.3">
      <c r="A31" s="390"/>
      <c r="B31" s="435"/>
      <c r="C31" s="815" t="s">
        <v>320</v>
      </c>
      <c r="D31" s="815"/>
      <c r="E31" s="815"/>
      <c r="F31" s="815"/>
      <c r="G31" s="815"/>
      <c r="H31" s="815"/>
      <c r="I31" s="815"/>
      <c r="J31" s="815"/>
      <c r="L31" s="391"/>
    </row>
    <row r="32" spans="1:23" ht="22.5" customHeight="1" x14ac:dyDescent="0.3">
      <c r="A32" s="390"/>
      <c r="B32" s="435"/>
      <c r="C32" s="447" t="s">
        <v>321</v>
      </c>
      <c r="D32" s="452"/>
      <c r="E32" s="452"/>
      <c r="F32" s="452"/>
      <c r="G32" s="452"/>
      <c r="H32" s="452"/>
      <c r="I32" s="452" t="s">
        <v>322</v>
      </c>
      <c r="J32" s="465" t="str">
        <f>IF(DOJ=0,"",DOJ)</f>
        <v/>
      </c>
      <c r="L32" s="391"/>
    </row>
    <row r="33" spans="1:12" ht="40.5" customHeight="1" x14ac:dyDescent="0.3">
      <c r="A33" s="390"/>
      <c r="B33" s="435"/>
      <c r="C33" s="447"/>
      <c r="D33" s="445"/>
      <c r="E33" s="425"/>
      <c r="F33" s="425"/>
      <c r="G33" s="447"/>
      <c r="H33" s="448"/>
      <c r="I33" s="449"/>
      <c r="J33" s="449"/>
      <c r="L33" s="391"/>
    </row>
    <row r="34" spans="1:12" ht="34.5" customHeight="1" x14ac:dyDescent="0.3">
      <c r="A34" s="390"/>
      <c r="B34" s="435"/>
      <c r="C34" s="447" t="s">
        <v>323</v>
      </c>
      <c r="D34" s="445"/>
      <c r="E34" s="425"/>
      <c r="F34" s="425"/>
      <c r="G34" s="447"/>
      <c r="H34" s="448"/>
      <c r="I34" s="449"/>
      <c r="J34" s="449"/>
      <c r="L34" s="391"/>
    </row>
    <row r="35" spans="1:12" ht="16.2" thickBot="1" x14ac:dyDescent="0.35">
      <c r="A35" s="392"/>
      <c r="B35" s="453"/>
      <c r="C35" s="453"/>
      <c r="D35" s="453"/>
      <c r="E35" s="453"/>
      <c r="F35" s="453"/>
      <c r="G35" s="453"/>
      <c r="H35" s="453"/>
      <c r="I35" s="453"/>
      <c r="J35" s="453"/>
      <c r="K35" s="453"/>
      <c r="L35" s="393"/>
    </row>
    <row r="36" spans="1:12" s="454" customFormat="1" ht="27" customHeight="1" x14ac:dyDescent="0.3">
      <c r="A36" s="390"/>
      <c r="B36" s="805" t="s">
        <v>324</v>
      </c>
      <c r="C36" s="805"/>
      <c r="D36" s="805"/>
      <c r="E36" s="805"/>
      <c r="F36" s="805"/>
      <c r="G36" s="805"/>
      <c r="H36" s="805"/>
      <c r="I36" s="805"/>
      <c r="J36" s="805"/>
      <c r="L36" s="391"/>
    </row>
    <row r="37" spans="1:12" ht="6" customHeight="1" x14ac:dyDescent="0.3">
      <c r="A37" s="390"/>
      <c r="B37" s="435"/>
      <c r="C37" s="445"/>
      <c r="D37" s="445"/>
      <c r="E37" s="425"/>
      <c r="F37" s="425"/>
      <c r="G37" s="425"/>
      <c r="H37" s="425"/>
      <c r="I37" s="425"/>
      <c r="J37" s="425"/>
      <c r="L37" s="391"/>
    </row>
    <row r="38" spans="1:12" s="413" customFormat="1" x14ac:dyDescent="0.3">
      <c r="A38" s="390"/>
      <c r="C38" s="457" t="s">
        <v>493</v>
      </c>
      <c r="D38" s="456"/>
      <c r="H38" s="425"/>
      <c r="I38" s="425"/>
      <c r="J38" s="425"/>
      <c r="L38" s="391"/>
    </row>
    <row r="39" spans="1:12" ht="6" customHeight="1" x14ac:dyDescent="0.3">
      <c r="A39" s="390"/>
      <c r="B39" s="435"/>
      <c r="C39" s="445"/>
      <c r="D39" s="445"/>
      <c r="E39" s="425"/>
      <c r="F39" s="425"/>
      <c r="G39" s="425"/>
      <c r="H39" s="425"/>
      <c r="I39" s="425"/>
      <c r="J39" s="425"/>
      <c r="L39" s="391"/>
    </row>
    <row r="40" spans="1:12" s="413" customFormat="1" x14ac:dyDescent="0.3">
      <c r="A40" s="390"/>
      <c r="C40" s="408" t="s">
        <v>488</v>
      </c>
      <c r="D40" s="455"/>
      <c r="E40" s="794" t="str">
        <f>UPPER(IF(E_Name=0,"",E_Name))</f>
        <v>GAURAV  SINGH</v>
      </c>
      <c r="F40" s="795"/>
      <c r="G40" s="454"/>
      <c r="H40" s="425"/>
      <c r="I40" s="425"/>
      <c r="J40" s="425"/>
      <c r="L40" s="391"/>
    </row>
    <row r="41" spans="1:12" s="413" customFormat="1" x14ac:dyDescent="0.3">
      <c r="A41" s="390"/>
      <c r="C41" s="408" t="s">
        <v>489</v>
      </c>
      <c r="D41" s="455"/>
      <c r="E41" s="794" t="str">
        <f>IF('Personal Information'!D25=0,"",'Personal Information'!D25)</f>
        <v>MALE</v>
      </c>
      <c r="F41" s="795"/>
      <c r="G41" s="454"/>
      <c r="H41" s="425"/>
      <c r="I41" s="425"/>
      <c r="J41" s="425"/>
      <c r="L41" s="391"/>
    </row>
    <row r="42" spans="1:12" s="413" customFormat="1" x14ac:dyDescent="0.3">
      <c r="A42" s="390"/>
      <c r="C42" s="408" t="s">
        <v>490</v>
      </c>
      <c r="D42" s="455"/>
      <c r="E42" s="796">
        <f>IF(DOB=0,"",DOB)</f>
        <v>34101</v>
      </c>
      <c r="F42" s="797"/>
      <c r="G42" s="454"/>
      <c r="H42" s="425"/>
      <c r="I42" s="425"/>
      <c r="J42" s="425"/>
      <c r="L42" s="391"/>
    </row>
    <row r="43" spans="1:12" s="413" customFormat="1" x14ac:dyDescent="0.3">
      <c r="A43" s="390"/>
      <c r="C43" s="408" t="s">
        <v>491</v>
      </c>
      <c r="D43" s="455"/>
      <c r="E43" s="789">
        <f ca="1">IF(ISERROR(INT((TODAY()-E42)/365.25))," ",INT((TODAY()-E42)/365.25))</f>
        <v>27</v>
      </c>
      <c r="F43" s="790"/>
      <c r="G43" s="454"/>
      <c r="H43" s="425"/>
      <c r="I43" s="425"/>
      <c r="J43" s="425"/>
      <c r="L43" s="391"/>
    </row>
    <row r="44" spans="1:12" s="413" customFormat="1" x14ac:dyDescent="0.3">
      <c r="A44" s="390"/>
      <c r="C44" s="410" t="s">
        <v>492</v>
      </c>
      <c r="D44" s="791" t="s">
        <v>829</v>
      </c>
      <c r="E44" s="792"/>
      <c r="F44" s="793"/>
      <c r="H44" s="425"/>
      <c r="I44" s="425"/>
      <c r="J44" s="425"/>
      <c r="L44" s="391"/>
    </row>
    <row r="45" spans="1:12" s="413" customFormat="1" x14ac:dyDescent="0.3">
      <c r="A45" s="390"/>
      <c r="H45" s="425"/>
      <c r="I45" s="425"/>
      <c r="J45" s="425"/>
      <c r="L45" s="391"/>
    </row>
    <row r="46" spans="1:12" ht="6" customHeight="1" x14ac:dyDescent="0.3">
      <c r="A46" s="390"/>
      <c r="B46" s="435"/>
      <c r="C46" s="445"/>
      <c r="D46" s="445"/>
      <c r="E46" s="425"/>
      <c r="F46" s="425"/>
      <c r="G46" s="425"/>
      <c r="H46" s="425"/>
      <c r="I46" s="425"/>
      <c r="J46" s="425"/>
      <c r="L46" s="391"/>
    </row>
    <row r="47" spans="1:12" s="413" customFormat="1" x14ac:dyDescent="0.3">
      <c r="A47" s="390"/>
      <c r="C47" s="457" t="s">
        <v>494</v>
      </c>
      <c r="D47" s="456"/>
      <c r="H47" s="457" t="s">
        <v>496</v>
      </c>
      <c r="I47" s="456"/>
      <c r="L47" s="391"/>
    </row>
    <row r="48" spans="1:12" ht="6" customHeight="1" x14ac:dyDescent="0.3">
      <c r="A48" s="390"/>
      <c r="B48" s="435"/>
      <c r="C48" s="445"/>
      <c r="D48" s="445"/>
      <c r="E48" s="425"/>
      <c r="F48" s="425"/>
      <c r="G48" s="425"/>
      <c r="H48" s="425"/>
      <c r="I48" s="425"/>
      <c r="J48" s="425"/>
      <c r="L48" s="391"/>
    </row>
    <row r="49" spans="1:12" s="413" customFormat="1" x14ac:dyDescent="0.3">
      <c r="A49" s="390"/>
      <c r="C49" s="408" t="s">
        <v>488</v>
      </c>
      <c r="D49" s="455"/>
      <c r="E49" s="794" t="str">
        <f>UPPER(IF('Personal Information'!B106=0,"",'Personal Information'!B106))</f>
        <v>SIYARAM SINGH</v>
      </c>
      <c r="F49" s="795"/>
      <c r="G49" s="454"/>
      <c r="H49" s="408" t="s">
        <v>495</v>
      </c>
      <c r="I49" s="455"/>
      <c r="J49" s="794" t="str">
        <f>UPPER(IF('Personal Information'!B107=0,"",'Personal Information'!B107))</f>
        <v>RAJKUMARI SINGH</v>
      </c>
      <c r="K49" s="795"/>
      <c r="L49" s="391"/>
    </row>
    <row r="50" spans="1:12" s="413" customFormat="1" x14ac:dyDescent="0.3">
      <c r="A50" s="390"/>
      <c r="C50" s="408" t="s">
        <v>489</v>
      </c>
      <c r="D50" s="455"/>
      <c r="E50" s="794" t="str">
        <f>IF('Personal Information'!D106=0,"",IF(OR('Personal Information'!D106="Wife",'Personal Information'!D106="Daughter",'Personal Information'!D106="Mother"),"Female","Male"))</f>
        <v>Male</v>
      </c>
      <c r="F50" s="795"/>
      <c r="G50" s="454"/>
      <c r="H50" s="408" t="s">
        <v>489</v>
      </c>
      <c r="I50" s="455"/>
      <c r="J50" s="794" t="str">
        <f>IF('Personal Information'!D107=0,"",IF(OR('Personal Information'!D107="Wife",'Personal Information'!D107="Daughter",'Personal Information'!D107="Mother"),"Female","Male"))</f>
        <v>Female</v>
      </c>
      <c r="K50" s="795"/>
      <c r="L50" s="391"/>
    </row>
    <row r="51" spans="1:12" s="413" customFormat="1" x14ac:dyDescent="0.3">
      <c r="A51" s="390"/>
      <c r="C51" s="408" t="s">
        <v>490</v>
      </c>
      <c r="D51" s="455"/>
      <c r="E51" s="796">
        <f>IF('Personal Information'!F106=0,"",'Personal Information'!F106)</f>
        <v>22867</v>
      </c>
      <c r="F51" s="797"/>
      <c r="G51" s="454"/>
      <c r="H51" s="408" t="s">
        <v>490</v>
      </c>
      <c r="I51" s="455"/>
      <c r="J51" s="796">
        <f>IF('Personal Information'!F107=0,"",'Personal Information'!F107)</f>
        <v>25107</v>
      </c>
      <c r="K51" s="797"/>
      <c r="L51" s="391"/>
    </row>
    <row r="52" spans="1:12" s="413" customFormat="1" x14ac:dyDescent="0.3">
      <c r="A52" s="390"/>
      <c r="C52" s="408" t="s">
        <v>491</v>
      </c>
      <c r="D52" s="455"/>
      <c r="E52" s="789">
        <f ca="1">IF(ISERROR(INT((TODAY()-E51)/365.25))," ",INT((TODAY()-E51)/365.25))</f>
        <v>58</v>
      </c>
      <c r="F52" s="790"/>
      <c r="G52" s="454"/>
      <c r="H52" s="408" t="s">
        <v>491</v>
      </c>
      <c r="I52" s="455"/>
      <c r="J52" s="789">
        <f ca="1">IF(ISERROR(INT((TODAY()-J51)/365.25))," ",INT((TODAY()-J51)/365.25))</f>
        <v>52</v>
      </c>
      <c r="K52" s="790"/>
      <c r="L52" s="391"/>
    </row>
    <row r="53" spans="1:12" s="413" customFormat="1" x14ac:dyDescent="0.3">
      <c r="A53" s="390"/>
      <c r="C53" s="408" t="s">
        <v>501</v>
      </c>
      <c r="D53" s="455"/>
      <c r="E53" s="789" t="str">
        <f>IF('Personal Information'!D106=0,"",'Personal Information'!D106)</f>
        <v>FATHER</v>
      </c>
      <c r="F53" s="790"/>
      <c r="G53" s="454"/>
      <c r="H53" s="408" t="s">
        <v>501</v>
      </c>
      <c r="I53" s="455"/>
      <c r="J53" s="789" t="str">
        <f>IF('Personal Information'!D107=0,"",'Personal Information'!D107)</f>
        <v>MOTHER</v>
      </c>
      <c r="K53" s="790"/>
      <c r="L53" s="391"/>
    </row>
    <row r="54" spans="1:12" s="413" customFormat="1" x14ac:dyDescent="0.3">
      <c r="A54" s="390"/>
      <c r="C54" s="410" t="s">
        <v>492</v>
      </c>
      <c r="D54" s="791" t="s">
        <v>829</v>
      </c>
      <c r="E54" s="792"/>
      <c r="F54" s="793"/>
      <c r="H54" s="410" t="s">
        <v>492</v>
      </c>
      <c r="I54" s="791" t="s">
        <v>829</v>
      </c>
      <c r="J54" s="792"/>
      <c r="K54" s="793"/>
      <c r="L54" s="391"/>
    </row>
    <row r="55" spans="1:12" x14ac:dyDescent="0.3">
      <c r="A55" s="390"/>
      <c r="B55" s="413"/>
      <c r="C55" s="413"/>
      <c r="D55" s="413"/>
      <c r="E55" s="413"/>
      <c r="F55" s="413"/>
      <c r="G55" s="413"/>
      <c r="H55" s="413"/>
      <c r="I55" s="413"/>
      <c r="J55" s="413"/>
      <c r="L55" s="391"/>
    </row>
    <row r="56" spans="1:12" ht="6" customHeight="1" x14ac:dyDescent="0.3">
      <c r="A56" s="390"/>
      <c r="B56" s="435"/>
      <c r="C56" s="445"/>
      <c r="D56" s="445"/>
      <c r="E56" s="425"/>
      <c r="F56" s="425"/>
      <c r="G56" s="425"/>
      <c r="H56" s="425"/>
      <c r="I56" s="425"/>
      <c r="J56" s="425"/>
      <c r="L56" s="391"/>
    </row>
    <row r="57" spans="1:12" s="413" customFormat="1" x14ac:dyDescent="0.3">
      <c r="A57" s="390"/>
      <c r="C57" s="457" t="s">
        <v>497</v>
      </c>
      <c r="D57" s="456"/>
      <c r="H57" s="457" t="s">
        <v>498</v>
      </c>
      <c r="I57" s="456"/>
      <c r="L57" s="391"/>
    </row>
    <row r="58" spans="1:12" ht="6" customHeight="1" x14ac:dyDescent="0.3">
      <c r="A58" s="390"/>
      <c r="B58" s="435"/>
      <c r="C58" s="445"/>
      <c r="D58" s="445"/>
      <c r="E58" s="425"/>
      <c r="F58" s="425"/>
      <c r="G58" s="425"/>
      <c r="H58" s="425"/>
      <c r="I58" s="425"/>
      <c r="J58" s="425"/>
      <c r="L58" s="391"/>
    </row>
    <row r="59" spans="1:12" s="413" customFormat="1" x14ac:dyDescent="0.3">
      <c r="A59" s="390"/>
      <c r="C59" s="408" t="s">
        <v>488</v>
      </c>
      <c r="D59" s="455"/>
      <c r="E59" s="794" t="str">
        <f>UPPER(IF('Personal Information'!B108=0,"",'Personal Information'!B108))</f>
        <v/>
      </c>
      <c r="F59" s="795"/>
      <c r="G59" s="454"/>
      <c r="H59" s="408" t="s">
        <v>495</v>
      </c>
      <c r="I59" s="455"/>
      <c r="J59" s="794" t="str">
        <f>UPPER(IF('Personal Information'!B109=0,"",'Personal Information'!B109))</f>
        <v/>
      </c>
      <c r="K59" s="795"/>
      <c r="L59" s="391"/>
    </row>
    <row r="60" spans="1:12" s="413" customFormat="1" x14ac:dyDescent="0.3">
      <c r="A60" s="390"/>
      <c r="C60" s="408" t="s">
        <v>489</v>
      </c>
      <c r="D60" s="455"/>
      <c r="E60" s="794" t="str">
        <f>IF('Personal Information'!D108=0,"",IF(OR('Personal Information'!D108="Wife",'Personal Information'!D108="Daughter",'Personal Information'!D108="Mother"),"Female","Male"))</f>
        <v/>
      </c>
      <c r="F60" s="795"/>
      <c r="G60" s="454"/>
      <c r="H60" s="408" t="s">
        <v>489</v>
      </c>
      <c r="I60" s="455"/>
      <c r="J60" s="794" t="str">
        <f>IF('Personal Information'!D109=0,"",IF(OR('Personal Information'!D109="Wife",'Personal Information'!D109="Daughter",'Personal Information'!D109="Mother"),"Female","Male"))</f>
        <v/>
      </c>
      <c r="K60" s="795"/>
      <c r="L60" s="391"/>
    </row>
    <row r="61" spans="1:12" s="413" customFormat="1" x14ac:dyDescent="0.3">
      <c r="A61" s="390"/>
      <c r="C61" s="408" t="s">
        <v>490</v>
      </c>
      <c r="D61" s="455"/>
      <c r="E61" s="796" t="str">
        <f>IF('Personal Information'!F108=0,"",'Personal Information'!F108)</f>
        <v/>
      </c>
      <c r="F61" s="797"/>
      <c r="G61" s="454"/>
      <c r="H61" s="408" t="s">
        <v>490</v>
      </c>
      <c r="I61" s="455"/>
      <c r="J61" s="796" t="str">
        <f>IF('Personal Information'!F109=0,"",'Personal Information'!F109)</f>
        <v/>
      </c>
      <c r="K61" s="797"/>
      <c r="L61" s="391"/>
    </row>
    <row r="62" spans="1:12" s="413" customFormat="1" x14ac:dyDescent="0.3">
      <c r="A62" s="390"/>
      <c r="C62" s="408" t="s">
        <v>491</v>
      </c>
      <c r="D62" s="455"/>
      <c r="E62" s="789" t="str">
        <f ca="1">IF(ISERROR(INT((TODAY()-E61)/365.25))," ",INT((TODAY()-E61)/365.25))</f>
        <v xml:space="preserve"> </v>
      </c>
      <c r="F62" s="790"/>
      <c r="G62" s="454"/>
      <c r="H62" s="408" t="s">
        <v>491</v>
      </c>
      <c r="I62" s="455"/>
      <c r="J62" s="789" t="str">
        <f ca="1">IF(ISERROR(INT((TODAY()-J61)/365.25))," ",INT((TODAY()-J61)/365.25))</f>
        <v xml:space="preserve"> </v>
      </c>
      <c r="K62" s="790"/>
      <c r="L62" s="391"/>
    </row>
    <row r="63" spans="1:12" s="413" customFormat="1" x14ac:dyDescent="0.3">
      <c r="A63" s="390"/>
      <c r="C63" s="408" t="s">
        <v>501</v>
      </c>
      <c r="D63" s="455"/>
      <c r="E63" s="789" t="str">
        <f>IF('Personal Information'!D108=0,"",'Personal Information'!D108)</f>
        <v/>
      </c>
      <c r="F63" s="790"/>
      <c r="G63" s="454"/>
      <c r="H63" s="408" t="s">
        <v>501</v>
      </c>
      <c r="I63" s="455"/>
      <c r="J63" s="789" t="str">
        <f>IF('Personal Information'!D109=0,"",'Personal Information'!D109)</f>
        <v/>
      </c>
      <c r="K63" s="790"/>
      <c r="L63" s="391"/>
    </row>
    <row r="64" spans="1:12" s="413" customFormat="1" x14ac:dyDescent="0.3">
      <c r="A64" s="390"/>
      <c r="C64" s="410" t="s">
        <v>492</v>
      </c>
      <c r="D64" s="791"/>
      <c r="E64" s="792"/>
      <c r="F64" s="793"/>
      <c r="H64" s="410" t="s">
        <v>492</v>
      </c>
      <c r="I64" s="791"/>
      <c r="J64" s="792"/>
      <c r="K64" s="793"/>
      <c r="L64" s="391"/>
    </row>
    <row r="65" spans="1:12" x14ac:dyDescent="0.3">
      <c r="A65" s="390"/>
      <c r="B65" s="413"/>
      <c r="C65" s="413"/>
      <c r="D65" s="413"/>
      <c r="E65" s="413"/>
      <c r="F65" s="413"/>
      <c r="G65" s="413"/>
      <c r="H65" s="413"/>
      <c r="I65" s="413"/>
      <c r="J65" s="413"/>
      <c r="L65" s="391"/>
    </row>
    <row r="66" spans="1:12" ht="6" customHeight="1" x14ac:dyDescent="0.3">
      <c r="A66" s="390"/>
      <c r="B66" s="435"/>
      <c r="C66" s="445"/>
      <c r="D66" s="445"/>
      <c r="E66" s="425"/>
      <c r="F66" s="425"/>
      <c r="G66" s="425"/>
      <c r="H66" s="425"/>
      <c r="I66" s="425"/>
      <c r="J66" s="425"/>
      <c r="L66" s="391"/>
    </row>
    <row r="67" spans="1:12" s="413" customFormat="1" x14ac:dyDescent="0.3">
      <c r="A67" s="390"/>
      <c r="C67" s="457" t="s">
        <v>499</v>
      </c>
      <c r="D67" s="456"/>
      <c r="H67" s="457" t="s">
        <v>500</v>
      </c>
      <c r="I67" s="456"/>
      <c r="L67" s="391"/>
    </row>
    <row r="68" spans="1:12" ht="6" customHeight="1" x14ac:dyDescent="0.3">
      <c r="A68" s="390"/>
      <c r="B68" s="435"/>
      <c r="C68" s="445"/>
      <c r="D68" s="445"/>
      <c r="E68" s="425"/>
      <c r="F68" s="425"/>
      <c r="G68" s="425"/>
      <c r="H68" s="425"/>
      <c r="I68" s="425"/>
      <c r="J68" s="425"/>
      <c r="L68" s="391"/>
    </row>
    <row r="69" spans="1:12" s="413" customFormat="1" x14ac:dyDescent="0.3">
      <c r="A69" s="390"/>
      <c r="C69" s="408" t="s">
        <v>488</v>
      </c>
      <c r="D69" s="455"/>
      <c r="E69" s="794" t="str">
        <f>UPPER(IF('Personal Information'!B110=0,"",'Personal Information'!B110))</f>
        <v/>
      </c>
      <c r="F69" s="795"/>
      <c r="G69" s="454"/>
      <c r="H69" s="408" t="s">
        <v>495</v>
      </c>
      <c r="I69" s="455"/>
      <c r="J69" s="794" t="str">
        <f>UPPER(IF('Personal Information'!B111=0,"",'Personal Information'!B111))</f>
        <v/>
      </c>
      <c r="K69" s="795"/>
      <c r="L69" s="391"/>
    </row>
    <row r="70" spans="1:12" s="413" customFormat="1" x14ac:dyDescent="0.3">
      <c r="A70" s="390"/>
      <c r="C70" s="408" t="s">
        <v>489</v>
      </c>
      <c r="D70" s="455"/>
      <c r="E70" s="794" t="str">
        <f>IF('Personal Information'!D110=0,"",IF(OR('Personal Information'!D110="Wife",'Personal Information'!D110="Daughter",'Personal Information'!D110="Mother"),"Female","Male"))</f>
        <v/>
      </c>
      <c r="F70" s="795"/>
      <c r="G70" s="454"/>
      <c r="H70" s="408" t="s">
        <v>489</v>
      </c>
      <c r="I70" s="455"/>
      <c r="J70" s="794" t="str">
        <f>IF('Personal Information'!D111=0,"",IF(OR('Personal Information'!D111="Wife",'Personal Information'!D111="Daughter",'Personal Information'!D111="Mother"),"Female","Male"))</f>
        <v/>
      </c>
      <c r="K70" s="795"/>
      <c r="L70" s="391"/>
    </row>
    <row r="71" spans="1:12" s="413" customFormat="1" x14ac:dyDescent="0.3">
      <c r="A71" s="390"/>
      <c r="C71" s="408" t="s">
        <v>490</v>
      </c>
      <c r="D71" s="455"/>
      <c r="E71" s="796" t="str">
        <f>IF('Personal Information'!F110=0,"",'Personal Information'!F110)</f>
        <v/>
      </c>
      <c r="F71" s="797"/>
      <c r="G71" s="454"/>
      <c r="H71" s="408" t="s">
        <v>490</v>
      </c>
      <c r="I71" s="455"/>
      <c r="J71" s="796" t="str">
        <f>IF('Personal Information'!F111=0,"",'Personal Information'!F111)</f>
        <v/>
      </c>
      <c r="K71" s="797"/>
      <c r="L71" s="391"/>
    </row>
    <row r="72" spans="1:12" s="413" customFormat="1" x14ac:dyDescent="0.3">
      <c r="A72" s="390"/>
      <c r="C72" s="408" t="s">
        <v>491</v>
      </c>
      <c r="D72" s="455"/>
      <c r="E72" s="789" t="str">
        <f ca="1">IF(ISERROR(INT((TODAY()-E71)/365.25))," ",INT((TODAY()-E71)/365.25))</f>
        <v xml:space="preserve"> </v>
      </c>
      <c r="F72" s="790"/>
      <c r="G72" s="454"/>
      <c r="H72" s="408" t="s">
        <v>491</v>
      </c>
      <c r="I72" s="455"/>
      <c r="J72" s="789" t="str">
        <f ca="1">IF(ISERROR(INT((TODAY()-J71)/365.25))," ",INT((TODAY()-J71)/365.25))</f>
        <v xml:space="preserve"> </v>
      </c>
      <c r="K72" s="790"/>
      <c r="L72" s="391"/>
    </row>
    <row r="73" spans="1:12" s="413" customFormat="1" x14ac:dyDescent="0.3">
      <c r="A73" s="390"/>
      <c r="C73" s="408" t="s">
        <v>501</v>
      </c>
      <c r="D73" s="455"/>
      <c r="E73" s="789" t="str">
        <f>IF('Personal Information'!D110=0,"",'Personal Information'!D110)</f>
        <v/>
      </c>
      <c r="F73" s="790"/>
      <c r="G73" s="454"/>
      <c r="H73" s="408" t="s">
        <v>501</v>
      </c>
      <c r="I73" s="455"/>
      <c r="J73" s="789" t="str">
        <f>IF('Personal Information'!D111=0,"",'Personal Information'!D111)</f>
        <v/>
      </c>
      <c r="K73" s="790"/>
      <c r="L73" s="391"/>
    </row>
    <row r="74" spans="1:12" s="413" customFormat="1" x14ac:dyDescent="0.3">
      <c r="A74" s="390"/>
      <c r="C74" s="410" t="s">
        <v>492</v>
      </c>
      <c r="D74" s="791"/>
      <c r="E74" s="792"/>
      <c r="F74" s="793"/>
      <c r="H74" s="410" t="s">
        <v>492</v>
      </c>
      <c r="I74" s="791"/>
      <c r="J74" s="792"/>
      <c r="K74" s="793"/>
      <c r="L74" s="391"/>
    </row>
    <row r="75" spans="1:12" x14ac:dyDescent="0.3">
      <c r="A75" s="390"/>
      <c r="B75" s="413"/>
      <c r="C75" s="413"/>
      <c r="D75" s="413"/>
      <c r="E75" s="413"/>
      <c r="F75" s="413"/>
      <c r="G75" s="413"/>
      <c r="H75" s="413"/>
      <c r="I75" s="413"/>
      <c r="J75" s="413"/>
      <c r="L75" s="391"/>
    </row>
    <row r="76" spans="1:12" ht="16.2" thickBot="1" x14ac:dyDescent="0.35">
      <c r="A76" s="392"/>
      <c r="B76" s="453"/>
      <c r="C76" s="453"/>
      <c r="D76" s="453"/>
      <c r="E76" s="453"/>
      <c r="F76" s="453"/>
      <c r="G76" s="453"/>
      <c r="H76" s="453"/>
      <c r="I76" s="453"/>
      <c r="J76" s="453"/>
      <c r="K76" s="540"/>
      <c r="L76" s="393"/>
    </row>
    <row r="77" spans="1:12" x14ac:dyDescent="0.3"/>
  </sheetData>
  <sheetProtection password="CA99" sheet="1" objects="1" scenarios="1" selectLockedCells="1"/>
  <mergeCells count="59">
    <mergeCell ref="Q2:W5"/>
    <mergeCell ref="D64:F64"/>
    <mergeCell ref="E72:F72"/>
    <mergeCell ref="C25:G25"/>
    <mergeCell ref="C29:J29"/>
    <mergeCell ref="C30:J30"/>
    <mergeCell ref="C31:J31"/>
    <mergeCell ref="B36:J36"/>
    <mergeCell ref="I27:J27"/>
    <mergeCell ref="H26:J26"/>
    <mergeCell ref="E43:F43"/>
    <mergeCell ref="E42:F42"/>
    <mergeCell ref="D44:F44"/>
    <mergeCell ref="E49:F49"/>
    <mergeCell ref="J49:K49"/>
    <mergeCell ref="E50:F50"/>
    <mergeCell ref="J50:K50"/>
    <mergeCell ref="B2:J2"/>
    <mergeCell ref="E40:F40"/>
    <mergeCell ref="E41:F41"/>
    <mergeCell ref="I18:J18"/>
    <mergeCell ref="H24:J24"/>
    <mergeCell ref="H25:J25"/>
    <mergeCell ref="D27:F27"/>
    <mergeCell ref="B3:J3"/>
    <mergeCell ref="C6:J6"/>
    <mergeCell ref="E17:F17"/>
    <mergeCell ref="G20:J20"/>
    <mergeCell ref="C24:G24"/>
    <mergeCell ref="E62:F62"/>
    <mergeCell ref="J62:K62"/>
    <mergeCell ref="E51:F51"/>
    <mergeCell ref="J51:K51"/>
    <mergeCell ref="E52:F52"/>
    <mergeCell ref="J52:K52"/>
    <mergeCell ref="D54:F54"/>
    <mergeCell ref="I54:K54"/>
    <mergeCell ref="E59:F59"/>
    <mergeCell ref="J59:K59"/>
    <mergeCell ref="E60:F60"/>
    <mergeCell ref="J60:K60"/>
    <mergeCell ref="E61:F61"/>
    <mergeCell ref="J61:K61"/>
    <mergeCell ref="J72:K72"/>
    <mergeCell ref="D74:F74"/>
    <mergeCell ref="I74:K74"/>
    <mergeCell ref="E53:F53"/>
    <mergeCell ref="J53:K53"/>
    <mergeCell ref="E63:F63"/>
    <mergeCell ref="J63:K63"/>
    <mergeCell ref="E73:F73"/>
    <mergeCell ref="J73:K73"/>
    <mergeCell ref="I64:K64"/>
    <mergeCell ref="E69:F69"/>
    <mergeCell ref="J69:K69"/>
    <mergeCell ref="E70:F70"/>
    <mergeCell ref="J70:K70"/>
    <mergeCell ref="E71:F71"/>
    <mergeCell ref="J71:K71"/>
  </mergeCells>
  <conditionalFormatting sqref="H15:H16 J16">
    <cfRule type="cellIs" dxfId="22" priority="17" stopIfTrue="1" operator="equal">
      <formula>0</formula>
    </cfRule>
  </conditionalFormatting>
  <conditionalFormatting sqref="H24:H26 I18:J18 I27:J27 D27">
    <cfRule type="cellIs" dxfId="21" priority="16" stopIfTrue="1" operator="equal">
      <formula>0</formula>
    </cfRule>
  </conditionalFormatting>
  <conditionalFormatting sqref="D44 D54 I54 D64 I64 D74 I74">
    <cfRule type="cellIs" dxfId="20" priority="8" stopIfTrue="1" operator="equal">
      <formula>0</formula>
    </cfRule>
  </conditionalFormatting>
  <dataValidations count="1">
    <dataValidation type="list" allowBlank="1" showInputMessage="1" showErrorMessage="1" sqref="D44 D74 I64 D64 I54 D54 I74">
      <formula1>"Currently in Good Health, Diabetes, Hypertension, Chest Pain/Coronary Insufficient/Mycardial Infraction"</formula1>
    </dataValidation>
  </dataValidations>
  <pageMargins left="0.7" right="0.7" top="0.75" bottom="0.75" header="0.3" footer="0.3"/>
  <pageSetup scale="57" fitToHeight="2" orientation="portrait" r:id="rId1"/>
  <headerFooter>
    <oddHeader xml:space="preserve">&amp;L -   </oddHeader>
    <oddFooter>&amp;CPage &amp;P - &amp;N</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WVU65520"/>
  <sheetViews>
    <sheetView showGridLines="0" showRowColHeaders="0" zoomScale="80" zoomScaleNormal="80" zoomScaleSheetLayoutView="100" workbookViewId="0">
      <selection activeCell="H11" sqref="H11"/>
    </sheetView>
  </sheetViews>
  <sheetFormatPr defaultColWidth="0" defaultRowHeight="13.2" zeroHeight="1" x14ac:dyDescent="0.25"/>
  <cols>
    <col min="1" max="1" width="5.88671875" style="268" customWidth="1"/>
    <col min="2" max="2" width="11.88671875" style="268" customWidth="1"/>
    <col min="3" max="3" width="8.44140625" style="268" customWidth="1"/>
    <col min="4" max="4" width="7.5546875" style="268" customWidth="1"/>
    <col min="5" max="5" width="15.5546875" style="268" customWidth="1"/>
    <col min="6" max="6" width="13.44140625" style="268" customWidth="1"/>
    <col min="7" max="7" width="17.109375" style="268" customWidth="1"/>
    <col min="8" max="8" width="25.109375" style="268" customWidth="1"/>
    <col min="9" max="9" width="26" style="268" customWidth="1"/>
    <col min="10" max="10" width="31.88671875" style="268" customWidth="1"/>
    <col min="11" max="11" width="2.33203125" style="268" customWidth="1"/>
    <col min="12" max="12" width="9.109375" style="268" customWidth="1"/>
    <col min="13" max="13" width="18.44140625" style="268" hidden="1" customWidth="1"/>
    <col min="14" max="17" width="9.109375" style="268" hidden="1" customWidth="1"/>
    <col min="18" max="18" width="48.44140625" style="268" hidden="1" customWidth="1"/>
    <col min="19" max="60" width="9.109375" style="268" hidden="1" customWidth="1"/>
    <col min="61" max="256" width="9.109375" style="268" hidden="1"/>
    <col min="257" max="257" width="5.88671875" style="268" hidden="1"/>
    <col min="258" max="258" width="11.88671875" style="268" hidden="1"/>
    <col min="259" max="259" width="8.44140625" style="268" hidden="1"/>
    <col min="260" max="260" width="7.5546875" style="268" hidden="1"/>
    <col min="261" max="261" width="15.5546875" style="268" hidden="1"/>
    <col min="262" max="262" width="13.44140625" style="268" hidden="1"/>
    <col min="263" max="263" width="17.109375" style="268" hidden="1"/>
    <col min="264" max="264" width="25.109375" style="268" hidden="1"/>
    <col min="265" max="265" width="26" style="268" hidden="1"/>
    <col min="266" max="266" width="31.88671875" style="268" hidden="1"/>
    <col min="267" max="268" width="9.109375" style="268" hidden="1"/>
    <col min="269" max="269" width="18.44140625" style="268" hidden="1"/>
    <col min="270" max="512" width="9.109375" style="268" hidden="1"/>
    <col min="513" max="513" width="5.88671875" style="268" hidden="1"/>
    <col min="514" max="514" width="11.88671875" style="268" hidden="1"/>
    <col min="515" max="515" width="8.44140625" style="268" hidden="1"/>
    <col min="516" max="516" width="7.5546875" style="268" hidden="1"/>
    <col min="517" max="517" width="15.5546875" style="268" hidden="1"/>
    <col min="518" max="518" width="13.44140625" style="268" hidden="1"/>
    <col min="519" max="519" width="17.109375" style="268" hidden="1"/>
    <col min="520" max="520" width="25.109375" style="268" hidden="1"/>
    <col min="521" max="521" width="26" style="268" hidden="1"/>
    <col min="522" max="522" width="31.88671875" style="268" hidden="1"/>
    <col min="523" max="524" width="9.109375" style="268" hidden="1"/>
    <col min="525" max="525" width="18.44140625" style="268" hidden="1"/>
    <col min="526" max="768" width="9.109375" style="268" hidden="1"/>
    <col min="769" max="769" width="5.88671875" style="268" hidden="1"/>
    <col min="770" max="770" width="11.88671875" style="268" hidden="1"/>
    <col min="771" max="771" width="8.44140625" style="268" hidden="1"/>
    <col min="772" max="772" width="7.5546875" style="268" hidden="1"/>
    <col min="773" max="773" width="15.5546875" style="268" hidden="1"/>
    <col min="774" max="774" width="13.44140625" style="268" hidden="1"/>
    <col min="775" max="775" width="17.109375" style="268" hidden="1"/>
    <col min="776" max="776" width="25.109375" style="268" hidden="1"/>
    <col min="777" max="777" width="26" style="268" hidden="1"/>
    <col min="778" max="778" width="31.88671875" style="268" hidden="1"/>
    <col min="779" max="780" width="9.109375" style="268" hidden="1"/>
    <col min="781" max="781" width="18.44140625" style="268" hidden="1"/>
    <col min="782" max="1024" width="9.109375" style="268" hidden="1"/>
    <col min="1025" max="1025" width="5.88671875" style="268" hidden="1"/>
    <col min="1026" max="1026" width="11.88671875" style="268" hidden="1"/>
    <col min="1027" max="1027" width="8.44140625" style="268" hidden="1"/>
    <col min="1028" max="1028" width="7.5546875" style="268" hidden="1"/>
    <col min="1029" max="1029" width="15.5546875" style="268" hidden="1"/>
    <col min="1030" max="1030" width="13.44140625" style="268" hidden="1"/>
    <col min="1031" max="1031" width="17.109375" style="268" hidden="1"/>
    <col min="1032" max="1032" width="25.109375" style="268" hidden="1"/>
    <col min="1033" max="1033" width="26" style="268" hidden="1"/>
    <col min="1034" max="1034" width="31.88671875" style="268" hidden="1"/>
    <col min="1035" max="1036" width="9.109375" style="268" hidden="1"/>
    <col min="1037" max="1037" width="18.44140625" style="268" hidden="1"/>
    <col min="1038" max="1280" width="9.109375" style="268" hidden="1"/>
    <col min="1281" max="1281" width="5.88671875" style="268" hidden="1"/>
    <col min="1282" max="1282" width="11.88671875" style="268" hidden="1"/>
    <col min="1283" max="1283" width="8.44140625" style="268" hidden="1"/>
    <col min="1284" max="1284" width="7.5546875" style="268" hidden="1"/>
    <col min="1285" max="1285" width="15.5546875" style="268" hidden="1"/>
    <col min="1286" max="1286" width="13.44140625" style="268" hidden="1"/>
    <col min="1287" max="1287" width="17.109375" style="268" hidden="1"/>
    <col min="1288" max="1288" width="25.109375" style="268" hidden="1"/>
    <col min="1289" max="1289" width="26" style="268" hidden="1"/>
    <col min="1290" max="1290" width="31.88671875" style="268" hidden="1"/>
    <col min="1291" max="1292" width="9.109375" style="268" hidden="1"/>
    <col min="1293" max="1293" width="18.44140625" style="268" hidden="1"/>
    <col min="1294" max="1536" width="9.109375" style="268" hidden="1"/>
    <col min="1537" max="1537" width="5.88671875" style="268" hidden="1"/>
    <col min="1538" max="1538" width="11.88671875" style="268" hidden="1"/>
    <col min="1539" max="1539" width="8.44140625" style="268" hidden="1"/>
    <col min="1540" max="1540" width="7.5546875" style="268" hidden="1"/>
    <col min="1541" max="1541" width="15.5546875" style="268" hidden="1"/>
    <col min="1542" max="1542" width="13.44140625" style="268" hidden="1"/>
    <col min="1543" max="1543" width="17.109375" style="268" hidden="1"/>
    <col min="1544" max="1544" width="25.109375" style="268" hidden="1"/>
    <col min="1545" max="1545" width="26" style="268" hidden="1"/>
    <col min="1546" max="1546" width="31.88671875" style="268" hidden="1"/>
    <col min="1547" max="1548" width="9.109375" style="268" hidden="1"/>
    <col min="1549" max="1549" width="18.44140625" style="268" hidden="1"/>
    <col min="1550" max="1792" width="9.109375" style="268" hidden="1"/>
    <col min="1793" max="1793" width="5.88671875" style="268" hidden="1"/>
    <col min="1794" max="1794" width="11.88671875" style="268" hidden="1"/>
    <col min="1795" max="1795" width="8.44140625" style="268" hidden="1"/>
    <col min="1796" max="1796" width="7.5546875" style="268" hidden="1"/>
    <col min="1797" max="1797" width="15.5546875" style="268" hidden="1"/>
    <col min="1798" max="1798" width="13.44140625" style="268" hidden="1"/>
    <col min="1799" max="1799" width="17.109375" style="268" hidden="1"/>
    <col min="1800" max="1800" width="25.109375" style="268" hidden="1"/>
    <col min="1801" max="1801" width="26" style="268" hidden="1"/>
    <col min="1802" max="1802" width="31.88671875" style="268" hidden="1"/>
    <col min="1803" max="1804" width="9.109375" style="268" hidden="1"/>
    <col min="1805" max="1805" width="18.44140625" style="268" hidden="1"/>
    <col min="1806" max="2048" width="9.109375" style="268" hidden="1"/>
    <col min="2049" max="2049" width="5.88671875" style="268" hidden="1"/>
    <col min="2050" max="2050" width="11.88671875" style="268" hidden="1"/>
    <col min="2051" max="2051" width="8.44140625" style="268" hidden="1"/>
    <col min="2052" max="2052" width="7.5546875" style="268" hidden="1"/>
    <col min="2053" max="2053" width="15.5546875" style="268" hidden="1"/>
    <col min="2054" max="2054" width="13.44140625" style="268" hidden="1"/>
    <col min="2055" max="2055" width="17.109375" style="268" hidden="1"/>
    <col min="2056" max="2056" width="25.109375" style="268" hidden="1"/>
    <col min="2057" max="2057" width="26" style="268" hidden="1"/>
    <col min="2058" max="2058" width="31.88671875" style="268" hidden="1"/>
    <col min="2059" max="2060" width="9.109375" style="268" hidden="1"/>
    <col min="2061" max="2061" width="18.44140625" style="268" hidden="1"/>
    <col min="2062" max="2304" width="9.109375" style="268" hidden="1"/>
    <col min="2305" max="2305" width="5.88671875" style="268" hidden="1"/>
    <col min="2306" max="2306" width="11.88671875" style="268" hidden="1"/>
    <col min="2307" max="2307" width="8.44140625" style="268" hidden="1"/>
    <col min="2308" max="2308" width="7.5546875" style="268" hidden="1"/>
    <col min="2309" max="2309" width="15.5546875" style="268" hidden="1"/>
    <col min="2310" max="2310" width="13.44140625" style="268" hidden="1"/>
    <col min="2311" max="2311" width="17.109375" style="268" hidden="1"/>
    <col min="2312" max="2312" width="25.109375" style="268" hidden="1"/>
    <col min="2313" max="2313" width="26" style="268" hidden="1"/>
    <col min="2314" max="2314" width="31.88671875" style="268" hidden="1"/>
    <col min="2315" max="2316" width="9.109375" style="268" hidden="1"/>
    <col min="2317" max="2317" width="18.44140625" style="268" hidden="1"/>
    <col min="2318" max="2560" width="9.109375" style="268" hidden="1"/>
    <col min="2561" max="2561" width="5.88671875" style="268" hidden="1"/>
    <col min="2562" max="2562" width="11.88671875" style="268" hidden="1"/>
    <col min="2563" max="2563" width="8.44140625" style="268" hidden="1"/>
    <col min="2564" max="2564" width="7.5546875" style="268" hidden="1"/>
    <col min="2565" max="2565" width="15.5546875" style="268" hidden="1"/>
    <col min="2566" max="2566" width="13.44140625" style="268" hidden="1"/>
    <col min="2567" max="2567" width="17.109375" style="268" hidden="1"/>
    <col min="2568" max="2568" width="25.109375" style="268" hidden="1"/>
    <col min="2569" max="2569" width="26" style="268" hidden="1"/>
    <col min="2570" max="2570" width="31.88671875" style="268" hidden="1"/>
    <col min="2571" max="2572" width="9.109375" style="268" hidden="1"/>
    <col min="2573" max="2573" width="18.44140625" style="268" hidden="1"/>
    <col min="2574" max="2816" width="9.109375" style="268" hidden="1"/>
    <col min="2817" max="2817" width="5.88671875" style="268" hidden="1"/>
    <col min="2818" max="2818" width="11.88671875" style="268" hidden="1"/>
    <col min="2819" max="2819" width="8.44140625" style="268" hidden="1"/>
    <col min="2820" max="2820" width="7.5546875" style="268" hidden="1"/>
    <col min="2821" max="2821" width="15.5546875" style="268" hidden="1"/>
    <col min="2822" max="2822" width="13.44140625" style="268" hidden="1"/>
    <col min="2823" max="2823" width="17.109375" style="268" hidden="1"/>
    <col min="2824" max="2824" width="25.109375" style="268" hidden="1"/>
    <col min="2825" max="2825" width="26" style="268" hidden="1"/>
    <col min="2826" max="2826" width="31.88671875" style="268" hidden="1"/>
    <col min="2827" max="2828" width="9.109375" style="268" hidden="1"/>
    <col min="2829" max="2829" width="18.44140625" style="268" hidden="1"/>
    <col min="2830" max="3072" width="9.109375" style="268" hidden="1"/>
    <col min="3073" max="3073" width="5.88671875" style="268" hidden="1"/>
    <col min="3074" max="3074" width="11.88671875" style="268" hidden="1"/>
    <col min="3075" max="3075" width="8.44140625" style="268" hidden="1"/>
    <col min="3076" max="3076" width="7.5546875" style="268" hidden="1"/>
    <col min="3077" max="3077" width="15.5546875" style="268" hidden="1"/>
    <col min="3078" max="3078" width="13.44140625" style="268" hidden="1"/>
    <col min="3079" max="3079" width="17.109375" style="268" hidden="1"/>
    <col min="3080" max="3080" width="25.109375" style="268" hidden="1"/>
    <col min="3081" max="3081" width="26" style="268" hidden="1"/>
    <col min="3082" max="3082" width="31.88671875" style="268" hidden="1"/>
    <col min="3083" max="3084" width="9.109375" style="268" hidden="1"/>
    <col min="3085" max="3085" width="18.44140625" style="268" hidden="1"/>
    <col min="3086" max="3328" width="9.109375" style="268" hidden="1"/>
    <col min="3329" max="3329" width="5.88671875" style="268" hidden="1"/>
    <col min="3330" max="3330" width="11.88671875" style="268" hidden="1"/>
    <col min="3331" max="3331" width="8.44140625" style="268" hidden="1"/>
    <col min="3332" max="3332" width="7.5546875" style="268" hidden="1"/>
    <col min="3333" max="3333" width="15.5546875" style="268" hidden="1"/>
    <col min="3334" max="3334" width="13.44140625" style="268" hidden="1"/>
    <col min="3335" max="3335" width="17.109375" style="268" hidden="1"/>
    <col min="3336" max="3336" width="25.109375" style="268" hidden="1"/>
    <col min="3337" max="3337" width="26" style="268" hidden="1"/>
    <col min="3338" max="3338" width="31.88671875" style="268" hidden="1"/>
    <col min="3339" max="3340" width="9.109375" style="268" hidden="1"/>
    <col min="3341" max="3341" width="18.44140625" style="268" hidden="1"/>
    <col min="3342" max="3584" width="9.109375" style="268" hidden="1"/>
    <col min="3585" max="3585" width="5.88671875" style="268" hidden="1"/>
    <col min="3586" max="3586" width="11.88671875" style="268" hidden="1"/>
    <col min="3587" max="3587" width="8.44140625" style="268" hidden="1"/>
    <col min="3588" max="3588" width="7.5546875" style="268" hidden="1"/>
    <col min="3589" max="3589" width="15.5546875" style="268" hidden="1"/>
    <col min="3590" max="3590" width="13.44140625" style="268" hidden="1"/>
    <col min="3591" max="3591" width="17.109375" style="268" hidden="1"/>
    <col min="3592" max="3592" width="25.109375" style="268" hidden="1"/>
    <col min="3593" max="3593" width="26" style="268" hidden="1"/>
    <col min="3594" max="3594" width="31.88671875" style="268" hidden="1"/>
    <col min="3595" max="3596" width="9.109375" style="268" hidden="1"/>
    <col min="3597" max="3597" width="18.44140625" style="268" hidden="1"/>
    <col min="3598" max="3840" width="9.109375" style="268" hidden="1"/>
    <col min="3841" max="3841" width="5.88671875" style="268" hidden="1"/>
    <col min="3842" max="3842" width="11.88671875" style="268" hidden="1"/>
    <col min="3843" max="3843" width="8.44140625" style="268" hidden="1"/>
    <col min="3844" max="3844" width="7.5546875" style="268" hidden="1"/>
    <col min="3845" max="3845" width="15.5546875" style="268" hidden="1"/>
    <col min="3846" max="3846" width="13.44140625" style="268" hidden="1"/>
    <col min="3847" max="3847" width="17.109375" style="268" hidden="1"/>
    <col min="3848" max="3848" width="25.109375" style="268" hidden="1"/>
    <col min="3849" max="3849" width="26" style="268" hidden="1"/>
    <col min="3850" max="3850" width="31.88671875" style="268" hidden="1"/>
    <col min="3851" max="3852" width="9.109375" style="268" hidden="1"/>
    <col min="3853" max="3853" width="18.44140625" style="268" hidden="1"/>
    <col min="3854" max="4096" width="9.109375" style="268" hidden="1"/>
    <col min="4097" max="4097" width="5.88671875" style="268" hidden="1"/>
    <col min="4098" max="4098" width="11.88671875" style="268" hidden="1"/>
    <col min="4099" max="4099" width="8.44140625" style="268" hidden="1"/>
    <col min="4100" max="4100" width="7.5546875" style="268" hidden="1"/>
    <col min="4101" max="4101" width="15.5546875" style="268" hidden="1"/>
    <col min="4102" max="4102" width="13.44140625" style="268" hidden="1"/>
    <col min="4103" max="4103" width="17.109375" style="268" hidden="1"/>
    <col min="4104" max="4104" width="25.109375" style="268" hidden="1"/>
    <col min="4105" max="4105" width="26" style="268" hidden="1"/>
    <col min="4106" max="4106" width="31.88671875" style="268" hidden="1"/>
    <col min="4107" max="4108" width="9.109375" style="268" hidden="1"/>
    <col min="4109" max="4109" width="18.44140625" style="268" hidden="1"/>
    <col min="4110" max="4352" width="9.109375" style="268" hidden="1"/>
    <col min="4353" max="4353" width="5.88671875" style="268" hidden="1"/>
    <col min="4354" max="4354" width="11.88671875" style="268" hidden="1"/>
    <col min="4355" max="4355" width="8.44140625" style="268" hidden="1"/>
    <col min="4356" max="4356" width="7.5546875" style="268" hidden="1"/>
    <col min="4357" max="4357" width="15.5546875" style="268" hidden="1"/>
    <col min="4358" max="4358" width="13.44140625" style="268" hidden="1"/>
    <col min="4359" max="4359" width="17.109375" style="268" hidden="1"/>
    <col min="4360" max="4360" width="25.109375" style="268" hidden="1"/>
    <col min="4361" max="4361" width="26" style="268" hidden="1"/>
    <col min="4362" max="4362" width="31.88671875" style="268" hidden="1"/>
    <col min="4363" max="4364" width="9.109375" style="268" hidden="1"/>
    <col min="4365" max="4365" width="18.44140625" style="268" hidden="1"/>
    <col min="4366" max="4608" width="9.109375" style="268" hidden="1"/>
    <col min="4609" max="4609" width="5.88671875" style="268" hidden="1"/>
    <col min="4610" max="4610" width="11.88671875" style="268" hidden="1"/>
    <col min="4611" max="4611" width="8.44140625" style="268" hidden="1"/>
    <col min="4612" max="4612" width="7.5546875" style="268" hidden="1"/>
    <col min="4613" max="4613" width="15.5546875" style="268" hidden="1"/>
    <col min="4614" max="4614" width="13.44140625" style="268" hidden="1"/>
    <col min="4615" max="4615" width="17.109375" style="268" hidden="1"/>
    <col min="4616" max="4616" width="25.109375" style="268" hidden="1"/>
    <col min="4617" max="4617" width="26" style="268" hidden="1"/>
    <col min="4618" max="4618" width="31.88671875" style="268" hidden="1"/>
    <col min="4619" max="4620" width="9.109375" style="268" hidden="1"/>
    <col min="4621" max="4621" width="18.44140625" style="268" hidden="1"/>
    <col min="4622" max="4864" width="9.109375" style="268" hidden="1"/>
    <col min="4865" max="4865" width="5.88671875" style="268" hidden="1"/>
    <col min="4866" max="4866" width="11.88671875" style="268" hidden="1"/>
    <col min="4867" max="4867" width="8.44140625" style="268" hidden="1"/>
    <col min="4868" max="4868" width="7.5546875" style="268" hidden="1"/>
    <col min="4869" max="4869" width="15.5546875" style="268" hidden="1"/>
    <col min="4870" max="4870" width="13.44140625" style="268" hidden="1"/>
    <col min="4871" max="4871" width="17.109375" style="268" hidden="1"/>
    <col min="4872" max="4872" width="25.109375" style="268" hidden="1"/>
    <col min="4873" max="4873" width="26" style="268" hidden="1"/>
    <col min="4874" max="4874" width="31.88671875" style="268" hidden="1"/>
    <col min="4875" max="4876" width="9.109375" style="268" hidden="1"/>
    <col min="4877" max="4877" width="18.44140625" style="268" hidden="1"/>
    <col min="4878" max="5120" width="9.109375" style="268" hidden="1"/>
    <col min="5121" max="5121" width="5.88671875" style="268" hidden="1"/>
    <col min="5122" max="5122" width="11.88671875" style="268" hidden="1"/>
    <col min="5123" max="5123" width="8.44140625" style="268" hidden="1"/>
    <col min="5124" max="5124" width="7.5546875" style="268" hidden="1"/>
    <col min="5125" max="5125" width="15.5546875" style="268" hidden="1"/>
    <col min="5126" max="5126" width="13.44140625" style="268" hidden="1"/>
    <col min="5127" max="5127" width="17.109375" style="268" hidden="1"/>
    <col min="5128" max="5128" width="25.109375" style="268" hidden="1"/>
    <col min="5129" max="5129" width="26" style="268" hidden="1"/>
    <col min="5130" max="5130" width="31.88671875" style="268" hidden="1"/>
    <col min="5131" max="5132" width="9.109375" style="268" hidden="1"/>
    <col min="5133" max="5133" width="18.44140625" style="268" hidden="1"/>
    <col min="5134" max="5376" width="9.109375" style="268" hidden="1"/>
    <col min="5377" max="5377" width="5.88671875" style="268" hidden="1"/>
    <col min="5378" max="5378" width="11.88671875" style="268" hidden="1"/>
    <col min="5379" max="5379" width="8.44140625" style="268" hidden="1"/>
    <col min="5380" max="5380" width="7.5546875" style="268" hidden="1"/>
    <col min="5381" max="5381" width="15.5546875" style="268" hidden="1"/>
    <col min="5382" max="5382" width="13.44140625" style="268" hidden="1"/>
    <col min="5383" max="5383" width="17.109375" style="268" hidden="1"/>
    <col min="5384" max="5384" width="25.109375" style="268" hidden="1"/>
    <col min="5385" max="5385" width="26" style="268" hidden="1"/>
    <col min="5386" max="5386" width="31.88671875" style="268" hidden="1"/>
    <col min="5387" max="5388" width="9.109375" style="268" hidden="1"/>
    <col min="5389" max="5389" width="18.44140625" style="268" hidden="1"/>
    <col min="5390" max="5632" width="9.109375" style="268" hidden="1"/>
    <col min="5633" max="5633" width="5.88671875" style="268" hidden="1"/>
    <col min="5634" max="5634" width="11.88671875" style="268" hidden="1"/>
    <col min="5635" max="5635" width="8.44140625" style="268" hidden="1"/>
    <col min="5636" max="5636" width="7.5546875" style="268" hidden="1"/>
    <col min="5637" max="5637" width="15.5546875" style="268" hidden="1"/>
    <col min="5638" max="5638" width="13.44140625" style="268" hidden="1"/>
    <col min="5639" max="5639" width="17.109375" style="268" hidden="1"/>
    <col min="5640" max="5640" width="25.109375" style="268" hidden="1"/>
    <col min="5641" max="5641" width="26" style="268" hidden="1"/>
    <col min="5642" max="5642" width="31.88671875" style="268" hidden="1"/>
    <col min="5643" max="5644" width="9.109375" style="268" hidden="1"/>
    <col min="5645" max="5645" width="18.44140625" style="268" hidden="1"/>
    <col min="5646" max="5888" width="9.109375" style="268" hidden="1"/>
    <col min="5889" max="5889" width="5.88671875" style="268" hidden="1"/>
    <col min="5890" max="5890" width="11.88671875" style="268" hidden="1"/>
    <col min="5891" max="5891" width="8.44140625" style="268" hidden="1"/>
    <col min="5892" max="5892" width="7.5546875" style="268" hidden="1"/>
    <col min="5893" max="5893" width="15.5546875" style="268" hidden="1"/>
    <col min="5894" max="5894" width="13.44140625" style="268" hidden="1"/>
    <col min="5895" max="5895" width="17.109375" style="268" hidden="1"/>
    <col min="5896" max="5896" width="25.109375" style="268" hidden="1"/>
    <col min="5897" max="5897" width="26" style="268" hidden="1"/>
    <col min="5898" max="5898" width="31.88671875" style="268" hidden="1"/>
    <col min="5899" max="5900" width="9.109375" style="268" hidden="1"/>
    <col min="5901" max="5901" width="18.44140625" style="268" hidden="1"/>
    <col min="5902" max="6144" width="9.109375" style="268" hidden="1"/>
    <col min="6145" max="6145" width="5.88671875" style="268" hidden="1"/>
    <col min="6146" max="6146" width="11.88671875" style="268" hidden="1"/>
    <col min="6147" max="6147" width="8.44140625" style="268" hidden="1"/>
    <col min="6148" max="6148" width="7.5546875" style="268" hidden="1"/>
    <col min="6149" max="6149" width="15.5546875" style="268" hidden="1"/>
    <col min="6150" max="6150" width="13.44140625" style="268" hidden="1"/>
    <col min="6151" max="6151" width="17.109375" style="268" hidden="1"/>
    <col min="6152" max="6152" width="25.109375" style="268" hidden="1"/>
    <col min="6153" max="6153" width="26" style="268" hidden="1"/>
    <col min="6154" max="6154" width="31.88671875" style="268" hidden="1"/>
    <col min="6155" max="6156" width="9.109375" style="268" hidden="1"/>
    <col min="6157" max="6157" width="18.44140625" style="268" hidden="1"/>
    <col min="6158" max="6400" width="9.109375" style="268" hidden="1"/>
    <col min="6401" max="6401" width="5.88671875" style="268" hidden="1"/>
    <col min="6402" max="6402" width="11.88671875" style="268" hidden="1"/>
    <col min="6403" max="6403" width="8.44140625" style="268" hidden="1"/>
    <col min="6404" max="6404" width="7.5546875" style="268" hidden="1"/>
    <col min="6405" max="6405" width="15.5546875" style="268" hidden="1"/>
    <col min="6406" max="6406" width="13.44140625" style="268" hidden="1"/>
    <col min="6407" max="6407" width="17.109375" style="268" hidden="1"/>
    <col min="6408" max="6408" width="25.109375" style="268" hidden="1"/>
    <col min="6409" max="6409" width="26" style="268" hidden="1"/>
    <col min="6410" max="6410" width="31.88671875" style="268" hidden="1"/>
    <col min="6411" max="6412" width="9.109375" style="268" hidden="1"/>
    <col min="6413" max="6413" width="18.44140625" style="268" hidden="1"/>
    <col min="6414" max="6656" width="9.109375" style="268" hidden="1"/>
    <col min="6657" max="6657" width="5.88671875" style="268" hidden="1"/>
    <col min="6658" max="6658" width="11.88671875" style="268" hidden="1"/>
    <col min="6659" max="6659" width="8.44140625" style="268" hidden="1"/>
    <col min="6660" max="6660" width="7.5546875" style="268" hidden="1"/>
    <col min="6661" max="6661" width="15.5546875" style="268" hidden="1"/>
    <col min="6662" max="6662" width="13.44140625" style="268" hidden="1"/>
    <col min="6663" max="6663" width="17.109375" style="268" hidden="1"/>
    <col min="6664" max="6664" width="25.109375" style="268" hidden="1"/>
    <col min="6665" max="6665" width="26" style="268" hidden="1"/>
    <col min="6666" max="6666" width="31.88671875" style="268" hidden="1"/>
    <col min="6667" max="6668" width="9.109375" style="268" hidden="1"/>
    <col min="6669" max="6669" width="18.44140625" style="268" hidden="1"/>
    <col min="6670" max="6912" width="9.109375" style="268" hidden="1"/>
    <col min="6913" max="6913" width="5.88671875" style="268" hidden="1"/>
    <col min="6914" max="6914" width="11.88671875" style="268" hidden="1"/>
    <col min="6915" max="6915" width="8.44140625" style="268" hidden="1"/>
    <col min="6916" max="6916" width="7.5546875" style="268" hidden="1"/>
    <col min="6917" max="6917" width="15.5546875" style="268" hidden="1"/>
    <col min="6918" max="6918" width="13.44140625" style="268" hidden="1"/>
    <col min="6919" max="6919" width="17.109375" style="268" hidden="1"/>
    <col min="6920" max="6920" width="25.109375" style="268" hidden="1"/>
    <col min="6921" max="6921" width="26" style="268" hidden="1"/>
    <col min="6922" max="6922" width="31.88671875" style="268" hidden="1"/>
    <col min="6923" max="6924" width="9.109375" style="268" hidden="1"/>
    <col min="6925" max="6925" width="18.44140625" style="268" hidden="1"/>
    <col min="6926" max="7168" width="9.109375" style="268" hidden="1"/>
    <col min="7169" max="7169" width="5.88671875" style="268" hidden="1"/>
    <col min="7170" max="7170" width="11.88671875" style="268" hidden="1"/>
    <col min="7171" max="7171" width="8.44140625" style="268" hidden="1"/>
    <col min="7172" max="7172" width="7.5546875" style="268" hidden="1"/>
    <col min="7173" max="7173" width="15.5546875" style="268" hidden="1"/>
    <col min="7174" max="7174" width="13.44140625" style="268" hidden="1"/>
    <col min="7175" max="7175" width="17.109375" style="268" hidden="1"/>
    <col min="7176" max="7176" width="25.109375" style="268" hidden="1"/>
    <col min="7177" max="7177" width="26" style="268" hidden="1"/>
    <col min="7178" max="7178" width="31.88671875" style="268" hidden="1"/>
    <col min="7179" max="7180" width="9.109375" style="268" hidden="1"/>
    <col min="7181" max="7181" width="18.44140625" style="268" hidden="1"/>
    <col min="7182" max="7424" width="9.109375" style="268" hidden="1"/>
    <col min="7425" max="7425" width="5.88671875" style="268" hidden="1"/>
    <col min="7426" max="7426" width="11.88671875" style="268" hidden="1"/>
    <col min="7427" max="7427" width="8.44140625" style="268" hidden="1"/>
    <col min="7428" max="7428" width="7.5546875" style="268" hidden="1"/>
    <col min="7429" max="7429" width="15.5546875" style="268" hidden="1"/>
    <col min="7430" max="7430" width="13.44140625" style="268" hidden="1"/>
    <col min="7431" max="7431" width="17.109375" style="268" hidden="1"/>
    <col min="7432" max="7432" width="25.109375" style="268" hidden="1"/>
    <col min="7433" max="7433" width="26" style="268" hidden="1"/>
    <col min="7434" max="7434" width="31.88671875" style="268" hidden="1"/>
    <col min="7435" max="7436" width="9.109375" style="268" hidden="1"/>
    <col min="7437" max="7437" width="18.44140625" style="268" hidden="1"/>
    <col min="7438" max="7680" width="9.109375" style="268" hidden="1"/>
    <col min="7681" max="7681" width="5.88671875" style="268" hidden="1"/>
    <col min="7682" max="7682" width="11.88671875" style="268" hidden="1"/>
    <col min="7683" max="7683" width="8.44140625" style="268" hidden="1"/>
    <col min="7684" max="7684" width="7.5546875" style="268" hidden="1"/>
    <col min="7685" max="7685" width="15.5546875" style="268" hidden="1"/>
    <col min="7686" max="7686" width="13.44140625" style="268" hidden="1"/>
    <col min="7687" max="7687" width="17.109375" style="268" hidden="1"/>
    <col min="7688" max="7688" width="25.109375" style="268" hidden="1"/>
    <col min="7689" max="7689" width="26" style="268" hidden="1"/>
    <col min="7690" max="7690" width="31.88671875" style="268" hidden="1"/>
    <col min="7691" max="7692" width="9.109375" style="268" hidden="1"/>
    <col min="7693" max="7693" width="18.44140625" style="268" hidden="1"/>
    <col min="7694" max="7936" width="9.109375" style="268" hidden="1"/>
    <col min="7937" max="7937" width="5.88671875" style="268" hidden="1"/>
    <col min="7938" max="7938" width="11.88671875" style="268" hidden="1"/>
    <col min="7939" max="7939" width="8.44140625" style="268" hidden="1"/>
    <col min="7940" max="7940" width="7.5546875" style="268" hidden="1"/>
    <col min="7941" max="7941" width="15.5546875" style="268" hidden="1"/>
    <col min="7942" max="7942" width="13.44140625" style="268" hidden="1"/>
    <col min="7943" max="7943" width="17.109375" style="268" hidden="1"/>
    <col min="7944" max="7944" width="25.109375" style="268" hidden="1"/>
    <col min="7945" max="7945" width="26" style="268" hidden="1"/>
    <col min="7946" max="7946" width="31.88671875" style="268" hidden="1"/>
    <col min="7947" max="7948" width="9.109375" style="268" hidden="1"/>
    <col min="7949" max="7949" width="18.44140625" style="268" hidden="1"/>
    <col min="7950" max="8192" width="9.109375" style="268" hidden="1"/>
    <col min="8193" max="8193" width="5.88671875" style="268" hidden="1"/>
    <col min="8194" max="8194" width="11.88671875" style="268" hidden="1"/>
    <col min="8195" max="8195" width="8.44140625" style="268" hidden="1"/>
    <col min="8196" max="8196" width="7.5546875" style="268" hidden="1"/>
    <col min="8197" max="8197" width="15.5546875" style="268" hidden="1"/>
    <col min="8198" max="8198" width="13.44140625" style="268" hidden="1"/>
    <col min="8199" max="8199" width="17.109375" style="268" hidden="1"/>
    <col min="8200" max="8200" width="25.109375" style="268" hidden="1"/>
    <col min="8201" max="8201" width="26" style="268" hidden="1"/>
    <col min="8202" max="8202" width="31.88671875" style="268" hidden="1"/>
    <col min="8203" max="8204" width="9.109375" style="268" hidden="1"/>
    <col min="8205" max="8205" width="18.44140625" style="268" hidden="1"/>
    <col min="8206" max="8448" width="9.109375" style="268" hidden="1"/>
    <col min="8449" max="8449" width="5.88671875" style="268" hidden="1"/>
    <col min="8450" max="8450" width="11.88671875" style="268" hidden="1"/>
    <col min="8451" max="8451" width="8.44140625" style="268" hidden="1"/>
    <col min="8452" max="8452" width="7.5546875" style="268" hidden="1"/>
    <col min="8453" max="8453" width="15.5546875" style="268" hidden="1"/>
    <col min="8454" max="8454" width="13.44140625" style="268" hidden="1"/>
    <col min="8455" max="8455" width="17.109375" style="268" hidden="1"/>
    <col min="8456" max="8456" width="25.109375" style="268" hidden="1"/>
    <col min="8457" max="8457" width="26" style="268" hidden="1"/>
    <col min="8458" max="8458" width="31.88671875" style="268" hidden="1"/>
    <col min="8459" max="8460" width="9.109375" style="268" hidden="1"/>
    <col min="8461" max="8461" width="18.44140625" style="268" hidden="1"/>
    <col min="8462" max="8704" width="9.109375" style="268" hidden="1"/>
    <col min="8705" max="8705" width="5.88671875" style="268" hidden="1"/>
    <col min="8706" max="8706" width="11.88671875" style="268" hidden="1"/>
    <col min="8707" max="8707" width="8.44140625" style="268" hidden="1"/>
    <col min="8708" max="8708" width="7.5546875" style="268" hidden="1"/>
    <col min="8709" max="8709" width="15.5546875" style="268" hidden="1"/>
    <col min="8710" max="8710" width="13.44140625" style="268" hidden="1"/>
    <col min="8711" max="8711" width="17.109375" style="268" hidden="1"/>
    <col min="8712" max="8712" width="25.109375" style="268" hidden="1"/>
    <col min="8713" max="8713" width="26" style="268" hidden="1"/>
    <col min="8714" max="8714" width="31.88671875" style="268" hidden="1"/>
    <col min="8715" max="8716" width="9.109375" style="268" hidden="1"/>
    <col min="8717" max="8717" width="18.44140625" style="268" hidden="1"/>
    <col min="8718" max="8960" width="9.109375" style="268" hidden="1"/>
    <col min="8961" max="8961" width="5.88671875" style="268" hidden="1"/>
    <col min="8962" max="8962" width="11.88671875" style="268" hidden="1"/>
    <col min="8963" max="8963" width="8.44140625" style="268" hidden="1"/>
    <col min="8964" max="8964" width="7.5546875" style="268" hidden="1"/>
    <col min="8965" max="8965" width="15.5546875" style="268" hidden="1"/>
    <col min="8966" max="8966" width="13.44140625" style="268" hidden="1"/>
    <col min="8967" max="8967" width="17.109375" style="268" hidden="1"/>
    <col min="8968" max="8968" width="25.109375" style="268" hidden="1"/>
    <col min="8969" max="8969" width="26" style="268" hidden="1"/>
    <col min="8970" max="8970" width="31.88671875" style="268" hidden="1"/>
    <col min="8971" max="8972" width="9.109375" style="268" hidden="1"/>
    <col min="8973" max="8973" width="18.44140625" style="268" hidden="1"/>
    <col min="8974" max="9216" width="9.109375" style="268" hidden="1"/>
    <col min="9217" max="9217" width="5.88671875" style="268" hidden="1"/>
    <col min="9218" max="9218" width="11.88671875" style="268" hidden="1"/>
    <col min="9219" max="9219" width="8.44140625" style="268" hidden="1"/>
    <col min="9220" max="9220" width="7.5546875" style="268" hidden="1"/>
    <col min="9221" max="9221" width="15.5546875" style="268" hidden="1"/>
    <col min="9222" max="9222" width="13.44140625" style="268" hidden="1"/>
    <col min="9223" max="9223" width="17.109375" style="268" hidden="1"/>
    <col min="9224" max="9224" width="25.109375" style="268" hidden="1"/>
    <col min="9225" max="9225" width="26" style="268" hidden="1"/>
    <col min="9226" max="9226" width="31.88671875" style="268" hidden="1"/>
    <col min="9227" max="9228" width="9.109375" style="268" hidden="1"/>
    <col min="9229" max="9229" width="18.44140625" style="268" hidden="1"/>
    <col min="9230" max="9472" width="9.109375" style="268" hidden="1"/>
    <col min="9473" max="9473" width="5.88671875" style="268" hidden="1"/>
    <col min="9474" max="9474" width="11.88671875" style="268" hidden="1"/>
    <col min="9475" max="9475" width="8.44140625" style="268" hidden="1"/>
    <col min="9476" max="9476" width="7.5546875" style="268" hidden="1"/>
    <col min="9477" max="9477" width="15.5546875" style="268" hidden="1"/>
    <col min="9478" max="9478" width="13.44140625" style="268" hidden="1"/>
    <col min="9479" max="9479" width="17.109375" style="268" hidden="1"/>
    <col min="9480" max="9480" width="25.109375" style="268" hidden="1"/>
    <col min="9481" max="9481" width="26" style="268" hidden="1"/>
    <col min="9482" max="9482" width="31.88671875" style="268" hidden="1"/>
    <col min="9483" max="9484" width="9.109375" style="268" hidden="1"/>
    <col min="9485" max="9485" width="18.44140625" style="268" hidden="1"/>
    <col min="9486" max="9728" width="9.109375" style="268" hidden="1"/>
    <col min="9729" max="9729" width="5.88671875" style="268" hidden="1"/>
    <col min="9730" max="9730" width="11.88671875" style="268" hidden="1"/>
    <col min="9731" max="9731" width="8.44140625" style="268" hidden="1"/>
    <col min="9732" max="9732" width="7.5546875" style="268" hidden="1"/>
    <col min="9733" max="9733" width="15.5546875" style="268" hidden="1"/>
    <col min="9734" max="9734" width="13.44140625" style="268" hidden="1"/>
    <col min="9735" max="9735" width="17.109375" style="268" hidden="1"/>
    <col min="9736" max="9736" width="25.109375" style="268" hidden="1"/>
    <col min="9737" max="9737" width="26" style="268" hidden="1"/>
    <col min="9738" max="9738" width="31.88671875" style="268" hidden="1"/>
    <col min="9739" max="9740" width="9.109375" style="268" hidden="1"/>
    <col min="9741" max="9741" width="18.44140625" style="268" hidden="1"/>
    <col min="9742" max="9984" width="9.109375" style="268" hidden="1"/>
    <col min="9985" max="9985" width="5.88671875" style="268" hidden="1"/>
    <col min="9986" max="9986" width="11.88671875" style="268" hidden="1"/>
    <col min="9987" max="9987" width="8.44140625" style="268" hidden="1"/>
    <col min="9988" max="9988" width="7.5546875" style="268" hidden="1"/>
    <col min="9989" max="9989" width="15.5546875" style="268" hidden="1"/>
    <col min="9990" max="9990" width="13.44140625" style="268" hidden="1"/>
    <col min="9991" max="9991" width="17.109375" style="268" hidden="1"/>
    <col min="9992" max="9992" width="25.109375" style="268" hidden="1"/>
    <col min="9993" max="9993" width="26" style="268" hidden="1"/>
    <col min="9994" max="9994" width="31.88671875" style="268" hidden="1"/>
    <col min="9995" max="9996" width="9.109375" style="268" hidden="1"/>
    <col min="9997" max="9997" width="18.44140625" style="268" hidden="1"/>
    <col min="9998" max="10240" width="9.109375" style="268" hidden="1"/>
    <col min="10241" max="10241" width="5.88671875" style="268" hidden="1"/>
    <col min="10242" max="10242" width="11.88671875" style="268" hidden="1"/>
    <col min="10243" max="10243" width="8.44140625" style="268" hidden="1"/>
    <col min="10244" max="10244" width="7.5546875" style="268" hidden="1"/>
    <col min="10245" max="10245" width="15.5546875" style="268" hidden="1"/>
    <col min="10246" max="10246" width="13.44140625" style="268" hidden="1"/>
    <col min="10247" max="10247" width="17.109375" style="268" hidden="1"/>
    <col min="10248" max="10248" width="25.109375" style="268" hidden="1"/>
    <col min="10249" max="10249" width="26" style="268" hidden="1"/>
    <col min="10250" max="10250" width="31.88671875" style="268" hidden="1"/>
    <col min="10251" max="10252" width="9.109375" style="268" hidden="1"/>
    <col min="10253" max="10253" width="18.44140625" style="268" hidden="1"/>
    <col min="10254" max="10496" width="9.109375" style="268" hidden="1"/>
    <col min="10497" max="10497" width="5.88671875" style="268" hidden="1"/>
    <col min="10498" max="10498" width="11.88671875" style="268" hidden="1"/>
    <col min="10499" max="10499" width="8.44140625" style="268" hidden="1"/>
    <col min="10500" max="10500" width="7.5546875" style="268" hidden="1"/>
    <col min="10501" max="10501" width="15.5546875" style="268" hidden="1"/>
    <col min="10502" max="10502" width="13.44140625" style="268" hidden="1"/>
    <col min="10503" max="10503" width="17.109375" style="268" hidden="1"/>
    <col min="10504" max="10504" width="25.109375" style="268" hidden="1"/>
    <col min="10505" max="10505" width="26" style="268" hidden="1"/>
    <col min="10506" max="10506" width="31.88671875" style="268" hidden="1"/>
    <col min="10507" max="10508" width="9.109375" style="268" hidden="1"/>
    <col min="10509" max="10509" width="18.44140625" style="268" hidden="1"/>
    <col min="10510" max="10752" width="9.109375" style="268" hidden="1"/>
    <col min="10753" max="10753" width="5.88671875" style="268" hidden="1"/>
    <col min="10754" max="10754" width="11.88671875" style="268" hidden="1"/>
    <col min="10755" max="10755" width="8.44140625" style="268" hidden="1"/>
    <col min="10756" max="10756" width="7.5546875" style="268" hidden="1"/>
    <col min="10757" max="10757" width="15.5546875" style="268" hidden="1"/>
    <col min="10758" max="10758" width="13.44140625" style="268" hidden="1"/>
    <col min="10759" max="10759" width="17.109375" style="268" hidden="1"/>
    <col min="10760" max="10760" width="25.109375" style="268" hidden="1"/>
    <col min="10761" max="10761" width="26" style="268" hidden="1"/>
    <col min="10762" max="10762" width="31.88671875" style="268" hidden="1"/>
    <col min="10763" max="10764" width="9.109375" style="268" hidden="1"/>
    <col min="10765" max="10765" width="18.44140625" style="268" hidden="1"/>
    <col min="10766" max="11008" width="9.109375" style="268" hidden="1"/>
    <col min="11009" max="11009" width="5.88671875" style="268" hidden="1"/>
    <col min="11010" max="11010" width="11.88671875" style="268" hidden="1"/>
    <col min="11011" max="11011" width="8.44140625" style="268" hidden="1"/>
    <col min="11012" max="11012" width="7.5546875" style="268" hidden="1"/>
    <col min="11013" max="11013" width="15.5546875" style="268" hidden="1"/>
    <col min="11014" max="11014" width="13.44140625" style="268" hidden="1"/>
    <col min="11015" max="11015" width="17.109375" style="268" hidden="1"/>
    <col min="11016" max="11016" width="25.109375" style="268" hidden="1"/>
    <col min="11017" max="11017" width="26" style="268" hidden="1"/>
    <col min="11018" max="11018" width="31.88671875" style="268" hidden="1"/>
    <col min="11019" max="11020" width="9.109375" style="268" hidden="1"/>
    <col min="11021" max="11021" width="18.44140625" style="268" hidden="1"/>
    <col min="11022" max="11264" width="9.109375" style="268" hidden="1"/>
    <col min="11265" max="11265" width="5.88671875" style="268" hidden="1"/>
    <col min="11266" max="11266" width="11.88671875" style="268" hidden="1"/>
    <col min="11267" max="11267" width="8.44140625" style="268" hidden="1"/>
    <col min="11268" max="11268" width="7.5546875" style="268" hidden="1"/>
    <col min="11269" max="11269" width="15.5546875" style="268" hidden="1"/>
    <col min="11270" max="11270" width="13.44140625" style="268" hidden="1"/>
    <col min="11271" max="11271" width="17.109375" style="268" hidden="1"/>
    <col min="11272" max="11272" width="25.109375" style="268" hidden="1"/>
    <col min="11273" max="11273" width="26" style="268" hidden="1"/>
    <col min="11274" max="11274" width="31.88671875" style="268" hidden="1"/>
    <col min="11275" max="11276" width="9.109375" style="268" hidden="1"/>
    <col min="11277" max="11277" width="18.44140625" style="268" hidden="1"/>
    <col min="11278" max="11520" width="9.109375" style="268" hidden="1"/>
    <col min="11521" max="11521" width="5.88671875" style="268" hidden="1"/>
    <col min="11522" max="11522" width="11.88671875" style="268" hidden="1"/>
    <col min="11523" max="11523" width="8.44140625" style="268" hidden="1"/>
    <col min="11524" max="11524" width="7.5546875" style="268" hidden="1"/>
    <col min="11525" max="11525" width="15.5546875" style="268" hidden="1"/>
    <col min="11526" max="11526" width="13.44140625" style="268" hidden="1"/>
    <col min="11527" max="11527" width="17.109375" style="268" hidden="1"/>
    <col min="11528" max="11528" width="25.109375" style="268" hidden="1"/>
    <col min="11529" max="11529" width="26" style="268" hidden="1"/>
    <col min="11530" max="11530" width="31.88671875" style="268" hidden="1"/>
    <col min="11531" max="11532" width="9.109375" style="268" hidden="1"/>
    <col min="11533" max="11533" width="18.44140625" style="268" hidden="1"/>
    <col min="11534" max="11776" width="9.109375" style="268" hidden="1"/>
    <col min="11777" max="11777" width="5.88671875" style="268" hidden="1"/>
    <col min="11778" max="11778" width="11.88671875" style="268" hidden="1"/>
    <col min="11779" max="11779" width="8.44140625" style="268" hidden="1"/>
    <col min="11780" max="11780" width="7.5546875" style="268" hidden="1"/>
    <col min="11781" max="11781" width="15.5546875" style="268" hidden="1"/>
    <col min="11782" max="11782" width="13.44140625" style="268" hidden="1"/>
    <col min="11783" max="11783" width="17.109375" style="268" hidden="1"/>
    <col min="11784" max="11784" width="25.109375" style="268" hidden="1"/>
    <col min="11785" max="11785" width="26" style="268" hidden="1"/>
    <col min="11786" max="11786" width="31.88671875" style="268" hidden="1"/>
    <col min="11787" max="11788" width="9.109375" style="268" hidden="1"/>
    <col min="11789" max="11789" width="18.44140625" style="268" hidden="1"/>
    <col min="11790" max="12032" width="9.109375" style="268" hidden="1"/>
    <col min="12033" max="12033" width="5.88671875" style="268" hidden="1"/>
    <col min="12034" max="12034" width="11.88671875" style="268" hidden="1"/>
    <col min="12035" max="12035" width="8.44140625" style="268" hidden="1"/>
    <col min="12036" max="12036" width="7.5546875" style="268" hidden="1"/>
    <col min="12037" max="12037" width="15.5546875" style="268" hidden="1"/>
    <col min="12038" max="12038" width="13.44140625" style="268" hidden="1"/>
    <col min="12039" max="12039" width="17.109375" style="268" hidden="1"/>
    <col min="12040" max="12040" width="25.109375" style="268" hidden="1"/>
    <col min="12041" max="12041" width="26" style="268" hidden="1"/>
    <col min="12042" max="12042" width="31.88671875" style="268" hidden="1"/>
    <col min="12043" max="12044" width="9.109375" style="268" hidden="1"/>
    <col min="12045" max="12045" width="18.44140625" style="268" hidden="1"/>
    <col min="12046" max="12288" width="9.109375" style="268" hidden="1"/>
    <col min="12289" max="12289" width="5.88671875" style="268" hidden="1"/>
    <col min="12290" max="12290" width="11.88671875" style="268" hidden="1"/>
    <col min="12291" max="12291" width="8.44140625" style="268" hidden="1"/>
    <col min="12292" max="12292" width="7.5546875" style="268" hidden="1"/>
    <col min="12293" max="12293" width="15.5546875" style="268" hidden="1"/>
    <col min="12294" max="12294" width="13.44140625" style="268" hidden="1"/>
    <col min="12295" max="12295" width="17.109375" style="268" hidden="1"/>
    <col min="12296" max="12296" width="25.109375" style="268" hidden="1"/>
    <col min="12297" max="12297" width="26" style="268" hidden="1"/>
    <col min="12298" max="12298" width="31.88671875" style="268" hidden="1"/>
    <col min="12299" max="12300" width="9.109375" style="268" hidden="1"/>
    <col min="12301" max="12301" width="18.44140625" style="268" hidden="1"/>
    <col min="12302" max="12544" width="9.109375" style="268" hidden="1"/>
    <col min="12545" max="12545" width="5.88671875" style="268" hidden="1"/>
    <col min="12546" max="12546" width="11.88671875" style="268" hidden="1"/>
    <col min="12547" max="12547" width="8.44140625" style="268" hidden="1"/>
    <col min="12548" max="12548" width="7.5546875" style="268" hidden="1"/>
    <col min="12549" max="12549" width="15.5546875" style="268" hidden="1"/>
    <col min="12550" max="12550" width="13.44140625" style="268" hidden="1"/>
    <col min="12551" max="12551" width="17.109375" style="268" hidden="1"/>
    <col min="12552" max="12552" width="25.109375" style="268" hidden="1"/>
    <col min="12553" max="12553" width="26" style="268" hidden="1"/>
    <col min="12554" max="12554" width="31.88671875" style="268" hidden="1"/>
    <col min="12555" max="12556" width="9.109375" style="268" hidden="1"/>
    <col min="12557" max="12557" width="18.44140625" style="268" hidden="1"/>
    <col min="12558" max="12800" width="9.109375" style="268" hidden="1"/>
    <col min="12801" max="12801" width="5.88671875" style="268" hidden="1"/>
    <col min="12802" max="12802" width="11.88671875" style="268" hidden="1"/>
    <col min="12803" max="12803" width="8.44140625" style="268" hidden="1"/>
    <col min="12804" max="12804" width="7.5546875" style="268" hidden="1"/>
    <col min="12805" max="12805" width="15.5546875" style="268" hidden="1"/>
    <col min="12806" max="12806" width="13.44140625" style="268" hidden="1"/>
    <col min="12807" max="12807" width="17.109375" style="268" hidden="1"/>
    <col min="12808" max="12808" width="25.109375" style="268" hidden="1"/>
    <col min="12809" max="12809" width="26" style="268" hidden="1"/>
    <col min="12810" max="12810" width="31.88671875" style="268" hidden="1"/>
    <col min="12811" max="12812" width="9.109375" style="268" hidden="1"/>
    <col min="12813" max="12813" width="18.44140625" style="268" hidden="1"/>
    <col min="12814" max="13056" width="9.109375" style="268" hidden="1"/>
    <col min="13057" max="13057" width="5.88671875" style="268" hidden="1"/>
    <col min="13058" max="13058" width="11.88671875" style="268" hidden="1"/>
    <col min="13059" max="13059" width="8.44140625" style="268" hidden="1"/>
    <col min="13060" max="13060" width="7.5546875" style="268" hidden="1"/>
    <col min="13061" max="13061" width="15.5546875" style="268" hidden="1"/>
    <col min="13062" max="13062" width="13.44140625" style="268" hidden="1"/>
    <col min="13063" max="13063" width="17.109375" style="268" hidden="1"/>
    <col min="13064" max="13064" width="25.109375" style="268" hidden="1"/>
    <col min="13065" max="13065" width="26" style="268" hidden="1"/>
    <col min="13066" max="13066" width="31.88671875" style="268" hidden="1"/>
    <col min="13067" max="13068" width="9.109375" style="268" hidden="1"/>
    <col min="13069" max="13069" width="18.44140625" style="268" hidden="1"/>
    <col min="13070" max="13312" width="9.109375" style="268" hidden="1"/>
    <col min="13313" max="13313" width="5.88671875" style="268" hidden="1"/>
    <col min="13314" max="13314" width="11.88671875" style="268" hidden="1"/>
    <col min="13315" max="13315" width="8.44140625" style="268" hidden="1"/>
    <col min="13316" max="13316" width="7.5546875" style="268" hidden="1"/>
    <col min="13317" max="13317" width="15.5546875" style="268" hidden="1"/>
    <col min="13318" max="13318" width="13.44140625" style="268" hidden="1"/>
    <col min="13319" max="13319" width="17.109375" style="268" hidden="1"/>
    <col min="13320" max="13320" width="25.109375" style="268" hidden="1"/>
    <col min="13321" max="13321" width="26" style="268" hidden="1"/>
    <col min="13322" max="13322" width="31.88671875" style="268" hidden="1"/>
    <col min="13323" max="13324" width="9.109375" style="268" hidden="1"/>
    <col min="13325" max="13325" width="18.44140625" style="268" hidden="1"/>
    <col min="13326" max="13568" width="9.109375" style="268" hidden="1"/>
    <col min="13569" max="13569" width="5.88671875" style="268" hidden="1"/>
    <col min="13570" max="13570" width="11.88671875" style="268" hidden="1"/>
    <col min="13571" max="13571" width="8.44140625" style="268" hidden="1"/>
    <col min="13572" max="13572" width="7.5546875" style="268" hidden="1"/>
    <col min="13573" max="13573" width="15.5546875" style="268" hidden="1"/>
    <col min="13574" max="13574" width="13.44140625" style="268" hidden="1"/>
    <col min="13575" max="13575" width="17.109375" style="268" hidden="1"/>
    <col min="13576" max="13576" width="25.109375" style="268" hidden="1"/>
    <col min="13577" max="13577" width="26" style="268" hidden="1"/>
    <col min="13578" max="13578" width="31.88671875" style="268" hidden="1"/>
    <col min="13579" max="13580" width="9.109375" style="268" hidden="1"/>
    <col min="13581" max="13581" width="18.44140625" style="268" hidden="1"/>
    <col min="13582" max="13824" width="9.109375" style="268" hidden="1"/>
    <col min="13825" max="13825" width="5.88671875" style="268" hidden="1"/>
    <col min="13826" max="13826" width="11.88671875" style="268" hidden="1"/>
    <col min="13827" max="13827" width="8.44140625" style="268" hidden="1"/>
    <col min="13828" max="13828" width="7.5546875" style="268" hidden="1"/>
    <col min="13829" max="13829" width="15.5546875" style="268" hidden="1"/>
    <col min="13830" max="13830" width="13.44140625" style="268" hidden="1"/>
    <col min="13831" max="13831" width="17.109375" style="268" hidden="1"/>
    <col min="13832" max="13832" width="25.109375" style="268" hidden="1"/>
    <col min="13833" max="13833" width="26" style="268" hidden="1"/>
    <col min="13834" max="13834" width="31.88671875" style="268" hidden="1"/>
    <col min="13835" max="13836" width="9.109375" style="268" hidden="1"/>
    <col min="13837" max="13837" width="18.44140625" style="268" hidden="1"/>
    <col min="13838" max="14080" width="9.109375" style="268" hidden="1"/>
    <col min="14081" max="14081" width="5.88671875" style="268" hidden="1"/>
    <col min="14082" max="14082" width="11.88671875" style="268" hidden="1"/>
    <col min="14083" max="14083" width="8.44140625" style="268" hidden="1"/>
    <col min="14084" max="14084" width="7.5546875" style="268" hidden="1"/>
    <col min="14085" max="14085" width="15.5546875" style="268" hidden="1"/>
    <col min="14086" max="14086" width="13.44140625" style="268" hidden="1"/>
    <col min="14087" max="14087" width="17.109375" style="268" hidden="1"/>
    <col min="14088" max="14088" width="25.109375" style="268" hidden="1"/>
    <col min="14089" max="14089" width="26" style="268" hidden="1"/>
    <col min="14090" max="14090" width="31.88671875" style="268" hidden="1"/>
    <col min="14091" max="14092" width="9.109375" style="268" hidden="1"/>
    <col min="14093" max="14093" width="18.44140625" style="268" hidden="1"/>
    <col min="14094" max="14336" width="9.109375" style="268" hidden="1"/>
    <col min="14337" max="14337" width="5.88671875" style="268" hidden="1"/>
    <col min="14338" max="14338" width="11.88671875" style="268" hidden="1"/>
    <col min="14339" max="14339" width="8.44140625" style="268" hidden="1"/>
    <col min="14340" max="14340" width="7.5546875" style="268" hidden="1"/>
    <col min="14341" max="14341" width="15.5546875" style="268" hidden="1"/>
    <col min="14342" max="14342" width="13.44140625" style="268" hidden="1"/>
    <col min="14343" max="14343" width="17.109375" style="268" hidden="1"/>
    <col min="14344" max="14344" width="25.109375" style="268" hidden="1"/>
    <col min="14345" max="14345" width="26" style="268" hidden="1"/>
    <col min="14346" max="14346" width="31.88671875" style="268" hidden="1"/>
    <col min="14347" max="14348" width="9.109375" style="268" hidden="1"/>
    <col min="14349" max="14349" width="18.44140625" style="268" hidden="1"/>
    <col min="14350" max="14592" width="9.109375" style="268" hidden="1"/>
    <col min="14593" max="14593" width="5.88671875" style="268" hidden="1"/>
    <col min="14594" max="14594" width="11.88671875" style="268" hidden="1"/>
    <col min="14595" max="14595" width="8.44140625" style="268" hidden="1"/>
    <col min="14596" max="14596" width="7.5546875" style="268" hidden="1"/>
    <col min="14597" max="14597" width="15.5546875" style="268" hidden="1"/>
    <col min="14598" max="14598" width="13.44140625" style="268" hidden="1"/>
    <col min="14599" max="14599" width="17.109375" style="268" hidden="1"/>
    <col min="14600" max="14600" width="25.109375" style="268" hidden="1"/>
    <col min="14601" max="14601" width="26" style="268" hidden="1"/>
    <col min="14602" max="14602" width="31.88671875" style="268" hidden="1"/>
    <col min="14603" max="14604" width="9.109375" style="268" hidden="1"/>
    <col min="14605" max="14605" width="18.44140625" style="268" hidden="1"/>
    <col min="14606" max="14848" width="9.109375" style="268" hidden="1"/>
    <col min="14849" max="14849" width="5.88671875" style="268" hidden="1"/>
    <col min="14850" max="14850" width="11.88671875" style="268" hidden="1"/>
    <col min="14851" max="14851" width="8.44140625" style="268" hidden="1"/>
    <col min="14852" max="14852" width="7.5546875" style="268" hidden="1"/>
    <col min="14853" max="14853" width="15.5546875" style="268" hidden="1"/>
    <col min="14854" max="14854" width="13.44140625" style="268" hidden="1"/>
    <col min="14855" max="14855" width="17.109375" style="268" hidden="1"/>
    <col min="14856" max="14856" width="25.109375" style="268" hidden="1"/>
    <col min="14857" max="14857" width="26" style="268" hidden="1"/>
    <col min="14858" max="14858" width="31.88671875" style="268" hidden="1"/>
    <col min="14859" max="14860" width="9.109375" style="268" hidden="1"/>
    <col min="14861" max="14861" width="18.44140625" style="268" hidden="1"/>
    <col min="14862" max="15104" width="9.109375" style="268" hidden="1"/>
    <col min="15105" max="15105" width="5.88671875" style="268" hidden="1"/>
    <col min="15106" max="15106" width="11.88671875" style="268" hidden="1"/>
    <col min="15107" max="15107" width="8.44140625" style="268" hidden="1"/>
    <col min="15108" max="15108" width="7.5546875" style="268" hidden="1"/>
    <col min="15109" max="15109" width="15.5546875" style="268" hidden="1"/>
    <col min="15110" max="15110" width="13.44140625" style="268" hidden="1"/>
    <col min="15111" max="15111" width="17.109375" style="268" hidden="1"/>
    <col min="15112" max="15112" width="25.109375" style="268" hidden="1"/>
    <col min="15113" max="15113" width="26" style="268" hidden="1"/>
    <col min="15114" max="15114" width="31.88671875" style="268" hidden="1"/>
    <col min="15115" max="15116" width="9.109375" style="268" hidden="1"/>
    <col min="15117" max="15117" width="18.44140625" style="268" hidden="1"/>
    <col min="15118" max="15360" width="9.109375" style="268" hidden="1"/>
    <col min="15361" max="15361" width="5.88671875" style="268" hidden="1"/>
    <col min="15362" max="15362" width="11.88671875" style="268" hidden="1"/>
    <col min="15363" max="15363" width="8.44140625" style="268" hidden="1"/>
    <col min="15364" max="15364" width="7.5546875" style="268" hidden="1"/>
    <col min="15365" max="15365" width="15.5546875" style="268" hidden="1"/>
    <col min="15366" max="15366" width="13.44140625" style="268" hidden="1"/>
    <col min="15367" max="15367" width="17.109375" style="268" hidden="1"/>
    <col min="15368" max="15368" width="25.109375" style="268" hidden="1"/>
    <col min="15369" max="15369" width="26" style="268" hidden="1"/>
    <col min="15370" max="15370" width="31.88671875" style="268" hidden="1"/>
    <col min="15371" max="15372" width="9.109375" style="268" hidden="1"/>
    <col min="15373" max="15373" width="18.44140625" style="268" hidden="1"/>
    <col min="15374" max="15616" width="9.109375" style="268" hidden="1"/>
    <col min="15617" max="15617" width="5.88671875" style="268" hidden="1"/>
    <col min="15618" max="15618" width="11.88671875" style="268" hidden="1"/>
    <col min="15619" max="15619" width="8.44140625" style="268" hidden="1"/>
    <col min="15620" max="15620" width="7.5546875" style="268" hidden="1"/>
    <col min="15621" max="15621" width="15.5546875" style="268" hidden="1"/>
    <col min="15622" max="15622" width="13.44140625" style="268" hidden="1"/>
    <col min="15623" max="15623" width="17.109375" style="268" hidden="1"/>
    <col min="15624" max="15624" width="25.109375" style="268" hidden="1"/>
    <col min="15625" max="15625" width="26" style="268" hidden="1"/>
    <col min="15626" max="15626" width="31.88671875" style="268" hidden="1"/>
    <col min="15627" max="15628" width="9.109375" style="268" hidden="1"/>
    <col min="15629" max="15629" width="18.44140625" style="268" hidden="1"/>
    <col min="15630" max="15872" width="9.109375" style="268" hidden="1"/>
    <col min="15873" max="15873" width="5.88671875" style="268" hidden="1"/>
    <col min="15874" max="15874" width="11.88671875" style="268" hidden="1"/>
    <col min="15875" max="15875" width="8.44140625" style="268" hidden="1"/>
    <col min="15876" max="15876" width="7.5546875" style="268" hidden="1"/>
    <col min="15877" max="15877" width="15.5546875" style="268" hidden="1"/>
    <col min="15878" max="15878" width="13.44140625" style="268" hidden="1"/>
    <col min="15879" max="15879" width="17.109375" style="268" hidden="1"/>
    <col min="15880" max="15880" width="25.109375" style="268" hidden="1"/>
    <col min="15881" max="15881" width="26" style="268" hidden="1"/>
    <col min="15882" max="15882" width="31.88671875" style="268" hidden="1"/>
    <col min="15883" max="15884" width="9.109375" style="268" hidden="1"/>
    <col min="15885" max="15885" width="18.44140625" style="268" hidden="1"/>
    <col min="15886" max="16128" width="9.109375" style="268" hidden="1"/>
    <col min="16129" max="16129" width="5.88671875" style="268" hidden="1"/>
    <col min="16130" max="16130" width="11.88671875" style="268" hidden="1"/>
    <col min="16131" max="16131" width="8.44140625" style="268" hidden="1"/>
    <col min="16132" max="16132" width="7.5546875" style="268" hidden="1"/>
    <col min="16133" max="16133" width="15.5546875" style="268" hidden="1"/>
    <col min="16134" max="16134" width="13.44140625" style="268" hidden="1"/>
    <col min="16135" max="16135" width="17.109375" style="268" hidden="1"/>
    <col min="16136" max="16136" width="25.109375" style="268" hidden="1"/>
    <col min="16137" max="16137" width="26" style="268" hidden="1"/>
    <col min="16138" max="16138" width="31.88671875" style="268" hidden="1"/>
    <col min="16139" max="16140" width="9.109375" style="268" hidden="1"/>
    <col min="16141" max="16141" width="18.44140625" style="268" hidden="1"/>
    <col min="16142" max="16384" width="9.109375" style="268" hidden="1"/>
  </cols>
  <sheetData>
    <row r="1" spans="1:21" ht="15" customHeight="1" x14ac:dyDescent="0.25">
      <c r="A1" s="541"/>
      <c r="B1" s="267"/>
      <c r="C1" s="267"/>
      <c r="D1" s="267"/>
      <c r="E1" s="267"/>
      <c r="F1" s="467"/>
      <c r="G1" s="267"/>
      <c r="H1" s="468" t="s">
        <v>325</v>
      </c>
      <c r="O1" s="740" t="s">
        <v>224</v>
      </c>
      <c r="P1" s="740"/>
      <c r="Q1" s="740"/>
      <c r="R1" s="740"/>
      <c r="S1" s="740"/>
      <c r="T1" s="740"/>
      <c r="U1" s="740"/>
    </row>
    <row r="2" spans="1:21" ht="15" customHeight="1" x14ac:dyDescent="0.25">
      <c r="A2" s="273"/>
      <c r="B2" s="469" t="s">
        <v>326</v>
      </c>
      <c r="C2" s="469"/>
      <c r="D2" s="470"/>
      <c r="E2" s="471"/>
      <c r="F2" s="471"/>
      <c r="G2" s="471"/>
      <c r="H2" s="337"/>
      <c r="O2" s="740"/>
      <c r="P2" s="740"/>
      <c r="Q2" s="740"/>
      <c r="R2" s="740"/>
      <c r="S2" s="740"/>
      <c r="T2" s="740"/>
      <c r="U2" s="740"/>
    </row>
    <row r="3" spans="1:21" s="272" customFormat="1" ht="15" customHeight="1" x14ac:dyDescent="0.2">
      <c r="A3" s="273"/>
      <c r="B3" s="472" t="s">
        <v>327</v>
      </c>
      <c r="C3" s="472"/>
      <c r="D3" s="470"/>
      <c r="E3" s="473"/>
      <c r="F3" s="474"/>
      <c r="G3" s="473"/>
      <c r="H3" s="475"/>
      <c r="O3" s="740"/>
      <c r="P3" s="740"/>
      <c r="Q3" s="740"/>
      <c r="R3" s="740"/>
      <c r="S3" s="740"/>
      <c r="T3" s="740"/>
      <c r="U3" s="740"/>
    </row>
    <row r="4" spans="1:21" s="272" customFormat="1" ht="15" customHeight="1" x14ac:dyDescent="0.2">
      <c r="A4" s="273"/>
      <c r="B4" s="472" t="s">
        <v>328</v>
      </c>
      <c r="C4" s="472"/>
      <c r="D4" s="470"/>
      <c r="E4" s="471"/>
      <c r="F4" s="471"/>
      <c r="G4" s="471"/>
      <c r="H4" s="337"/>
      <c r="O4" s="740"/>
      <c r="P4" s="740"/>
      <c r="Q4" s="740"/>
      <c r="R4" s="740"/>
      <c r="S4" s="740"/>
      <c r="T4" s="740"/>
      <c r="U4" s="740"/>
    </row>
    <row r="5" spans="1:21" s="476" customFormat="1" ht="39.75" customHeight="1" x14ac:dyDescent="0.3">
      <c r="A5" s="877" t="s">
        <v>329</v>
      </c>
      <c r="B5" s="832"/>
      <c r="C5" s="832"/>
      <c r="D5" s="832"/>
      <c r="E5" s="832"/>
      <c r="F5" s="832"/>
      <c r="G5" s="832"/>
      <c r="H5" s="878"/>
      <c r="O5"/>
      <c r="P5"/>
      <c r="Q5"/>
      <c r="R5" s="32"/>
      <c r="S5" s="105"/>
      <c r="T5" s="105"/>
      <c r="U5" s="32"/>
    </row>
    <row r="6" spans="1:21" s="333" customFormat="1" ht="15" customHeight="1" x14ac:dyDescent="0.3">
      <c r="A6" s="274">
        <v>1</v>
      </c>
      <c r="B6" s="275" t="s">
        <v>330</v>
      </c>
      <c r="C6" s="276"/>
      <c r="D6" s="276"/>
      <c r="E6" s="277"/>
      <c r="F6" s="879" t="str">
        <f>IF('Personal Information'!H121="", "",'Personal Information'!H121)</f>
        <v>GAURAV SINGH</v>
      </c>
      <c r="G6" s="880"/>
      <c r="H6" s="300"/>
      <c r="I6" s="477"/>
      <c r="O6"/>
      <c r="P6"/>
      <c r="Q6"/>
      <c r="R6" s="102" t="s">
        <v>174</v>
      </c>
      <c r="S6" s="101" t="s">
        <v>175</v>
      </c>
      <c r="T6" s="101" t="s">
        <v>176</v>
      </c>
      <c r="U6" s="101"/>
    </row>
    <row r="7" spans="1:21" s="333" customFormat="1" ht="12" customHeight="1" x14ac:dyDescent="0.3">
      <c r="A7" s="278"/>
      <c r="B7" s="265" t="s">
        <v>331</v>
      </c>
      <c r="C7" s="341" t="str">
        <f>IF(Empl_No=0," ",Empl_No)</f>
        <v xml:space="preserve"> </v>
      </c>
      <c r="D7" s="286"/>
      <c r="E7" s="298"/>
      <c r="F7" s="327"/>
      <c r="G7" s="299"/>
      <c r="H7" s="300"/>
      <c r="I7" s="477"/>
      <c r="O7"/>
      <c r="P7"/>
      <c r="Q7"/>
      <c r="R7" s="103"/>
      <c r="S7" s="104"/>
      <c r="T7" s="104"/>
      <c r="U7" s="104"/>
    </row>
    <row r="8" spans="1:21" s="333" customFormat="1" ht="12" customHeight="1" x14ac:dyDescent="0.3">
      <c r="A8" s="274">
        <v>2</v>
      </c>
      <c r="B8" s="280" t="s">
        <v>332</v>
      </c>
      <c r="C8" s="281"/>
      <c r="D8" s="282"/>
      <c r="E8" s="881" t="s">
        <v>834</v>
      </c>
      <c r="F8" s="882"/>
      <c r="G8" s="882"/>
      <c r="H8" s="883"/>
      <c r="O8" s="29"/>
      <c r="P8" s="5"/>
      <c r="Q8" s="5"/>
      <c r="R8" s="103" t="str">
        <f>B8 &amp; "-"&amp;B9</f>
        <v>Father's/Husband's Name:-(in case of married Women)</v>
      </c>
      <c r="S8" s="104" t="str">
        <f>IF(E8="","Check","Validated")</f>
        <v>Validated</v>
      </c>
      <c r="T8" s="104" t="s">
        <v>2</v>
      </c>
      <c r="U8" s="104"/>
    </row>
    <row r="9" spans="1:21" s="333" customFormat="1" ht="12" customHeight="1" x14ac:dyDescent="0.3">
      <c r="A9" s="278"/>
      <c r="B9" s="283" t="s">
        <v>333</v>
      </c>
      <c r="C9" s="279"/>
      <c r="D9" s="284"/>
      <c r="E9" s="884"/>
      <c r="F9" s="885"/>
      <c r="G9" s="885"/>
      <c r="H9" s="886"/>
      <c r="O9"/>
      <c r="P9"/>
      <c r="Q9"/>
      <c r="R9" s="103" t="str">
        <f>RIGHT(F11,LEN(F11)-2)</f>
        <v xml:space="preserve"> Account No </v>
      </c>
      <c r="S9" s="104" t="str">
        <f>IF(H11="","Check","Validated")</f>
        <v>Validated</v>
      </c>
      <c r="T9" s="104" t="s">
        <v>2</v>
      </c>
      <c r="U9" s="104"/>
    </row>
    <row r="10" spans="1:21" s="333" customFormat="1" ht="15" customHeight="1" x14ac:dyDescent="0.3">
      <c r="A10" s="285">
        <v>3</v>
      </c>
      <c r="B10" s="265" t="s">
        <v>8</v>
      </c>
      <c r="C10" s="266"/>
      <c r="D10" s="286"/>
      <c r="E10" s="478">
        <f>IF(DOB=0," ",DOB)</f>
        <v>34101</v>
      </c>
      <c r="F10" s="887" t="s">
        <v>334</v>
      </c>
      <c r="G10" s="888"/>
      <c r="H10" s="305" t="str">
        <f>IF(F_Name="","",M_Status)</f>
        <v>UNMARRIED</v>
      </c>
      <c r="I10" s="477"/>
      <c r="O10" s="5"/>
      <c r="P10"/>
      <c r="Q10"/>
      <c r="R10" s="103" t="s">
        <v>519</v>
      </c>
      <c r="S10" s="104" t="str">
        <f>IF(AND(A23&lt;&gt;"",I23=""),"Check","Validated")</f>
        <v>Validated</v>
      </c>
      <c r="T10" s="104" t="s">
        <v>2</v>
      </c>
      <c r="U10" s="104"/>
    </row>
    <row r="11" spans="1:21" s="333" customFormat="1" ht="15" customHeight="1" x14ac:dyDescent="0.3">
      <c r="A11" s="274">
        <v>4</v>
      </c>
      <c r="B11" s="265" t="s">
        <v>335</v>
      </c>
      <c r="C11" s="266"/>
      <c r="D11" s="286"/>
      <c r="E11" s="304" t="str">
        <f>IF(Sex=0," ",Sex)</f>
        <v>MALE</v>
      </c>
      <c r="F11" s="285" t="s">
        <v>336</v>
      </c>
      <c r="G11" s="356" t="s">
        <v>337</v>
      </c>
      <c r="H11" s="466" t="s">
        <v>832</v>
      </c>
      <c r="I11" s="477"/>
      <c r="O11"/>
      <c r="P11"/>
      <c r="Q11"/>
      <c r="R11" s="103" t="s">
        <v>520</v>
      </c>
      <c r="S11" s="104" t="str">
        <f t="shared" ref="S11:S15" si="0">IF(AND(A24&lt;&gt;"",I24=""),"Check","Validated")</f>
        <v>Validated</v>
      </c>
      <c r="T11" s="104" t="s">
        <v>2</v>
      </c>
      <c r="U11" s="104"/>
    </row>
    <row r="12" spans="1:21" s="333" customFormat="1" ht="12" customHeight="1" x14ac:dyDescent="0.25">
      <c r="A12" s="274">
        <v>7</v>
      </c>
      <c r="B12" s="276" t="s">
        <v>338</v>
      </c>
      <c r="C12" s="276"/>
      <c r="D12" s="276"/>
      <c r="E12" s="277"/>
      <c r="F12" s="276" t="s">
        <v>339</v>
      </c>
      <c r="G12" s="299"/>
      <c r="H12" s="300"/>
      <c r="O12" s="5"/>
      <c r="P12" s="5"/>
      <c r="Q12" s="5"/>
      <c r="R12" s="103" t="s">
        <v>521</v>
      </c>
      <c r="S12" s="104" t="str">
        <f t="shared" si="0"/>
        <v>Validated</v>
      </c>
      <c r="T12" s="104" t="s">
        <v>2</v>
      </c>
      <c r="U12" s="104"/>
    </row>
    <row r="13" spans="1:21" ht="14.1" customHeight="1" x14ac:dyDescent="0.3">
      <c r="A13" s="287"/>
      <c r="B13" s="288" t="str">
        <f>IF(('Personal Information'!$H$43&amp;'Personal Information'!$H$44&amp;'Personal Information'!$H$45)=0,"",'Personal Information'!$H$43&amp;" "&amp;'Personal Information'!$H$44)</f>
        <v>FDH 133 ANNPURNAPARA KANKER</v>
      </c>
      <c r="C13" s="289"/>
      <c r="D13" s="289"/>
      <c r="E13" s="290"/>
      <c r="F13" s="288" t="str">
        <f>IF(('Personal Information'!$D$43&amp;'Personal Information'!$D$44&amp;'Personal Information'!$D$45)=0,"",'Personal Information'!$D$43&amp;" "&amp;'Personal Information'!$D$44)</f>
        <v>Flat 201 Sree Hanuma's Srivatsa Residency Serilinghampally</v>
      </c>
      <c r="G13" s="301"/>
      <c r="H13" s="277"/>
      <c r="I13" s="477"/>
      <c r="J13" s="333"/>
      <c r="K13" s="333"/>
      <c r="L13" s="333"/>
      <c r="M13" s="333"/>
      <c r="N13" s="333"/>
      <c r="O13"/>
      <c r="P13"/>
      <c r="Q13"/>
      <c r="R13" s="103" t="s">
        <v>522</v>
      </c>
      <c r="S13" s="104" t="str">
        <f t="shared" si="0"/>
        <v>Validated</v>
      </c>
      <c r="T13" s="104" t="s">
        <v>2</v>
      </c>
      <c r="U13" s="104"/>
    </row>
    <row r="14" spans="1:21" s="339" customFormat="1" ht="14.1" customHeight="1" x14ac:dyDescent="0.3">
      <c r="A14" s="287"/>
      <c r="B14" s="291" t="str">
        <f>IF('Personal Information'!$H$45=0,"",'Personal Information'!$H$45)</f>
        <v/>
      </c>
      <c r="C14" s="292"/>
      <c r="D14" s="292"/>
      <c r="E14" s="293"/>
      <c r="F14" s="291" t="str">
        <f>IF('Personal Information'!$D$45=0,"",'Personal Information'!$D$45)</f>
        <v/>
      </c>
      <c r="G14" s="302"/>
      <c r="H14" s="343"/>
      <c r="J14" s="333"/>
      <c r="K14" s="333"/>
      <c r="L14" s="333"/>
      <c r="M14" s="333"/>
      <c r="N14" s="333"/>
      <c r="O14" s="5"/>
      <c r="P14" s="29"/>
      <c r="Q14" s="29"/>
      <c r="R14" s="103" t="s">
        <v>523</v>
      </c>
      <c r="S14" s="104" t="str">
        <f t="shared" si="0"/>
        <v>Validated</v>
      </c>
      <c r="T14" s="104" t="s">
        <v>2</v>
      </c>
      <c r="U14" s="29"/>
    </row>
    <row r="15" spans="1:21" s="339" customFormat="1" ht="14.1" customHeight="1" x14ac:dyDescent="0.3">
      <c r="A15" s="287"/>
      <c r="B15" s="291" t="str">
        <f>IF('Personal Information'!$H$46=0,"",'Personal Information'!$H$46&amp;" - "&amp;'Personal Information'!$H$48)</f>
        <v>KANKER - 494334</v>
      </c>
      <c r="C15" s="292"/>
      <c r="D15" s="292"/>
      <c r="E15" s="293"/>
      <c r="F15" s="291" t="str">
        <f>IF('Personal Information'!$D$46=0,"",'Personal Information'!$D$46&amp;" - "&amp;'Personal Information'!$D$48)</f>
        <v>Hyderabad - 500019</v>
      </c>
      <c r="G15" s="302"/>
      <c r="H15" s="343"/>
      <c r="J15" s="333"/>
      <c r="K15" s="333"/>
      <c r="L15" s="333"/>
      <c r="M15" s="333"/>
      <c r="N15" s="333"/>
      <c r="O15" s="29"/>
      <c r="P15" s="29"/>
      <c r="Q15" s="29"/>
      <c r="R15" s="103" t="s">
        <v>524</v>
      </c>
      <c r="S15" s="104" t="str">
        <f t="shared" si="0"/>
        <v>Validated</v>
      </c>
      <c r="T15" s="104" t="s">
        <v>2</v>
      </c>
      <c r="U15" s="29"/>
    </row>
    <row r="16" spans="1:21" s="338" customFormat="1" ht="14.1" customHeight="1" x14ac:dyDescent="0.3">
      <c r="A16" s="294"/>
      <c r="B16" s="295" t="str">
        <f>IF('Personal Information'!$H$47=0,"",'Personal Information'!$H$47)</f>
        <v>CHHATTISGARH</v>
      </c>
      <c r="C16" s="296"/>
      <c r="D16" s="296"/>
      <c r="E16" s="297"/>
      <c r="F16" s="295" t="str">
        <f>IF('Personal Information'!$D$47=0,"",'Personal Information'!$D$47)</f>
        <v>Telangana</v>
      </c>
      <c r="G16" s="303"/>
      <c r="H16" s="344"/>
      <c r="J16" s="333"/>
      <c r="K16" s="333"/>
      <c r="L16" s="333"/>
      <c r="M16" s="333"/>
      <c r="N16" s="333"/>
      <c r="O16" s="412"/>
      <c r="P16" s="412"/>
      <c r="Q16" s="412"/>
      <c r="R16" s="103"/>
      <c r="S16" s="104"/>
      <c r="T16" s="104"/>
      <c r="U16" s="412"/>
    </row>
    <row r="17" spans="1:21" ht="9.9" customHeight="1" x14ac:dyDescent="0.3">
      <c r="A17" s="280"/>
      <c r="B17" s="281"/>
      <c r="C17" s="281"/>
      <c r="D17" s="306"/>
      <c r="E17" s="307"/>
      <c r="F17" s="306"/>
      <c r="G17" s="301"/>
      <c r="H17" s="308"/>
      <c r="J17" s="333"/>
      <c r="K17" s="333"/>
      <c r="L17" s="333"/>
      <c r="M17" s="333"/>
      <c r="N17" s="333"/>
      <c r="O17" s="412"/>
      <c r="P17" s="412"/>
      <c r="Q17" s="412"/>
      <c r="R17" s="103"/>
      <c r="S17" s="104"/>
      <c r="T17" s="104"/>
      <c r="U17" s="412"/>
    </row>
    <row r="18" spans="1:21" s="313" customFormat="1" ht="18.75" customHeight="1" x14ac:dyDescent="0.3">
      <c r="A18" s="309"/>
      <c r="B18" s="310"/>
      <c r="C18" s="310"/>
      <c r="D18" s="311"/>
      <c r="E18" s="826" t="s">
        <v>340</v>
      </c>
      <c r="F18" s="827"/>
      <c r="G18" s="828"/>
      <c r="H18" s="312"/>
      <c r="J18" s="333"/>
      <c r="K18" s="333"/>
      <c r="L18" s="333"/>
      <c r="M18" s="333"/>
      <c r="N18" s="333"/>
      <c r="O18" s="412"/>
      <c r="P18" s="412"/>
      <c r="Q18" s="412"/>
      <c r="R18" s="103"/>
      <c r="S18" s="104"/>
      <c r="T18" s="104"/>
      <c r="U18" s="412"/>
    </row>
    <row r="19" spans="1:21" ht="38.25" customHeight="1" x14ac:dyDescent="0.3">
      <c r="A19" s="829" t="s">
        <v>341</v>
      </c>
      <c r="B19" s="830"/>
      <c r="C19" s="830"/>
      <c r="D19" s="830"/>
      <c r="E19" s="830"/>
      <c r="F19" s="830"/>
      <c r="G19" s="830"/>
      <c r="H19" s="831"/>
      <c r="J19" s="333"/>
      <c r="K19" s="333"/>
      <c r="L19" s="333"/>
      <c r="M19" s="333"/>
      <c r="N19" s="333"/>
      <c r="O19" s="412"/>
      <c r="P19" s="412"/>
      <c r="Q19" s="412"/>
      <c r="R19" s="103" t="b">
        <f>S19=T19</f>
        <v>1</v>
      </c>
      <c r="S19" s="105">
        <f>COUNTIF(S8:S18,"Validated")</f>
        <v>8</v>
      </c>
      <c r="T19" s="105">
        <f>COUNTIF(T8:T18,"x")</f>
        <v>8</v>
      </c>
      <c r="U19" s="412"/>
    </row>
    <row r="20" spans="1:21" ht="9.75" customHeight="1" x14ac:dyDescent="0.3">
      <c r="A20" s="280"/>
      <c r="B20" s="281"/>
      <c r="C20" s="281"/>
      <c r="D20" s="306"/>
      <c r="E20" s="307"/>
      <c r="F20" s="314"/>
      <c r="G20" s="301"/>
      <c r="H20" s="308"/>
      <c r="J20" s="333"/>
      <c r="K20" s="333"/>
      <c r="L20" s="333"/>
      <c r="M20" s="333"/>
      <c r="O20" s="412"/>
      <c r="P20" s="412"/>
      <c r="Q20" s="412"/>
      <c r="R20" s="103"/>
      <c r="S20" s="104"/>
      <c r="T20" s="104"/>
      <c r="U20" s="412"/>
    </row>
    <row r="21" spans="1:21" ht="69" customHeight="1" x14ac:dyDescent="0.3">
      <c r="A21" s="848" t="s">
        <v>342</v>
      </c>
      <c r="B21" s="850"/>
      <c r="C21" s="848" t="s">
        <v>343</v>
      </c>
      <c r="D21" s="850"/>
      <c r="E21" s="264" t="s">
        <v>344</v>
      </c>
      <c r="F21" s="315" t="s">
        <v>345</v>
      </c>
      <c r="G21" s="316" t="s">
        <v>346</v>
      </c>
      <c r="H21" s="316" t="s">
        <v>347</v>
      </c>
      <c r="I21" s="359" t="s">
        <v>348</v>
      </c>
      <c r="J21" s="359" t="s">
        <v>349</v>
      </c>
      <c r="K21" s="333"/>
      <c r="L21" s="333"/>
      <c r="M21" s="333"/>
      <c r="O21" s="412"/>
      <c r="P21" s="412"/>
      <c r="Q21" s="412"/>
      <c r="R21" s="412"/>
      <c r="S21" s="412"/>
      <c r="T21" s="412"/>
      <c r="U21" s="412"/>
    </row>
    <row r="22" spans="1:21" ht="15.6" x14ac:dyDescent="0.3">
      <c r="A22" s="848">
        <v>1</v>
      </c>
      <c r="B22" s="850"/>
      <c r="C22" s="848">
        <v>2</v>
      </c>
      <c r="D22" s="850"/>
      <c r="E22" s="264">
        <v>3</v>
      </c>
      <c r="F22" s="315">
        <v>4</v>
      </c>
      <c r="G22" s="315">
        <v>5</v>
      </c>
      <c r="H22" s="315">
        <v>6</v>
      </c>
      <c r="I22" s="360"/>
      <c r="J22" s="360"/>
      <c r="O22" s="412"/>
      <c r="P22" s="412"/>
      <c r="Q22" s="412"/>
      <c r="R22" s="412"/>
      <c r="S22" s="412"/>
      <c r="T22" s="412"/>
      <c r="U22" s="412"/>
    </row>
    <row r="23" spans="1:21" ht="60" customHeight="1" x14ac:dyDescent="0.3">
      <c r="A23" s="889" t="str">
        <f>IF('Personal Information'!$B$124=0,"",'Personal Information'!$B$124)</f>
        <v/>
      </c>
      <c r="B23" s="890"/>
      <c r="C23" s="891" t="str">
        <f>IF(A23="","",IF(I23="Permenant",$B$13&amp;CHAR(10)&amp;$B$14&amp;CHAR(10)&amp;$B$15&amp;CHAR(10)&amp;$B$16,IF(I23="Temporary",$F$13&amp;CHAR(10)&amp;$F$14&amp;CHAR(10)&amp;$F$15&amp;CHAR(10)&amp;$F$16,IF(I23="Other",J23,""))))</f>
        <v/>
      </c>
      <c r="D23" s="892"/>
      <c r="E23" s="288" t="str">
        <f>IF(A23="","",VLOOKUP($A23,'Personal Information'!$B$106:$F$111,3,0))</f>
        <v/>
      </c>
      <c r="F23" s="345" t="str">
        <f>IF(A23="","",VLOOKUP($A23,'Personal Information'!$B$106:$F$111,5,0))</f>
        <v/>
      </c>
      <c r="G23" s="346" t="str">
        <f>IF(A23="","",VLOOKUP($A23,'Personal Information'!$B$123:$H$129,5,0)*100)</f>
        <v/>
      </c>
      <c r="H23" s="479"/>
      <c r="I23" s="361" t="s">
        <v>782</v>
      </c>
      <c r="J23" s="361"/>
      <c r="K23" s="480"/>
      <c r="L23" s="480"/>
      <c r="M23" s="480"/>
      <c r="N23" s="480"/>
      <c r="O23" s="412"/>
      <c r="P23" s="412"/>
      <c r="Q23" s="412"/>
      <c r="R23" s="103"/>
      <c r="U23" s="412"/>
    </row>
    <row r="24" spans="1:21" ht="60" customHeight="1" x14ac:dyDescent="0.3">
      <c r="A24" s="893" t="str">
        <f>IF('Personal Information'!$B$125=0,"",'Personal Information'!$B$125)</f>
        <v/>
      </c>
      <c r="B24" s="894"/>
      <c r="C24" s="865" t="str">
        <f t="shared" ref="C24:C28" si="1">IF(A24="","",IF(I24="Permenant",$B$13&amp;CHAR(10)&amp;$B$14&amp;CHAR(10)&amp;$B$15&amp;CHAR(10)&amp;$B$16,IF(I24="Temporary",$F$13&amp;CHAR(10)&amp;$F$14&amp;CHAR(10)&amp;$F$15&amp;CHAR(10)&amp;$F$16,IF(I24="Other",J24,""))))</f>
        <v/>
      </c>
      <c r="D24" s="866"/>
      <c r="E24" s="325" t="str">
        <f>IF(A24="","",VLOOKUP($A24,'Personal Information'!$B$106:$F$111,3,0))</f>
        <v/>
      </c>
      <c r="F24" s="342" t="str">
        <f>IF(A24="","",VLOOKUP($A24,'Personal Information'!$B$106:$F$111,5,0))</f>
        <v/>
      </c>
      <c r="G24" s="326" t="str">
        <f>IF(A24="","",VLOOKUP($A24,'Personal Information'!$B$123:$H$129,5,0)*100)</f>
        <v/>
      </c>
      <c r="H24" s="481"/>
      <c r="I24" s="362" t="s">
        <v>783</v>
      </c>
      <c r="J24" s="362"/>
      <c r="O24" s="412"/>
      <c r="P24" s="412"/>
      <c r="Q24" s="412"/>
      <c r="R24" s="412"/>
      <c r="S24" s="412"/>
      <c r="T24" s="412"/>
      <c r="U24" s="412"/>
    </row>
    <row r="25" spans="1:21" ht="60" customHeight="1" x14ac:dyDescent="0.25">
      <c r="A25" s="824" t="str">
        <f>IF('Personal Information'!$B$126=0,"",'Personal Information'!$B$126)</f>
        <v/>
      </c>
      <c r="B25" s="825"/>
      <c r="C25" s="865" t="str">
        <f t="shared" si="1"/>
        <v/>
      </c>
      <c r="D25" s="866"/>
      <c r="E25" s="325" t="str">
        <f>IF(A25="","",VLOOKUP($A25,'Personal Information'!$B$106:$F$111,3,0))</f>
        <v/>
      </c>
      <c r="F25" s="342" t="str">
        <f>IF(A25="","",VLOOKUP($A25,'Personal Information'!$B$106:$F$111,5,0))</f>
        <v/>
      </c>
      <c r="G25" s="326" t="str">
        <f>IF(A25="","",VLOOKUP($A25,'Personal Information'!$B$123:$H$129,5,0)*100)</f>
        <v/>
      </c>
      <c r="H25" s="481"/>
      <c r="I25" s="362"/>
      <c r="J25" s="362"/>
    </row>
    <row r="26" spans="1:21" ht="60" customHeight="1" x14ac:dyDescent="0.25">
      <c r="A26" s="824" t="str">
        <f>IF('Personal Information'!$B$127=0,"",'Personal Information'!$B$127)</f>
        <v/>
      </c>
      <c r="B26" s="825"/>
      <c r="C26" s="867" t="str">
        <f t="shared" si="1"/>
        <v/>
      </c>
      <c r="D26" s="868"/>
      <c r="E26" s="350" t="str">
        <f>IF(A26="","",VLOOKUP($A26,'Personal Information'!$B$106:$F$111,3,0))</f>
        <v/>
      </c>
      <c r="F26" s="351" t="str">
        <f>IF(A26="","",VLOOKUP($A26,'Personal Information'!$B$106:$F$111,5,0))</f>
        <v/>
      </c>
      <c r="G26" s="352" t="str">
        <f>IF(A26="","",VLOOKUP($A26,'Personal Information'!$B$123:$H$129,5,0)*100)</f>
        <v/>
      </c>
      <c r="H26" s="482"/>
      <c r="I26" s="363"/>
      <c r="J26" s="363"/>
    </row>
    <row r="27" spans="1:21" ht="60" customHeight="1" x14ac:dyDescent="0.25">
      <c r="A27" s="824" t="str">
        <f>IF('Personal Information'!$B$128=0,"",'Personal Information'!$B$128)</f>
        <v/>
      </c>
      <c r="B27" s="825"/>
      <c r="C27" s="867" t="str">
        <f t="shared" si="1"/>
        <v/>
      </c>
      <c r="D27" s="868"/>
      <c r="E27" s="350" t="str">
        <f>IF(A27="","",VLOOKUP($A27,'Personal Information'!$B$106:$F$111,3,0))</f>
        <v/>
      </c>
      <c r="F27" s="351" t="str">
        <f>IF(A27="","",VLOOKUP($A27,'Personal Information'!$B$106:$F$111,5,0))</f>
        <v/>
      </c>
      <c r="G27" s="352" t="str">
        <f>IF(A27="","",VLOOKUP($A27,'Personal Information'!$B$123:$H$129,5,0)*100)</f>
        <v/>
      </c>
      <c r="H27" s="482"/>
      <c r="I27" s="363"/>
      <c r="J27" s="363"/>
    </row>
    <row r="28" spans="1:21" ht="18" customHeight="1" x14ac:dyDescent="0.25">
      <c r="A28" s="871" t="str">
        <f>IF('Personal Information'!$B$129=0,"",'Personal Information'!$B$129)</f>
        <v/>
      </c>
      <c r="B28" s="872"/>
      <c r="C28" s="873" t="str">
        <f t="shared" si="1"/>
        <v/>
      </c>
      <c r="D28" s="874"/>
      <c r="E28" s="347" t="str">
        <f>IF(A28="","",VLOOKUP($A28,'Personal Information'!$B$106:$F$111,3,0))</f>
        <v/>
      </c>
      <c r="F28" s="348" t="str">
        <f>IF(A28="","",VLOOKUP($A28,'Personal Information'!$B$106:$F$111,5,0))</f>
        <v/>
      </c>
      <c r="G28" s="349" t="str">
        <f>IF(A28="","",VLOOKUP($A28,'Personal Information'!$B$123:$H$129,5,0)*100)</f>
        <v/>
      </c>
      <c r="H28" s="483"/>
      <c r="I28" s="364"/>
      <c r="J28" s="364"/>
    </row>
    <row r="29" spans="1:21" ht="24.75" customHeight="1" x14ac:dyDescent="0.25">
      <c r="A29" s="829" t="s">
        <v>350</v>
      </c>
      <c r="B29" s="830"/>
      <c r="C29" s="830"/>
      <c r="D29" s="830"/>
      <c r="E29" s="830"/>
      <c r="F29" s="830"/>
      <c r="G29" s="830"/>
      <c r="H29" s="831"/>
    </row>
    <row r="30" spans="1:21" ht="18" customHeight="1" x14ac:dyDescent="0.25">
      <c r="A30" s="829" t="s">
        <v>351</v>
      </c>
      <c r="B30" s="830"/>
      <c r="C30" s="830"/>
      <c r="D30" s="830"/>
      <c r="E30" s="830"/>
      <c r="F30" s="830"/>
      <c r="G30" s="830"/>
      <c r="H30" s="831"/>
    </row>
    <row r="31" spans="1:21" ht="18" customHeight="1" x14ac:dyDescent="0.25">
      <c r="A31" s="280"/>
      <c r="B31" s="281"/>
      <c r="C31" s="281"/>
      <c r="D31" s="281"/>
      <c r="E31" s="292"/>
      <c r="F31" s="281"/>
      <c r="G31" s="484"/>
      <c r="H31" s="282"/>
    </row>
    <row r="32" spans="1:21" ht="18" customHeight="1" thickBot="1" x14ac:dyDescent="0.3">
      <c r="A32" s="485" t="s">
        <v>352</v>
      </c>
      <c r="B32" s="486"/>
      <c r="C32" s="486"/>
      <c r="D32" s="486"/>
      <c r="E32" s="487"/>
      <c r="F32" s="486"/>
      <c r="G32" s="488" t="s">
        <v>353</v>
      </c>
      <c r="H32" s="489"/>
    </row>
    <row r="33" spans="1:19" s="272" customFormat="1" ht="21" customHeight="1" x14ac:dyDescent="0.3">
      <c r="A33" s="490"/>
      <c r="B33" s="491"/>
      <c r="C33" s="491"/>
      <c r="D33" s="491"/>
      <c r="E33" s="492"/>
      <c r="F33" s="310" t="s">
        <v>354</v>
      </c>
      <c r="G33" s="302"/>
      <c r="H33" s="493"/>
    </row>
    <row r="34" spans="1:19" ht="18" customHeight="1" x14ac:dyDescent="0.25">
      <c r="A34" s="494" t="s">
        <v>355</v>
      </c>
      <c r="B34" s="495"/>
      <c r="C34" s="496"/>
      <c r="D34" s="875"/>
      <c r="E34" s="876"/>
      <c r="F34" s="494"/>
      <c r="G34" s="497"/>
      <c r="H34" s="498" t="s">
        <v>356</v>
      </c>
    </row>
    <row r="35" spans="1:19" ht="18" customHeight="1" x14ac:dyDescent="0.25">
      <c r="A35" s="494" t="s">
        <v>357</v>
      </c>
      <c r="B35" s="495"/>
      <c r="C35" s="496"/>
      <c r="D35" s="875" t="s">
        <v>358</v>
      </c>
      <c r="E35" s="876"/>
      <c r="F35" s="494"/>
      <c r="G35" s="497"/>
      <c r="H35" s="498"/>
    </row>
    <row r="36" spans="1:19" ht="18" customHeight="1" x14ac:dyDescent="0.25">
      <c r="A36" s="494" t="s">
        <v>359</v>
      </c>
      <c r="B36" s="495"/>
      <c r="C36" s="496"/>
      <c r="D36" s="875"/>
      <c r="E36" s="876"/>
      <c r="F36" s="494"/>
      <c r="G36" s="497"/>
      <c r="H36" s="498" t="s">
        <v>360</v>
      </c>
    </row>
    <row r="37" spans="1:19" ht="18" customHeight="1" x14ac:dyDescent="0.25">
      <c r="A37" s="499"/>
      <c r="B37" s="499"/>
      <c r="C37" s="499"/>
      <c r="D37" s="318"/>
      <c r="E37" s="318"/>
      <c r="F37" s="499"/>
      <c r="G37" s="500"/>
      <c r="H37" s="499"/>
    </row>
    <row r="38" spans="1:19" s="313" customFormat="1" ht="18.75" customHeight="1" x14ac:dyDescent="0.3">
      <c r="A38" s="317"/>
      <c r="B38" s="318"/>
      <c r="C38" s="318"/>
      <c r="D38" s="319"/>
      <c r="E38" s="826" t="s">
        <v>361</v>
      </c>
      <c r="F38" s="827"/>
      <c r="G38" s="828"/>
      <c r="H38" s="320"/>
    </row>
    <row r="39" spans="1:19" ht="27" customHeight="1" x14ac:dyDescent="0.25">
      <c r="A39" s="829" t="s">
        <v>362</v>
      </c>
      <c r="B39" s="830"/>
      <c r="C39" s="830"/>
      <c r="D39" s="830"/>
      <c r="E39" s="830"/>
      <c r="F39" s="830"/>
      <c r="G39" s="830"/>
      <c r="H39" s="831"/>
    </row>
    <row r="40" spans="1:19" ht="9.75" customHeight="1" x14ac:dyDescent="0.25">
      <c r="A40" s="280"/>
      <c r="B40" s="281"/>
      <c r="C40" s="281"/>
      <c r="D40" s="306"/>
      <c r="E40" s="307"/>
      <c r="F40" s="314"/>
      <c r="G40" s="301"/>
      <c r="H40" s="308"/>
    </row>
    <row r="41" spans="1:19" ht="21" customHeight="1" x14ac:dyDescent="0.25">
      <c r="A41" s="321" t="s">
        <v>363</v>
      </c>
      <c r="B41" s="848" t="s">
        <v>364</v>
      </c>
      <c r="C41" s="849"/>
      <c r="D41" s="848" t="s">
        <v>284</v>
      </c>
      <c r="E41" s="849"/>
      <c r="F41" s="850"/>
      <c r="G41" s="322" t="s">
        <v>8</v>
      </c>
      <c r="H41" s="323" t="s">
        <v>365</v>
      </c>
    </row>
    <row r="42" spans="1:19" x14ac:dyDescent="0.25">
      <c r="A42" s="322">
        <v>1</v>
      </c>
      <c r="B42" s="848">
        <v>2</v>
      </c>
      <c r="C42" s="869"/>
      <c r="D42" s="848">
        <v>3</v>
      </c>
      <c r="E42" s="870"/>
      <c r="F42" s="869"/>
      <c r="G42" s="322">
        <v>4</v>
      </c>
      <c r="H42" s="322">
        <v>5</v>
      </c>
    </row>
    <row r="43" spans="1:19" ht="50.1" customHeight="1" x14ac:dyDescent="0.25">
      <c r="A43" s="501">
        <v>1</v>
      </c>
      <c r="B43" s="851" t="str">
        <f>A23</f>
        <v/>
      </c>
      <c r="C43" s="852"/>
      <c r="D43" s="853" t="str">
        <f>C23</f>
        <v/>
      </c>
      <c r="E43" s="854"/>
      <c r="F43" s="855"/>
      <c r="G43" s="328" t="str">
        <f>F23</f>
        <v/>
      </c>
      <c r="H43" s="328" t="str">
        <f>E23</f>
        <v/>
      </c>
      <c r="I43" s="856"/>
      <c r="J43" s="857"/>
      <c r="K43" s="857"/>
      <c r="L43" s="857"/>
      <c r="M43" s="857"/>
      <c r="N43" s="857"/>
      <c r="O43" s="857"/>
      <c r="P43" s="857"/>
      <c r="Q43" s="857"/>
      <c r="R43" s="857"/>
      <c r="S43" s="857"/>
    </row>
    <row r="44" spans="1:19" ht="50.1" customHeight="1" x14ac:dyDescent="0.25">
      <c r="A44" s="502">
        <v>2</v>
      </c>
      <c r="B44" s="858" t="str">
        <f>A24</f>
        <v/>
      </c>
      <c r="C44" s="859"/>
      <c r="D44" s="853" t="str">
        <f>C24</f>
        <v/>
      </c>
      <c r="E44" s="854"/>
      <c r="F44" s="855"/>
      <c r="G44" s="329" t="str">
        <f>F24</f>
        <v/>
      </c>
      <c r="H44" s="329" t="str">
        <f>E24</f>
        <v/>
      </c>
    </row>
    <row r="45" spans="1:19" ht="50.1" customHeight="1" x14ac:dyDescent="0.25">
      <c r="A45" s="502">
        <v>3</v>
      </c>
      <c r="B45" s="858" t="str">
        <f>A25</f>
        <v/>
      </c>
      <c r="C45" s="859"/>
      <c r="D45" s="853" t="str">
        <f>C25</f>
        <v/>
      </c>
      <c r="E45" s="854"/>
      <c r="F45" s="855"/>
      <c r="G45" s="329" t="str">
        <f>F25</f>
        <v/>
      </c>
      <c r="H45" s="329" t="str">
        <f>E25</f>
        <v/>
      </c>
    </row>
    <row r="46" spans="1:19" ht="50.1" customHeight="1" x14ac:dyDescent="0.25">
      <c r="A46" s="502">
        <v>4</v>
      </c>
      <c r="B46" s="858" t="str">
        <f>A26</f>
        <v/>
      </c>
      <c r="C46" s="859"/>
      <c r="D46" s="853" t="str">
        <f>C26</f>
        <v/>
      </c>
      <c r="E46" s="854"/>
      <c r="F46" s="855"/>
      <c r="G46" s="329" t="str">
        <f>F26</f>
        <v/>
      </c>
      <c r="H46" s="329" t="str">
        <f>E26</f>
        <v/>
      </c>
    </row>
    <row r="47" spans="1:19" ht="50.1" customHeight="1" x14ac:dyDescent="0.25">
      <c r="A47" s="503">
        <v>5</v>
      </c>
      <c r="B47" s="860" t="str">
        <f>A28</f>
        <v/>
      </c>
      <c r="C47" s="861"/>
      <c r="D47" s="862" t="str">
        <f>C28</f>
        <v/>
      </c>
      <c r="E47" s="863"/>
      <c r="F47" s="864"/>
      <c r="G47" s="330" t="str">
        <f>F28</f>
        <v/>
      </c>
      <c r="H47" s="330" t="str">
        <f>E28</f>
        <v/>
      </c>
    </row>
    <row r="48" spans="1:19" ht="24.75" customHeight="1" x14ac:dyDescent="0.25">
      <c r="A48" s="829" t="s">
        <v>366</v>
      </c>
      <c r="B48" s="830"/>
      <c r="C48" s="830"/>
      <c r="D48" s="830"/>
      <c r="E48" s="830"/>
      <c r="F48" s="830"/>
      <c r="G48" s="830"/>
      <c r="H48" s="831"/>
    </row>
    <row r="49" spans="1:8" ht="24.75" customHeight="1" x14ac:dyDescent="0.25">
      <c r="A49" s="829" t="s">
        <v>367</v>
      </c>
      <c r="B49" s="830"/>
      <c r="C49" s="830"/>
      <c r="D49" s="830"/>
      <c r="E49" s="830"/>
      <c r="F49" s="830"/>
      <c r="G49" s="830"/>
      <c r="H49" s="831"/>
    </row>
    <row r="50" spans="1:8" ht="18.75" customHeight="1" x14ac:dyDescent="0.25">
      <c r="A50" s="368"/>
      <c r="B50" s="369"/>
      <c r="C50" s="369"/>
      <c r="D50" s="369"/>
      <c r="E50" s="369"/>
      <c r="F50" s="369"/>
      <c r="G50" s="369"/>
      <c r="H50" s="370"/>
    </row>
    <row r="51" spans="1:8" ht="18" customHeight="1" x14ac:dyDescent="0.25">
      <c r="A51" s="833" t="s">
        <v>368</v>
      </c>
      <c r="B51" s="834"/>
      <c r="C51" s="834"/>
      <c r="D51" s="834"/>
      <c r="E51" s="835"/>
      <c r="F51" s="836" t="s">
        <v>8</v>
      </c>
      <c r="G51" s="837"/>
      <c r="H51" s="323" t="s">
        <v>365</v>
      </c>
    </row>
    <row r="52" spans="1:8" ht="18" customHeight="1" x14ac:dyDescent="0.25">
      <c r="A52" s="838"/>
      <c r="B52" s="839"/>
      <c r="C52" s="839"/>
      <c r="D52" s="839"/>
      <c r="E52" s="840"/>
      <c r="F52" s="841"/>
      <c r="G52" s="842"/>
      <c r="H52" s="504"/>
    </row>
    <row r="53" spans="1:8" ht="18" customHeight="1" x14ac:dyDescent="0.25">
      <c r="A53" s="505"/>
      <c r="B53" s="506"/>
      <c r="C53" s="506"/>
      <c r="D53" s="506"/>
      <c r="E53" s="507"/>
      <c r="F53" s="508"/>
      <c r="G53" s="509"/>
      <c r="H53" s="510"/>
    </row>
    <row r="54" spans="1:8" ht="18" customHeight="1" x14ac:dyDescent="0.25">
      <c r="A54" s="505"/>
      <c r="B54" s="506"/>
      <c r="C54" s="506"/>
      <c r="D54" s="506"/>
      <c r="E54" s="507"/>
      <c r="F54" s="508"/>
      <c r="G54" s="509"/>
      <c r="H54" s="510"/>
    </row>
    <row r="55" spans="1:8" ht="18" customHeight="1" x14ac:dyDescent="0.25">
      <c r="A55" s="843"/>
      <c r="B55" s="844"/>
      <c r="C55" s="844"/>
      <c r="D55" s="844"/>
      <c r="E55" s="845"/>
      <c r="F55" s="846"/>
      <c r="G55" s="847"/>
      <c r="H55" s="511"/>
    </row>
    <row r="56" spans="1:8" ht="21" customHeight="1" x14ac:dyDescent="0.25">
      <c r="A56" s="368" t="s">
        <v>322</v>
      </c>
      <c r="B56" s="340">
        <f>IF(DOJ=0,0,DOJ)</f>
        <v>0</v>
      </c>
      <c r="C56" s="369"/>
      <c r="D56" s="369"/>
      <c r="E56" s="369"/>
      <c r="F56" s="369"/>
      <c r="G56" s="369"/>
      <c r="H56" s="370"/>
    </row>
    <row r="57" spans="1:8" s="338" customFormat="1" ht="13.5" customHeight="1" x14ac:dyDescent="0.25">
      <c r="A57" s="280" t="s">
        <v>352</v>
      </c>
      <c r="B57" s="281"/>
      <c r="C57" s="281"/>
      <c r="D57" s="281"/>
      <c r="E57" s="292"/>
      <c r="F57" s="281"/>
      <c r="G57" s="484" t="s">
        <v>353</v>
      </c>
      <c r="H57" s="282"/>
    </row>
    <row r="58" spans="1:8" ht="16.5" customHeight="1" x14ac:dyDescent="0.25">
      <c r="A58" s="368"/>
      <c r="B58" s="369"/>
      <c r="C58" s="369"/>
      <c r="D58" s="369"/>
      <c r="E58" s="369"/>
      <c r="F58" s="369"/>
      <c r="G58" s="369"/>
      <c r="H58" s="370"/>
    </row>
    <row r="59" spans="1:8" s="313" customFormat="1" ht="18.75" customHeight="1" x14ac:dyDescent="0.3">
      <c r="A59" s="309"/>
      <c r="B59" s="310"/>
      <c r="C59" s="310"/>
      <c r="D59" s="311"/>
      <c r="E59" s="826" t="s">
        <v>369</v>
      </c>
      <c r="F59" s="827"/>
      <c r="G59" s="828"/>
      <c r="H59" s="312"/>
    </row>
    <row r="60" spans="1:8" s="313" customFormat="1" ht="18.75" customHeight="1" x14ac:dyDescent="0.2">
      <c r="A60" s="280" t="s">
        <v>370</v>
      </c>
      <c r="B60" s="310"/>
      <c r="C60" s="310"/>
      <c r="D60" s="311"/>
      <c r="E60" s="512"/>
      <c r="F60" s="512"/>
      <c r="G60" s="512"/>
      <c r="H60" s="312"/>
    </row>
    <row r="61" spans="1:8" s="313" customFormat="1" ht="12.75" customHeight="1" x14ac:dyDescent="0.3">
      <c r="A61" s="513" t="s">
        <v>371</v>
      </c>
      <c r="B61" s="310"/>
      <c r="C61" s="331" t="str">
        <f>F6</f>
        <v>GAURAV SINGH</v>
      </c>
      <c r="D61" s="514"/>
      <c r="E61" s="515"/>
      <c r="F61" s="492" t="s">
        <v>372</v>
      </c>
      <c r="G61" s="512"/>
      <c r="H61" s="312"/>
    </row>
    <row r="62" spans="1:8" ht="12.75" customHeight="1" x14ac:dyDescent="0.25">
      <c r="A62" s="829" t="s">
        <v>373</v>
      </c>
      <c r="B62" s="830"/>
      <c r="C62" s="830"/>
      <c r="D62" s="830"/>
      <c r="E62" s="830"/>
      <c r="F62" s="830"/>
      <c r="G62" s="830"/>
      <c r="H62" s="831"/>
    </row>
    <row r="63" spans="1:8" ht="21" customHeight="1" x14ac:dyDescent="0.25">
      <c r="A63" s="368"/>
      <c r="B63" s="369"/>
      <c r="C63" s="369"/>
      <c r="D63" s="369"/>
      <c r="E63" s="369"/>
      <c r="F63" s="270"/>
      <c r="G63" s="270"/>
      <c r="H63" s="271"/>
    </row>
    <row r="64" spans="1:8" ht="21" customHeight="1" x14ac:dyDescent="0.25">
      <c r="A64" s="368"/>
      <c r="B64" s="369"/>
      <c r="C64" s="369"/>
      <c r="D64" s="369"/>
      <c r="E64" s="369"/>
      <c r="F64" s="830" t="s">
        <v>374</v>
      </c>
      <c r="G64" s="830"/>
      <c r="H64" s="831"/>
    </row>
    <row r="65" spans="1:8" ht="21" customHeight="1" x14ac:dyDescent="0.25">
      <c r="A65" s="368"/>
      <c r="B65" s="369"/>
      <c r="C65" s="369"/>
      <c r="D65" s="369"/>
      <c r="E65" s="369"/>
      <c r="F65" s="830" t="s">
        <v>23</v>
      </c>
      <c r="G65" s="830"/>
      <c r="H65" s="831"/>
    </row>
    <row r="66" spans="1:8" ht="21" customHeight="1" x14ac:dyDescent="0.25">
      <c r="A66" s="368"/>
      <c r="B66" s="369"/>
      <c r="C66" s="369"/>
      <c r="D66" s="369"/>
      <c r="E66" s="369"/>
      <c r="F66" s="832" t="s">
        <v>375</v>
      </c>
      <c r="G66" s="818"/>
      <c r="H66" s="819"/>
    </row>
    <row r="67" spans="1:8" ht="21" customHeight="1" x14ac:dyDescent="0.25">
      <c r="A67" s="368"/>
      <c r="B67" s="369"/>
      <c r="C67" s="369"/>
      <c r="D67" s="369"/>
      <c r="E67" s="369"/>
      <c r="F67" s="818"/>
      <c r="G67" s="818"/>
      <c r="H67" s="819"/>
    </row>
    <row r="68" spans="1:8" ht="21" customHeight="1" x14ac:dyDescent="0.25">
      <c r="A68" s="368"/>
      <c r="B68" s="369"/>
      <c r="C68" s="369"/>
      <c r="D68" s="369"/>
      <c r="E68" s="369"/>
      <c r="F68" s="818" t="s">
        <v>376</v>
      </c>
      <c r="G68" s="818"/>
      <c r="H68" s="819"/>
    </row>
    <row r="69" spans="1:8" ht="30" customHeight="1" x14ac:dyDescent="0.25">
      <c r="A69" s="269"/>
      <c r="B69" s="270"/>
      <c r="C69" s="270"/>
      <c r="D69" s="270"/>
      <c r="E69" s="820" t="s">
        <v>377</v>
      </c>
      <c r="F69" s="820"/>
      <c r="G69" s="820"/>
      <c r="H69" s="821"/>
    </row>
    <row r="70" spans="1:8" ht="65.25" customHeight="1" x14ac:dyDescent="0.25">
      <c r="A70" s="516" t="s">
        <v>322</v>
      </c>
      <c r="B70" s="517">
        <f>B56</f>
        <v>0</v>
      </c>
      <c r="C70" s="518"/>
      <c r="D70" s="519"/>
      <c r="E70" s="518"/>
      <c r="F70" s="822" t="s">
        <v>378</v>
      </c>
      <c r="G70" s="822"/>
      <c r="H70" s="823"/>
    </row>
    <row r="71" spans="1:8" ht="21" customHeight="1" x14ac:dyDescent="0.25"/>
    <row r="72" spans="1:8" ht="21" hidden="1" customHeight="1" x14ac:dyDescent="0.25"/>
    <row r="73" spans="1:8" ht="21" hidden="1" customHeight="1" x14ac:dyDescent="0.25"/>
    <row r="74" spans="1:8" ht="21" hidden="1" customHeight="1" x14ac:dyDescent="0.25"/>
    <row r="75" spans="1:8" ht="21" hidden="1" customHeight="1" x14ac:dyDescent="0.25"/>
    <row r="76" spans="1:8" ht="21" hidden="1" customHeight="1" x14ac:dyDescent="0.25"/>
    <row r="77" spans="1:8" ht="21" hidden="1" customHeight="1" x14ac:dyDescent="0.25"/>
    <row r="78" spans="1:8" ht="21" hidden="1" customHeight="1" x14ac:dyDescent="0.25"/>
    <row r="79" spans="1:8" ht="21" hidden="1" customHeight="1" x14ac:dyDescent="0.25"/>
    <row r="80" spans="1:8" ht="21" hidden="1" customHeight="1" x14ac:dyDescent="0.25"/>
    <row r="81" ht="21" hidden="1" customHeight="1" x14ac:dyDescent="0.25"/>
    <row r="82" ht="21" hidden="1" customHeight="1" x14ac:dyDescent="0.25"/>
    <row r="83" ht="21" hidden="1" customHeight="1" x14ac:dyDescent="0.25"/>
    <row r="84" ht="21" hidden="1" customHeight="1" x14ac:dyDescent="0.25"/>
    <row r="85" ht="21" hidden="1" customHeight="1" x14ac:dyDescent="0.25"/>
    <row r="86" ht="21" hidden="1" customHeight="1" x14ac:dyDescent="0.25"/>
    <row r="87" ht="21" hidden="1" customHeight="1" x14ac:dyDescent="0.25"/>
    <row r="88" ht="21" hidden="1" customHeight="1" x14ac:dyDescent="0.25"/>
    <row r="89" ht="21" hidden="1" customHeight="1" x14ac:dyDescent="0.25"/>
    <row r="90" ht="21" hidden="1" customHeight="1" x14ac:dyDescent="0.25"/>
    <row r="91" ht="21" hidden="1" customHeight="1" x14ac:dyDescent="0.25"/>
    <row r="92" ht="21" hidden="1" customHeight="1" x14ac:dyDescent="0.25"/>
    <row r="93" ht="21" hidden="1" customHeight="1" x14ac:dyDescent="0.25"/>
    <row r="94" ht="21" hidden="1" customHeight="1" x14ac:dyDescent="0.25"/>
    <row r="95" ht="21" hidden="1" customHeight="1" x14ac:dyDescent="0.25"/>
    <row r="96" ht="21" hidden="1" customHeight="1" x14ac:dyDescent="0.25"/>
    <row r="97" ht="21" hidden="1" customHeight="1" x14ac:dyDescent="0.25"/>
    <row r="98" ht="21" hidden="1" customHeight="1" x14ac:dyDescent="0.25"/>
    <row r="99" ht="21" hidden="1" customHeight="1" x14ac:dyDescent="0.25"/>
    <row r="100" ht="21" hidden="1" customHeight="1" x14ac:dyDescent="0.25"/>
    <row r="101" ht="21" hidden="1" customHeight="1" x14ac:dyDescent="0.25"/>
    <row r="102" ht="21" hidden="1" customHeight="1" x14ac:dyDescent="0.25"/>
    <row r="103" ht="21" hidden="1" customHeight="1" x14ac:dyDescent="0.25"/>
    <row r="104" ht="21" hidden="1" customHeight="1" x14ac:dyDescent="0.25"/>
    <row r="105" ht="21" hidden="1" customHeight="1" x14ac:dyDescent="0.25"/>
    <row r="106" ht="21" hidden="1" customHeight="1" x14ac:dyDescent="0.25"/>
    <row r="107" ht="21" hidden="1" customHeight="1" x14ac:dyDescent="0.25"/>
    <row r="108" ht="21" hidden="1" customHeight="1" x14ac:dyDescent="0.25"/>
    <row r="109" ht="21" hidden="1" customHeight="1" x14ac:dyDescent="0.25"/>
    <row r="110" ht="21" hidden="1" customHeight="1" x14ac:dyDescent="0.25"/>
    <row r="111" ht="21" hidden="1" customHeight="1" x14ac:dyDescent="0.25"/>
    <row r="112" ht="21" hidden="1" customHeight="1" x14ac:dyDescent="0.25"/>
    <row r="113" ht="21" hidden="1" customHeight="1" x14ac:dyDescent="0.25"/>
    <row r="114" ht="21" hidden="1" customHeight="1" x14ac:dyDescent="0.25"/>
    <row r="115" ht="21" hidden="1" customHeight="1" x14ac:dyDescent="0.25"/>
    <row r="116" ht="21" hidden="1" customHeight="1" x14ac:dyDescent="0.25"/>
    <row r="117" ht="21" hidden="1" customHeight="1" x14ac:dyDescent="0.25"/>
    <row r="118" ht="21" hidden="1" customHeight="1" x14ac:dyDescent="0.25"/>
    <row r="119" ht="21" hidden="1" customHeight="1" x14ac:dyDescent="0.25"/>
    <row r="120" ht="21" hidden="1" customHeight="1" x14ac:dyDescent="0.25"/>
    <row r="121" ht="21" hidden="1" customHeight="1" x14ac:dyDescent="0.25"/>
    <row r="122" ht="21" hidden="1" customHeight="1" x14ac:dyDescent="0.25"/>
    <row r="123" ht="21" hidden="1" customHeight="1" x14ac:dyDescent="0.25"/>
    <row r="124" ht="21" hidden="1" customHeight="1" x14ac:dyDescent="0.25"/>
    <row r="125" ht="21" hidden="1" customHeight="1" x14ac:dyDescent="0.25"/>
    <row r="126" ht="21" hidden="1" customHeight="1" x14ac:dyDescent="0.25"/>
    <row r="127" ht="21" hidden="1" customHeight="1" x14ac:dyDescent="0.25"/>
    <row r="128" ht="21" hidden="1" customHeight="1" x14ac:dyDescent="0.25"/>
    <row r="129" ht="21" hidden="1" customHeight="1" x14ac:dyDescent="0.25"/>
    <row r="130" ht="21" hidden="1" customHeight="1" x14ac:dyDescent="0.25"/>
    <row r="131" ht="21" hidden="1" customHeight="1" x14ac:dyDescent="0.25"/>
    <row r="132" ht="21" hidden="1" customHeight="1" x14ac:dyDescent="0.25"/>
    <row r="133" ht="21" hidden="1" customHeight="1" x14ac:dyDescent="0.25"/>
    <row r="134" ht="21" hidden="1" customHeight="1" x14ac:dyDescent="0.25"/>
    <row r="135" ht="21" hidden="1" customHeight="1" x14ac:dyDescent="0.25"/>
    <row r="136" ht="21" hidden="1" customHeight="1" x14ac:dyDescent="0.25"/>
    <row r="137" ht="21" hidden="1" customHeight="1" x14ac:dyDescent="0.25"/>
    <row r="138" ht="21" hidden="1" customHeight="1" x14ac:dyDescent="0.25"/>
    <row r="139" ht="21" hidden="1" customHeight="1" x14ac:dyDescent="0.25"/>
    <row r="140" ht="21" hidden="1" customHeight="1" x14ac:dyDescent="0.25"/>
    <row r="141" ht="21" hidden="1" customHeight="1" x14ac:dyDescent="0.25"/>
    <row r="142" ht="21" hidden="1" customHeight="1" x14ac:dyDescent="0.25"/>
    <row r="143" ht="21" hidden="1" customHeight="1" x14ac:dyDescent="0.25"/>
    <row r="144" ht="21" hidden="1" customHeight="1" x14ac:dyDescent="0.25"/>
    <row r="145" ht="21" hidden="1" customHeight="1" x14ac:dyDescent="0.25"/>
    <row r="146" ht="21" hidden="1" customHeight="1" x14ac:dyDescent="0.25"/>
    <row r="147" ht="21" hidden="1" customHeight="1" x14ac:dyDescent="0.25"/>
    <row r="148" ht="21" hidden="1" customHeight="1" x14ac:dyDescent="0.25"/>
    <row r="149" ht="21" hidden="1" customHeight="1" x14ac:dyDescent="0.25"/>
    <row r="150" ht="21" hidden="1" customHeight="1" x14ac:dyDescent="0.25"/>
    <row r="151" ht="21" hidden="1" customHeight="1" x14ac:dyDescent="0.25"/>
    <row r="152" ht="21" hidden="1" customHeight="1" x14ac:dyDescent="0.25"/>
    <row r="153" ht="21" hidden="1" customHeight="1" x14ac:dyDescent="0.25"/>
    <row r="154" ht="21" hidden="1" customHeight="1" x14ac:dyDescent="0.25"/>
    <row r="155" ht="21" hidden="1" customHeight="1" x14ac:dyDescent="0.25"/>
    <row r="156" ht="21" hidden="1" customHeight="1" x14ac:dyDescent="0.25"/>
    <row r="157" ht="21" hidden="1" customHeight="1" x14ac:dyDescent="0.25"/>
    <row r="158" ht="21" hidden="1" customHeight="1" x14ac:dyDescent="0.25"/>
    <row r="159" ht="21" hidden="1" customHeight="1" x14ac:dyDescent="0.25"/>
    <row r="160" ht="21" hidden="1" customHeight="1" x14ac:dyDescent="0.25"/>
    <row r="161" ht="21" hidden="1" customHeight="1" x14ac:dyDescent="0.25"/>
    <row r="162" ht="21" hidden="1" customHeight="1" x14ac:dyDescent="0.25"/>
    <row r="163" ht="21" hidden="1" customHeight="1" x14ac:dyDescent="0.25"/>
    <row r="164" ht="21" hidden="1" customHeight="1" x14ac:dyDescent="0.25"/>
    <row r="165" ht="21" hidden="1" customHeight="1" x14ac:dyDescent="0.25"/>
    <row r="166" ht="21" hidden="1" customHeight="1" x14ac:dyDescent="0.25"/>
    <row r="167" ht="21" hidden="1" customHeight="1" x14ac:dyDescent="0.25"/>
    <row r="168" ht="21" hidden="1" customHeight="1" x14ac:dyDescent="0.25"/>
    <row r="169" ht="21" hidden="1" customHeight="1" x14ac:dyDescent="0.25"/>
    <row r="170" ht="21" hidden="1" customHeight="1" x14ac:dyDescent="0.25"/>
    <row r="171" ht="21" hidden="1" customHeight="1" x14ac:dyDescent="0.25"/>
    <row r="172" ht="21" hidden="1" customHeight="1" x14ac:dyDescent="0.25"/>
    <row r="173" ht="21" hidden="1" customHeight="1" x14ac:dyDescent="0.25"/>
    <row r="174" ht="21" hidden="1" customHeight="1" x14ac:dyDescent="0.25"/>
    <row r="175" ht="21" hidden="1" customHeight="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row r="10001" hidden="1" x14ac:dyDescent="0.25"/>
    <row r="10002" hidden="1" x14ac:dyDescent="0.25"/>
    <row r="10003" hidden="1" x14ac:dyDescent="0.25"/>
    <row r="10004" hidden="1" x14ac:dyDescent="0.25"/>
    <row r="10005" hidden="1" x14ac:dyDescent="0.25"/>
    <row r="10006" hidden="1" x14ac:dyDescent="0.25"/>
    <row r="10007" hidden="1" x14ac:dyDescent="0.25"/>
    <row r="10008" hidden="1" x14ac:dyDescent="0.25"/>
    <row r="10009" hidden="1" x14ac:dyDescent="0.25"/>
    <row r="10010" hidden="1" x14ac:dyDescent="0.25"/>
    <row r="10011" hidden="1" x14ac:dyDescent="0.25"/>
    <row r="10012" hidden="1" x14ac:dyDescent="0.25"/>
    <row r="10013" hidden="1" x14ac:dyDescent="0.25"/>
    <row r="10014" hidden="1" x14ac:dyDescent="0.25"/>
    <row r="10015" hidden="1" x14ac:dyDescent="0.25"/>
    <row r="10016" hidden="1" x14ac:dyDescent="0.25"/>
    <row r="10017" hidden="1" x14ac:dyDescent="0.25"/>
    <row r="10018" hidden="1" x14ac:dyDescent="0.25"/>
    <row r="10019" hidden="1" x14ac:dyDescent="0.25"/>
    <row r="10020" hidden="1" x14ac:dyDescent="0.25"/>
    <row r="10021" hidden="1" x14ac:dyDescent="0.25"/>
    <row r="10022" hidden="1" x14ac:dyDescent="0.25"/>
    <row r="10023" hidden="1" x14ac:dyDescent="0.25"/>
    <row r="10024" hidden="1" x14ac:dyDescent="0.25"/>
    <row r="10025" hidden="1" x14ac:dyDescent="0.25"/>
    <row r="10026" hidden="1" x14ac:dyDescent="0.25"/>
    <row r="10027" hidden="1" x14ac:dyDescent="0.25"/>
    <row r="10028" hidden="1" x14ac:dyDescent="0.25"/>
    <row r="10029" hidden="1" x14ac:dyDescent="0.25"/>
    <row r="10030" hidden="1" x14ac:dyDescent="0.25"/>
    <row r="10031" hidden="1" x14ac:dyDescent="0.25"/>
    <row r="10032" hidden="1" x14ac:dyDescent="0.25"/>
    <row r="10033" hidden="1" x14ac:dyDescent="0.25"/>
    <row r="10034" hidden="1" x14ac:dyDescent="0.25"/>
    <row r="10035" hidden="1" x14ac:dyDescent="0.25"/>
    <row r="10036" hidden="1" x14ac:dyDescent="0.25"/>
    <row r="10037" hidden="1" x14ac:dyDescent="0.25"/>
    <row r="10038" hidden="1" x14ac:dyDescent="0.25"/>
    <row r="10039" hidden="1" x14ac:dyDescent="0.25"/>
    <row r="10040" hidden="1" x14ac:dyDescent="0.25"/>
    <row r="10041" hidden="1" x14ac:dyDescent="0.25"/>
    <row r="10042" hidden="1" x14ac:dyDescent="0.25"/>
    <row r="10043" hidden="1" x14ac:dyDescent="0.25"/>
    <row r="10044" hidden="1" x14ac:dyDescent="0.25"/>
    <row r="10045" hidden="1" x14ac:dyDescent="0.25"/>
    <row r="10046" hidden="1" x14ac:dyDescent="0.25"/>
    <row r="10047" hidden="1" x14ac:dyDescent="0.25"/>
    <row r="10048" hidden="1" x14ac:dyDescent="0.25"/>
    <row r="10049" hidden="1" x14ac:dyDescent="0.25"/>
    <row r="10050" hidden="1" x14ac:dyDescent="0.25"/>
    <row r="10051" hidden="1" x14ac:dyDescent="0.25"/>
    <row r="10052" hidden="1" x14ac:dyDescent="0.25"/>
    <row r="10053" hidden="1" x14ac:dyDescent="0.25"/>
    <row r="10054" hidden="1" x14ac:dyDescent="0.25"/>
    <row r="10055" hidden="1" x14ac:dyDescent="0.25"/>
    <row r="10056" hidden="1" x14ac:dyDescent="0.25"/>
    <row r="10057" hidden="1" x14ac:dyDescent="0.25"/>
    <row r="10058" hidden="1" x14ac:dyDescent="0.25"/>
    <row r="10059" hidden="1" x14ac:dyDescent="0.25"/>
    <row r="10060" hidden="1" x14ac:dyDescent="0.25"/>
    <row r="10061" hidden="1" x14ac:dyDescent="0.25"/>
    <row r="10062" hidden="1" x14ac:dyDescent="0.25"/>
    <row r="10063" hidden="1" x14ac:dyDescent="0.25"/>
    <row r="10064" hidden="1" x14ac:dyDescent="0.25"/>
    <row r="10065" hidden="1" x14ac:dyDescent="0.25"/>
    <row r="10066" hidden="1" x14ac:dyDescent="0.25"/>
    <row r="10067" hidden="1" x14ac:dyDescent="0.25"/>
    <row r="10068" hidden="1" x14ac:dyDescent="0.25"/>
    <row r="10069" hidden="1" x14ac:dyDescent="0.25"/>
    <row r="10070" hidden="1" x14ac:dyDescent="0.25"/>
    <row r="10071" hidden="1" x14ac:dyDescent="0.25"/>
    <row r="10072" hidden="1" x14ac:dyDescent="0.25"/>
    <row r="10073" hidden="1" x14ac:dyDescent="0.25"/>
    <row r="10074" hidden="1" x14ac:dyDescent="0.25"/>
    <row r="10075" hidden="1" x14ac:dyDescent="0.25"/>
    <row r="10076" hidden="1" x14ac:dyDescent="0.25"/>
    <row r="10077" hidden="1" x14ac:dyDescent="0.25"/>
    <row r="10078" hidden="1" x14ac:dyDescent="0.25"/>
    <row r="10079" hidden="1" x14ac:dyDescent="0.25"/>
    <row r="10080" hidden="1" x14ac:dyDescent="0.25"/>
    <row r="10081" hidden="1" x14ac:dyDescent="0.25"/>
    <row r="10082" hidden="1" x14ac:dyDescent="0.25"/>
    <row r="10083" hidden="1" x14ac:dyDescent="0.25"/>
    <row r="10084" hidden="1" x14ac:dyDescent="0.25"/>
    <row r="10085" hidden="1" x14ac:dyDescent="0.25"/>
    <row r="10086" hidden="1" x14ac:dyDescent="0.25"/>
    <row r="10087" hidden="1" x14ac:dyDescent="0.25"/>
    <row r="10088" hidden="1" x14ac:dyDescent="0.25"/>
    <row r="10089" hidden="1" x14ac:dyDescent="0.25"/>
    <row r="10090" hidden="1" x14ac:dyDescent="0.25"/>
    <row r="10091" hidden="1" x14ac:dyDescent="0.25"/>
    <row r="10092" hidden="1" x14ac:dyDescent="0.25"/>
    <row r="10093" hidden="1" x14ac:dyDescent="0.25"/>
    <row r="10094" hidden="1" x14ac:dyDescent="0.25"/>
    <row r="10095" hidden="1" x14ac:dyDescent="0.25"/>
    <row r="10096" hidden="1" x14ac:dyDescent="0.25"/>
    <row r="10097" hidden="1" x14ac:dyDescent="0.25"/>
    <row r="10098" hidden="1" x14ac:dyDescent="0.25"/>
    <row r="10099" hidden="1" x14ac:dyDescent="0.25"/>
    <row r="10100" hidden="1" x14ac:dyDescent="0.25"/>
    <row r="10101" hidden="1" x14ac:dyDescent="0.25"/>
    <row r="10102" hidden="1" x14ac:dyDescent="0.25"/>
    <row r="10103" hidden="1" x14ac:dyDescent="0.25"/>
    <row r="10104" hidden="1" x14ac:dyDescent="0.25"/>
    <row r="10105" hidden="1" x14ac:dyDescent="0.25"/>
    <row r="10106" hidden="1" x14ac:dyDescent="0.25"/>
    <row r="10107" hidden="1" x14ac:dyDescent="0.25"/>
    <row r="10108" hidden="1" x14ac:dyDescent="0.25"/>
    <row r="10109" hidden="1" x14ac:dyDescent="0.25"/>
    <row r="10110" hidden="1" x14ac:dyDescent="0.25"/>
    <row r="10111" hidden="1" x14ac:dyDescent="0.25"/>
    <row r="10112" hidden="1" x14ac:dyDescent="0.25"/>
    <row r="10113" hidden="1" x14ac:dyDescent="0.25"/>
    <row r="10114" hidden="1" x14ac:dyDescent="0.25"/>
    <row r="10115" hidden="1" x14ac:dyDescent="0.25"/>
    <row r="10116" hidden="1" x14ac:dyDescent="0.25"/>
    <row r="10117" hidden="1" x14ac:dyDescent="0.25"/>
    <row r="10118" hidden="1" x14ac:dyDescent="0.25"/>
    <row r="10119" hidden="1" x14ac:dyDescent="0.25"/>
    <row r="10120" hidden="1" x14ac:dyDescent="0.25"/>
    <row r="10121" hidden="1" x14ac:dyDescent="0.25"/>
    <row r="10122" hidden="1" x14ac:dyDescent="0.25"/>
    <row r="10123" hidden="1" x14ac:dyDescent="0.25"/>
    <row r="10124" hidden="1" x14ac:dyDescent="0.25"/>
    <row r="10125" hidden="1" x14ac:dyDescent="0.25"/>
    <row r="10126" hidden="1" x14ac:dyDescent="0.25"/>
    <row r="10127" hidden="1" x14ac:dyDescent="0.25"/>
    <row r="10128" hidden="1" x14ac:dyDescent="0.25"/>
    <row r="10129" hidden="1" x14ac:dyDescent="0.25"/>
    <row r="10130" hidden="1" x14ac:dyDescent="0.25"/>
    <row r="10131" hidden="1" x14ac:dyDescent="0.25"/>
    <row r="10132" hidden="1" x14ac:dyDescent="0.25"/>
    <row r="10133" hidden="1" x14ac:dyDescent="0.25"/>
    <row r="10134" hidden="1" x14ac:dyDescent="0.25"/>
    <row r="10135" hidden="1" x14ac:dyDescent="0.25"/>
    <row r="10136" hidden="1" x14ac:dyDescent="0.25"/>
    <row r="10137" hidden="1" x14ac:dyDescent="0.25"/>
    <row r="10138" hidden="1" x14ac:dyDescent="0.25"/>
    <row r="10139" hidden="1" x14ac:dyDescent="0.25"/>
    <row r="10140" hidden="1" x14ac:dyDescent="0.25"/>
    <row r="10141" hidden="1" x14ac:dyDescent="0.25"/>
    <row r="10142" hidden="1" x14ac:dyDescent="0.25"/>
    <row r="10143" hidden="1" x14ac:dyDescent="0.25"/>
    <row r="10144" hidden="1" x14ac:dyDescent="0.25"/>
    <row r="10145" hidden="1" x14ac:dyDescent="0.25"/>
    <row r="10146" hidden="1" x14ac:dyDescent="0.25"/>
    <row r="10147" hidden="1" x14ac:dyDescent="0.25"/>
    <row r="10148" hidden="1" x14ac:dyDescent="0.25"/>
    <row r="10149" hidden="1" x14ac:dyDescent="0.25"/>
    <row r="10150" hidden="1" x14ac:dyDescent="0.25"/>
    <row r="10151" hidden="1" x14ac:dyDescent="0.25"/>
    <row r="10152" hidden="1" x14ac:dyDescent="0.25"/>
    <row r="10153" hidden="1" x14ac:dyDescent="0.25"/>
    <row r="10154" hidden="1" x14ac:dyDescent="0.25"/>
    <row r="10155" hidden="1" x14ac:dyDescent="0.25"/>
    <row r="10156" hidden="1" x14ac:dyDescent="0.25"/>
    <row r="10157" hidden="1" x14ac:dyDescent="0.25"/>
    <row r="10158" hidden="1" x14ac:dyDescent="0.25"/>
    <row r="10159" hidden="1" x14ac:dyDescent="0.25"/>
    <row r="10160" hidden="1" x14ac:dyDescent="0.25"/>
    <row r="10161" hidden="1" x14ac:dyDescent="0.25"/>
    <row r="10162" hidden="1" x14ac:dyDescent="0.25"/>
    <row r="10163" hidden="1" x14ac:dyDescent="0.25"/>
    <row r="10164" hidden="1" x14ac:dyDescent="0.25"/>
    <row r="10165" hidden="1" x14ac:dyDescent="0.25"/>
    <row r="10166" hidden="1" x14ac:dyDescent="0.25"/>
    <row r="10167" hidden="1" x14ac:dyDescent="0.25"/>
    <row r="10168" hidden="1" x14ac:dyDescent="0.25"/>
    <row r="10169" hidden="1" x14ac:dyDescent="0.25"/>
    <row r="10170" hidden="1" x14ac:dyDescent="0.25"/>
    <row r="10171" hidden="1" x14ac:dyDescent="0.25"/>
    <row r="10172" hidden="1" x14ac:dyDescent="0.25"/>
    <row r="10173" hidden="1" x14ac:dyDescent="0.25"/>
    <row r="10174" hidden="1" x14ac:dyDescent="0.25"/>
    <row r="10175" hidden="1" x14ac:dyDescent="0.25"/>
    <row r="10176" hidden="1" x14ac:dyDescent="0.25"/>
    <row r="10177" hidden="1" x14ac:dyDescent="0.25"/>
    <row r="10178" hidden="1" x14ac:dyDescent="0.25"/>
    <row r="10179" hidden="1" x14ac:dyDescent="0.25"/>
    <row r="10180" hidden="1" x14ac:dyDescent="0.25"/>
    <row r="10181" hidden="1" x14ac:dyDescent="0.25"/>
    <row r="10182" hidden="1" x14ac:dyDescent="0.25"/>
    <row r="10183" hidden="1" x14ac:dyDescent="0.25"/>
    <row r="10184" hidden="1" x14ac:dyDescent="0.25"/>
    <row r="10185" hidden="1" x14ac:dyDescent="0.25"/>
    <row r="10186" hidden="1" x14ac:dyDescent="0.25"/>
    <row r="10187" hidden="1" x14ac:dyDescent="0.25"/>
    <row r="10188" hidden="1" x14ac:dyDescent="0.25"/>
    <row r="10189" hidden="1" x14ac:dyDescent="0.25"/>
    <row r="10190" hidden="1" x14ac:dyDescent="0.25"/>
    <row r="10191" hidden="1" x14ac:dyDescent="0.25"/>
    <row r="10192" hidden="1" x14ac:dyDescent="0.25"/>
    <row r="10193" hidden="1" x14ac:dyDescent="0.25"/>
    <row r="10194" hidden="1" x14ac:dyDescent="0.25"/>
    <row r="10195" hidden="1" x14ac:dyDescent="0.25"/>
    <row r="10196" hidden="1" x14ac:dyDescent="0.25"/>
    <row r="10197" hidden="1" x14ac:dyDescent="0.25"/>
    <row r="10198" hidden="1" x14ac:dyDescent="0.25"/>
    <row r="10199" hidden="1" x14ac:dyDescent="0.25"/>
    <row r="10200" hidden="1" x14ac:dyDescent="0.25"/>
    <row r="10201" hidden="1" x14ac:dyDescent="0.25"/>
    <row r="10202" hidden="1" x14ac:dyDescent="0.25"/>
    <row r="10203" hidden="1" x14ac:dyDescent="0.25"/>
    <row r="10204" hidden="1" x14ac:dyDescent="0.25"/>
    <row r="10205" hidden="1" x14ac:dyDescent="0.25"/>
    <row r="10206" hidden="1" x14ac:dyDescent="0.25"/>
    <row r="10207" hidden="1" x14ac:dyDescent="0.25"/>
    <row r="10208" hidden="1" x14ac:dyDescent="0.25"/>
    <row r="10209" hidden="1" x14ac:dyDescent="0.25"/>
    <row r="10210" hidden="1" x14ac:dyDescent="0.25"/>
    <row r="10211" hidden="1" x14ac:dyDescent="0.25"/>
    <row r="10212" hidden="1" x14ac:dyDescent="0.25"/>
    <row r="10213" hidden="1" x14ac:dyDescent="0.25"/>
    <row r="10214" hidden="1" x14ac:dyDescent="0.25"/>
    <row r="10215" hidden="1" x14ac:dyDescent="0.25"/>
    <row r="10216" hidden="1" x14ac:dyDescent="0.25"/>
    <row r="10217" hidden="1" x14ac:dyDescent="0.25"/>
    <row r="10218" hidden="1" x14ac:dyDescent="0.25"/>
    <row r="10219" hidden="1" x14ac:dyDescent="0.25"/>
    <row r="10220" hidden="1" x14ac:dyDescent="0.25"/>
    <row r="10221" hidden="1" x14ac:dyDescent="0.25"/>
    <row r="10222" hidden="1" x14ac:dyDescent="0.25"/>
    <row r="10223" hidden="1" x14ac:dyDescent="0.25"/>
    <row r="10224" hidden="1" x14ac:dyDescent="0.25"/>
    <row r="10225" hidden="1" x14ac:dyDescent="0.25"/>
    <row r="10226" hidden="1" x14ac:dyDescent="0.25"/>
    <row r="10227" hidden="1" x14ac:dyDescent="0.25"/>
    <row r="10228" hidden="1" x14ac:dyDescent="0.25"/>
    <row r="10229" hidden="1" x14ac:dyDescent="0.25"/>
    <row r="10230" hidden="1" x14ac:dyDescent="0.25"/>
    <row r="10231" hidden="1" x14ac:dyDescent="0.25"/>
    <row r="10232" hidden="1" x14ac:dyDescent="0.25"/>
    <row r="10233" hidden="1" x14ac:dyDescent="0.25"/>
    <row r="10234" hidden="1" x14ac:dyDescent="0.25"/>
    <row r="10235" hidden="1" x14ac:dyDescent="0.25"/>
    <row r="10236" hidden="1" x14ac:dyDescent="0.25"/>
    <row r="10237" hidden="1" x14ac:dyDescent="0.25"/>
    <row r="10238" hidden="1" x14ac:dyDescent="0.25"/>
    <row r="10239" hidden="1" x14ac:dyDescent="0.25"/>
    <row r="10240" hidden="1" x14ac:dyDescent="0.25"/>
    <row r="10241" hidden="1" x14ac:dyDescent="0.25"/>
    <row r="10242" hidden="1" x14ac:dyDescent="0.25"/>
    <row r="10243" hidden="1" x14ac:dyDescent="0.25"/>
    <row r="10244" hidden="1" x14ac:dyDescent="0.25"/>
    <row r="10245" hidden="1" x14ac:dyDescent="0.25"/>
    <row r="10246" hidden="1" x14ac:dyDescent="0.25"/>
    <row r="10247" hidden="1" x14ac:dyDescent="0.25"/>
    <row r="10248" hidden="1" x14ac:dyDescent="0.25"/>
    <row r="10249" hidden="1" x14ac:dyDescent="0.25"/>
    <row r="10250" hidden="1" x14ac:dyDescent="0.25"/>
    <row r="10251" hidden="1" x14ac:dyDescent="0.25"/>
    <row r="10252" hidden="1" x14ac:dyDescent="0.25"/>
    <row r="10253" hidden="1" x14ac:dyDescent="0.25"/>
    <row r="10254" hidden="1" x14ac:dyDescent="0.25"/>
    <row r="10255" hidden="1" x14ac:dyDescent="0.25"/>
    <row r="10256" hidden="1" x14ac:dyDescent="0.25"/>
    <row r="10257" hidden="1" x14ac:dyDescent="0.25"/>
    <row r="10258" hidden="1" x14ac:dyDescent="0.25"/>
    <row r="10259" hidden="1" x14ac:dyDescent="0.25"/>
    <row r="10260" hidden="1" x14ac:dyDescent="0.25"/>
    <row r="10261" hidden="1" x14ac:dyDescent="0.25"/>
    <row r="10262" hidden="1" x14ac:dyDescent="0.25"/>
    <row r="10263" hidden="1" x14ac:dyDescent="0.25"/>
    <row r="10264" hidden="1" x14ac:dyDescent="0.25"/>
    <row r="10265" hidden="1" x14ac:dyDescent="0.25"/>
    <row r="10266" hidden="1" x14ac:dyDescent="0.25"/>
    <row r="10267" hidden="1" x14ac:dyDescent="0.25"/>
    <row r="10268" hidden="1" x14ac:dyDescent="0.25"/>
    <row r="10269" hidden="1" x14ac:dyDescent="0.25"/>
    <row r="10270" hidden="1" x14ac:dyDescent="0.25"/>
    <row r="10271" hidden="1" x14ac:dyDescent="0.25"/>
    <row r="10272" hidden="1" x14ac:dyDescent="0.25"/>
    <row r="10273" hidden="1" x14ac:dyDescent="0.25"/>
    <row r="10274" hidden="1" x14ac:dyDescent="0.25"/>
    <row r="10275" hidden="1" x14ac:dyDescent="0.25"/>
    <row r="10276" hidden="1" x14ac:dyDescent="0.25"/>
    <row r="10277" hidden="1" x14ac:dyDescent="0.25"/>
    <row r="10278" hidden="1" x14ac:dyDescent="0.25"/>
    <row r="10279" hidden="1" x14ac:dyDescent="0.25"/>
    <row r="10280" hidden="1" x14ac:dyDescent="0.25"/>
    <row r="10281" hidden="1" x14ac:dyDescent="0.25"/>
    <row r="10282" hidden="1" x14ac:dyDescent="0.25"/>
    <row r="10283" hidden="1" x14ac:dyDescent="0.25"/>
    <row r="10284" hidden="1" x14ac:dyDescent="0.25"/>
    <row r="10285" hidden="1" x14ac:dyDescent="0.25"/>
    <row r="10286" hidden="1" x14ac:dyDescent="0.25"/>
    <row r="10287" hidden="1" x14ac:dyDescent="0.25"/>
    <row r="10288" hidden="1" x14ac:dyDescent="0.25"/>
    <row r="10289" hidden="1" x14ac:dyDescent="0.25"/>
    <row r="10290" hidden="1" x14ac:dyDescent="0.25"/>
    <row r="10291" hidden="1" x14ac:dyDescent="0.25"/>
    <row r="10292" hidden="1" x14ac:dyDescent="0.25"/>
    <row r="10293" hidden="1" x14ac:dyDescent="0.25"/>
    <row r="10294" hidden="1" x14ac:dyDescent="0.25"/>
    <row r="10295" hidden="1" x14ac:dyDescent="0.25"/>
    <row r="10296" hidden="1" x14ac:dyDescent="0.25"/>
    <row r="10297" hidden="1" x14ac:dyDescent="0.25"/>
    <row r="10298" hidden="1" x14ac:dyDescent="0.25"/>
    <row r="10299" hidden="1" x14ac:dyDescent="0.25"/>
    <row r="10300" hidden="1" x14ac:dyDescent="0.25"/>
    <row r="10301" hidden="1" x14ac:dyDescent="0.25"/>
    <row r="10302" hidden="1" x14ac:dyDescent="0.25"/>
    <row r="10303" hidden="1" x14ac:dyDescent="0.25"/>
    <row r="10304" hidden="1" x14ac:dyDescent="0.25"/>
    <row r="10305" hidden="1" x14ac:dyDescent="0.25"/>
    <row r="10306" hidden="1" x14ac:dyDescent="0.25"/>
    <row r="10307" hidden="1" x14ac:dyDescent="0.25"/>
    <row r="10308" hidden="1" x14ac:dyDescent="0.25"/>
    <row r="10309" hidden="1" x14ac:dyDescent="0.25"/>
    <row r="10310" hidden="1" x14ac:dyDescent="0.25"/>
    <row r="10311" hidden="1" x14ac:dyDescent="0.25"/>
    <row r="10312" hidden="1" x14ac:dyDescent="0.25"/>
    <row r="10313" hidden="1" x14ac:dyDescent="0.25"/>
    <row r="10314" hidden="1" x14ac:dyDescent="0.25"/>
    <row r="10315" hidden="1" x14ac:dyDescent="0.25"/>
    <row r="10316" hidden="1" x14ac:dyDescent="0.25"/>
    <row r="10317" hidden="1" x14ac:dyDescent="0.25"/>
    <row r="10318" hidden="1" x14ac:dyDescent="0.25"/>
    <row r="10319" hidden="1" x14ac:dyDescent="0.25"/>
    <row r="10320" hidden="1" x14ac:dyDescent="0.25"/>
    <row r="10321" hidden="1" x14ac:dyDescent="0.25"/>
    <row r="10322" hidden="1" x14ac:dyDescent="0.25"/>
    <row r="10323" hidden="1" x14ac:dyDescent="0.25"/>
    <row r="10324" hidden="1" x14ac:dyDescent="0.25"/>
    <row r="10325" hidden="1" x14ac:dyDescent="0.25"/>
    <row r="10326" hidden="1" x14ac:dyDescent="0.25"/>
    <row r="10327" hidden="1" x14ac:dyDescent="0.25"/>
    <row r="10328" hidden="1" x14ac:dyDescent="0.25"/>
    <row r="10329" hidden="1" x14ac:dyDescent="0.25"/>
    <row r="10330" hidden="1" x14ac:dyDescent="0.25"/>
    <row r="10331" hidden="1" x14ac:dyDescent="0.25"/>
    <row r="10332" hidden="1" x14ac:dyDescent="0.25"/>
    <row r="10333" hidden="1" x14ac:dyDescent="0.25"/>
    <row r="10334" hidden="1" x14ac:dyDescent="0.25"/>
    <row r="10335" hidden="1" x14ac:dyDescent="0.25"/>
    <row r="10336" hidden="1" x14ac:dyDescent="0.25"/>
    <row r="10337" hidden="1" x14ac:dyDescent="0.25"/>
    <row r="10338" hidden="1" x14ac:dyDescent="0.25"/>
    <row r="10339" hidden="1" x14ac:dyDescent="0.25"/>
    <row r="10340" hidden="1" x14ac:dyDescent="0.25"/>
    <row r="10341" hidden="1" x14ac:dyDescent="0.25"/>
    <row r="10342" hidden="1" x14ac:dyDescent="0.25"/>
    <row r="10343" hidden="1" x14ac:dyDescent="0.25"/>
    <row r="10344" hidden="1" x14ac:dyDescent="0.25"/>
    <row r="10345" hidden="1" x14ac:dyDescent="0.25"/>
    <row r="10346" hidden="1" x14ac:dyDescent="0.25"/>
    <row r="10347" hidden="1" x14ac:dyDescent="0.25"/>
    <row r="10348" hidden="1" x14ac:dyDescent="0.25"/>
    <row r="10349" hidden="1" x14ac:dyDescent="0.25"/>
    <row r="10350" hidden="1" x14ac:dyDescent="0.25"/>
    <row r="10351" hidden="1" x14ac:dyDescent="0.25"/>
    <row r="10352" hidden="1" x14ac:dyDescent="0.25"/>
    <row r="10353" hidden="1" x14ac:dyDescent="0.25"/>
    <row r="10354" hidden="1" x14ac:dyDescent="0.25"/>
    <row r="10355" hidden="1" x14ac:dyDescent="0.25"/>
    <row r="10356" hidden="1" x14ac:dyDescent="0.25"/>
    <row r="10357" hidden="1" x14ac:dyDescent="0.25"/>
    <row r="10358" hidden="1" x14ac:dyDescent="0.25"/>
    <row r="10359" hidden="1" x14ac:dyDescent="0.25"/>
    <row r="10360" hidden="1" x14ac:dyDescent="0.25"/>
    <row r="10361" hidden="1" x14ac:dyDescent="0.25"/>
    <row r="10362" hidden="1" x14ac:dyDescent="0.25"/>
    <row r="10363" hidden="1" x14ac:dyDescent="0.25"/>
    <row r="10364" hidden="1" x14ac:dyDescent="0.25"/>
    <row r="10365" hidden="1" x14ac:dyDescent="0.25"/>
    <row r="10366" hidden="1" x14ac:dyDescent="0.25"/>
    <row r="10367" hidden="1" x14ac:dyDescent="0.25"/>
    <row r="10368" hidden="1" x14ac:dyDescent="0.25"/>
    <row r="10369" hidden="1" x14ac:dyDescent="0.25"/>
    <row r="10370" hidden="1" x14ac:dyDescent="0.25"/>
    <row r="10371" hidden="1" x14ac:dyDescent="0.25"/>
    <row r="10372" hidden="1" x14ac:dyDescent="0.25"/>
    <row r="10373" hidden="1" x14ac:dyDescent="0.25"/>
    <row r="10374" hidden="1" x14ac:dyDescent="0.25"/>
    <row r="10375" hidden="1" x14ac:dyDescent="0.25"/>
    <row r="10376" hidden="1" x14ac:dyDescent="0.25"/>
    <row r="10377" hidden="1" x14ac:dyDescent="0.25"/>
    <row r="10378" hidden="1" x14ac:dyDescent="0.25"/>
    <row r="10379" hidden="1" x14ac:dyDescent="0.25"/>
    <row r="10380" hidden="1" x14ac:dyDescent="0.25"/>
    <row r="10381" hidden="1" x14ac:dyDescent="0.25"/>
    <row r="10382" hidden="1" x14ac:dyDescent="0.25"/>
    <row r="10383" hidden="1" x14ac:dyDescent="0.25"/>
    <row r="10384" hidden="1" x14ac:dyDescent="0.25"/>
    <row r="10385" hidden="1" x14ac:dyDescent="0.25"/>
    <row r="10386" hidden="1" x14ac:dyDescent="0.25"/>
    <row r="10387" hidden="1" x14ac:dyDescent="0.25"/>
    <row r="10388" hidden="1" x14ac:dyDescent="0.25"/>
    <row r="10389" hidden="1" x14ac:dyDescent="0.25"/>
    <row r="10390" hidden="1" x14ac:dyDescent="0.25"/>
    <row r="10391" hidden="1" x14ac:dyDescent="0.25"/>
    <row r="10392" hidden="1" x14ac:dyDescent="0.25"/>
    <row r="10393" hidden="1" x14ac:dyDescent="0.25"/>
    <row r="10394" hidden="1" x14ac:dyDescent="0.25"/>
    <row r="10395" hidden="1" x14ac:dyDescent="0.25"/>
    <row r="10396" hidden="1" x14ac:dyDescent="0.25"/>
    <row r="10397" hidden="1" x14ac:dyDescent="0.25"/>
    <row r="10398" hidden="1" x14ac:dyDescent="0.25"/>
    <row r="10399" hidden="1" x14ac:dyDescent="0.25"/>
    <row r="10400" hidden="1" x14ac:dyDescent="0.25"/>
    <row r="10401" hidden="1" x14ac:dyDescent="0.25"/>
    <row r="10402" hidden="1" x14ac:dyDescent="0.25"/>
    <row r="10403" hidden="1" x14ac:dyDescent="0.25"/>
    <row r="10404" hidden="1" x14ac:dyDescent="0.25"/>
    <row r="10405" hidden="1" x14ac:dyDescent="0.25"/>
    <row r="10406" hidden="1" x14ac:dyDescent="0.25"/>
    <row r="10407" hidden="1" x14ac:dyDescent="0.25"/>
    <row r="10408" hidden="1" x14ac:dyDescent="0.25"/>
    <row r="10409" hidden="1" x14ac:dyDescent="0.25"/>
    <row r="10410" hidden="1" x14ac:dyDescent="0.25"/>
    <row r="10411" hidden="1" x14ac:dyDescent="0.25"/>
    <row r="10412" hidden="1" x14ac:dyDescent="0.25"/>
    <row r="10413" hidden="1" x14ac:dyDescent="0.25"/>
    <row r="10414" hidden="1" x14ac:dyDescent="0.25"/>
    <row r="10415" hidden="1" x14ac:dyDescent="0.25"/>
    <row r="10416" hidden="1" x14ac:dyDescent="0.25"/>
    <row r="10417" hidden="1" x14ac:dyDescent="0.25"/>
    <row r="10418" hidden="1" x14ac:dyDescent="0.25"/>
    <row r="10419" hidden="1" x14ac:dyDescent="0.25"/>
    <row r="10420" hidden="1" x14ac:dyDescent="0.25"/>
    <row r="10421" hidden="1" x14ac:dyDescent="0.25"/>
    <row r="10422" hidden="1" x14ac:dyDescent="0.25"/>
    <row r="10423" hidden="1" x14ac:dyDescent="0.25"/>
    <row r="10424" hidden="1" x14ac:dyDescent="0.25"/>
    <row r="10425" hidden="1" x14ac:dyDescent="0.25"/>
    <row r="10426" hidden="1" x14ac:dyDescent="0.25"/>
    <row r="10427" hidden="1" x14ac:dyDescent="0.25"/>
    <row r="10428" hidden="1" x14ac:dyDescent="0.25"/>
    <row r="10429" hidden="1" x14ac:dyDescent="0.25"/>
    <row r="10430" hidden="1" x14ac:dyDescent="0.25"/>
    <row r="10431" hidden="1" x14ac:dyDescent="0.25"/>
    <row r="10432" hidden="1" x14ac:dyDescent="0.25"/>
    <row r="10433" hidden="1" x14ac:dyDescent="0.25"/>
    <row r="10434" hidden="1" x14ac:dyDescent="0.25"/>
    <row r="10435" hidden="1" x14ac:dyDescent="0.25"/>
    <row r="10436" hidden="1" x14ac:dyDescent="0.25"/>
    <row r="10437" hidden="1" x14ac:dyDescent="0.25"/>
    <row r="10438" hidden="1" x14ac:dyDescent="0.25"/>
    <row r="10439" hidden="1" x14ac:dyDescent="0.25"/>
    <row r="10440" hidden="1" x14ac:dyDescent="0.25"/>
    <row r="10441" hidden="1" x14ac:dyDescent="0.25"/>
    <row r="10442" hidden="1" x14ac:dyDescent="0.25"/>
    <row r="10443" hidden="1" x14ac:dyDescent="0.25"/>
    <row r="10444" hidden="1" x14ac:dyDescent="0.25"/>
    <row r="10445" hidden="1" x14ac:dyDescent="0.25"/>
    <row r="10446" hidden="1" x14ac:dyDescent="0.25"/>
    <row r="10447" hidden="1" x14ac:dyDescent="0.25"/>
    <row r="10448" hidden="1" x14ac:dyDescent="0.25"/>
    <row r="10449" hidden="1" x14ac:dyDescent="0.25"/>
    <row r="10450" hidden="1" x14ac:dyDescent="0.25"/>
    <row r="10451" hidden="1" x14ac:dyDescent="0.25"/>
    <row r="10452" hidden="1" x14ac:dyDescent="0.25"/>
    <row r="10453" hidden="1" x14ac:dyDescent="0.25"/>
    <row r="10454" hidden="1" x14ac:dyDescent="0.25"/>
    <row r="10455" hidden="1" x14ac:dyDescent="0.25"/>
    <row r="10456" hidden="1" x14ac:dyDescent="0.25"/>
    <row r="10457" hidden="1" x14ac:dyDescent="0.25"/>
    <row r="10458" hidden="1" x14ac:dyDescent="0.25"/>
    <row r="10459" hidden="1" x14ac:dyDescent="0.25"/>
    <row r="10460" hidden="1" x14ac:dyDescent="0.25"/>
    <row r="10461" hidden="1" x14ac:dyDescent="0.25"/>
    <row r="10462" hidden="1" x14ac:dyDescent="0.25"/>
    <row r="10463" hidden="1" x14ac:dyDescent="0.25"/>
    <row r="10464" hidden="1" x14ac:dyDescent="0.25"/>
    <row r="10465" hidden="1" x14ac:dyDescent="0.25"/>
    <row r="10466" hidden="1" x14ac:dyDescent="0.25"/>
    <row r="10467" hidden="1" x14ac:dyDescent="0.25"/>
    <row r="10468" hidden="1" x14ac:dyDescent="0.25"/>
    <row r="10469" hidden="1" x14ac:dyDescent="0.25"/>
    <row r="10470" hidden="1" x14ac:dyDescent="0.25"/>
    <row r="10471" hidden="1" x14ac:dyDescent="0.25"/>
    <row r="10472" hidden="1" x14ac:dyDescent="0.25"/>
    <row r="10473" hidden="1" x14ac:dyDescent="0.25"/>
    <row r="10474" hidden="1" x14ac:dyDescent="0.25"/>
    <row r="10475" hidden="1" x14ac:dyDescent="0.25"/>
    <row r="10476" hidden="1" x14ac:dyDescent="0.25"/>
    <row r="10477" hidden="1" x14ac:dyDescent="0.25"/>
    <row r="10478" hidden="1" x14ac:dyDescent="0.25"/>
    <row r="10479" hidden="1" x14ac:dyDescent="0.25"/>
    <row r="10480" hidden="1" x14ac:dyDescent="0.25"/>
    <row r="10481" hidden="1" x14ac:dyDescent="0.25"/>
    <row r="10482" hidden="1" x14ac:dyDescent="0.25"/>
    <row r="10483" hidden="1" x14ac:dyDescent="0.25"/>
    <row r="10484" hidden="1" x14ac:dyDescent="0.25"/>
    <row r="10485" hidden="1" x14ac:dyDescent="0.25"/>
    <row r="10486" hidden="1" x14ac:dyDescent="0.25"/>
    <row r="10487" hidden="1" x14ac:dyDescent="0.25"/>
    <row r="10488" hidden="1" x14ac:dyDescent="0.25"/>
    <row r="10489" hidden="1" x14ac:dyDescent="0.25"/>
    <row r="10490" hidden="1" x14ac:dyDescent="0.25"/>
    <row r="10491" hidden="1" x14ac:dyDescent="0.25"/>
    <row r="10492" hidden="1" x14ac:dyDescent="0.25"/>
    <row r="10493" hidden="1" x14ac:dyDescent="0.25"/>
    <row r="10494" hidden="1" x14ac:dyDescent="0.25"/>
    <row r="10495" hidden="1" x14ac:dyDescent="0.25"/>
    <row r="10496" hidden="1" x14ac:dyDescent="0.25"/>
    <row r="10497" hidden="1" x14ac:dyDescent="0.25"/>
    <row r="10498" hidden="1" x14ac:dyDescent="0.25"/>
    <row r="10499" hidden="1" x14ac:dyDescent="0.25"/>
    <row r="10500" hidden="1" x14ac:dyDescent="0.25"/>
    <row r="10501" hidden="1" x14ac:dyDescent="0.25"/>
    <row r="10502" hidden="1" x14ac:dyDescent="0.25"/>
    <row r="10503" hidden="1" x14ac:dyDescent="0.25"/>
    <row r="10504" hidden="1" x14ac:dyDescent="0.25"/>
    <row r="10505" hidden="1" x14ac:dyDescent="0.25"/>
    <row r="10506" hidden="1" x14ac:dyDescent="0.25"/>
    <row r="10507" hidden="1" x14ac:dyDescent="0.25"/>
    <row r="10508" hidden="1" x14ac:dyDescent="0.25"/>
    <row r="10509" hidden="1" x14ac:dyDescent="0.25"/>
    <row r="10510" hidden="1" x14ac:dyDescent="0.25"/>
    <row r="10511" hidden="1" x14ac:dyDescent="0.25"/>
    <row r="10512" hidden="1" x14ac:dyDescent="0.25"/>
    <row r="10513" hidden="1" x14ac:dyDescent="0.25"/>
    <row r="10514" hidden="1" x14ac:dyDescent="0.25"/>
    <row r="10515" hidden="1" x14ac:dyDescent="0.25"/>
    <row r="10516" hidden="1" x14ac:dyDescent="0.25"/>
    <row r="10517" hidden="1" x14ac:dyDescent="0.25"/>
    <row r="10518" hidden="1" x14ac:dyDescent="0.25"/>
    <row r="10519" hidden="1" x14ac:dyDescent="0.25"/>
    <row r="10520" hidden="1" x14ac:dyDescent="0.25"/>
    <row r="10521" hidden="1" x14ac:dyDescent="0.25"/>
    <row r="10522" hidden="1" x14ac:dyDescent="0.25"/>
    <row r="10523" hidden="1" x14ac:dyDescent="0.25"/>
    <row r="10524" hidden="1" x14ac:dyDescent="0.25"/>
    <row r="10525" hidden="1" x14ac:dyDescent="0.25"/>
    <row r="10526" hidden="1" x14ac:dyDescent="0.25"/>
    <row r="10527" hidden="1" x14ac:dyDescent="0.25"/>
    <row r="10528" hidden="1" x14ac:dyDescent="0.25"/>
    <row r="10529" hidden="1" x14ac:dyDescent="0.25"/>
    <row r="10530" hidden="1" x14ac:dyDescent="0.25"/>
    <row r="10531" hidden="1" x14ac:dyDescent="0.25"/>
    <row r="10532" hidden="1" x14ac:dyDescent="0.25"/>
    <row r="10533" hidden="1" x14ac:dyDescent="0.25"/>
    <row r="10534" hidden="1" x14ac:dyDescent="0.25"/>
    <row r="10535" hidden="1" x14ac:dyDescent="0.25"/>
    <row r="10536" hidden="1" x14ac:dyDescent="0.25"/>
    <row r="10537" hidden="1" x14ac:dyDescent="0.25"/>
    <row r="10538" hidden="1" x14ac:dyDescent="0.25"/>
    <row r="10539" hidden="1" x14ac:dyDescent="0.25"/>
    <row r="10540" hidden="1" x14ac:dyDescent="0.25"/>
    <row r="10541" hidden="1" x14ac:dyDescent="0.25"/>
    <row r="10542" hidden="1" x14ac:dyDescent="0.25"/>
    <row r="10543" hidden="1" x14ac:dyDescent="0.25"/>
    <row r="10544" hidden="1" x14ac:dyDescent="0.25"/>
    <row r="10545" hidden="1" x14ac:dyDescent="0.25"/>
    <row r="10546" hidden="1" x14ac:dyDescent="0.25"/>
    <row r="10547" hidden="1" x14ac:dyDescent="0.25"/>
    <row r="10548" hidden="1" x14ac:dyDescent="0.25"/>
    <row r="10549" hidden="1" x14ac:dyDescent="0.25"/>
    <row r="10550" hidden="1" x14ac:dyDescent="0.25"/>
    <row r="10551" hidden="1" x14ac:dyDescent="0.25"/>
    <row r="10552" hidden="1" x14ac:dyDescent="0.25"/>
    <row r="10553" hidden="1" x14ac:dyDescent="0.25"/>
    <row r="10554" hidden="1" x14ac:dyDescent="0.25"/>
    <row r="10555" hidden="1" x14ac:dyDescent="0.25"/>
    <row r="10556" hidden="1" x14ac:dyDescent="0.25"/>
    <row r="10557" hidden="1" x14ac:dyDescent="0.25"/>
    <row r="10558" hidden="1" x14ac:dyDescent="0.25"/>
    <row r="10559" hidden="1" x14ac:dyDescent="0.25"/>
    <row r="10560" hidden="1" x14ac:dyDescent="0.25"/>
    <row r="10561" hidden="1" x14ac:dyDescent="0.25"/>
    <row r="10562" hidden="1" x14ac:dyDescent="0.25"/>
    <row r="10563" hidden="1" x14ac:dyDescent="0.25"/>
    <row r="10564" hidden="1" x14ac:dyDescent="0.25"/>
    <row r="10565" hidden="1" x14ac:dyDescent="0.25"/>
    <row r="10566" hidden="1" x14ac:dyDescent="0.25"/>
    <row r="10567" hidden="1" x14ac:dyDescent="0.25"/>
    <row r="10568" hidden="1" x14ac:dyDescent="0.25"/>
    <row r="10569" hidden="1" x14ac:dyDescent="0.25"/>
    <row r="10570" hidden="1" x14ac:dyDescent="0.25"/>
    <row r="10571" hidden="1" x14ac:dyDescent="0.25"/>
    <row r="10572" hidden="1" x14ac:dyDescent="0.25"/>
    <row r="10573" hidden="1" x14ac:dyDescent="0.25"/>
    <row r="10574" hidden="1" x14ac:dyDescent="0.25"/>
    <row r="10575" hidden="1" x14ac:dyDescent="0.25"/>
    <row r="10576" hidden="1" x14ac:dyDescent="0.25"/>
    <row r="10577" hidden="1" x14ac:dyDescent="0.25"/>
    <row r="10578" hidden="1" x14ac:dyDescent="0.25"/>
    <row r="10579" hidden="1" x14ac:dyDescent="0.25"/>
    <row r="10580" hidden="1" x14ac:dyDescent="0.25"/>
    <row r="10581" hidden="1" x14ac:dyDescent="0.25"/>
    <row r="10582" hidden="1" x14ac:dyDescent="0.25"/>
    <row r="10583" hidden="1" x14ac:dyDescent="0.25"/>
    <row r="10584" hidden="1" x14ac:dyDescent="0.25"/>
    <row r="10585" hidden="1" x14ac:dyDescent="0.25"/>
    <row r="10586" hidden="1" x14ac:dyDescent="0.25"/>
    <row r="10587" hidden="1" x14ac:dyDescent="0.25"/>
    <row r="10588" hidden="1" x14ac:dyDescent="0.25"/>
    <row r="10589" hidden="1" x14ac:dyDescent="0.25"/>
    <row r="10590" hidden="1" x14ac:dyDescent="0.25"/>
    <row r="10591" hidden="1" x14ac:dyDescent="0.25"/>
    <row r="10592" hidden="1" x14ac:dyDescent="0.25"/>
    <row r="10593" hidden="1" x14ac:dyDescent="0.25"/>
    <row r="10594" hidden="1" x14ac:dyDescent="0.25"/>
    <row r="10595" hidden="1" x14ac:dyDescent="0.25"/>
    <row r="10596" hidden="1" x14ac:dyDescent="0.25"/>
    <row r="10597" hidden="1" x14ac:dyDescent="0.25"/>
    <row r="10598" hidden="1" x14ac:dyDescent="0.25"/>
    <row r="10599" hidden="1" x14ac:dyDescent="0.25"/>
    <row r="10600" hidden="1" x14ac:dyDescent="0.25"/>
    <row r="10601" hidden="1" x14ac:dyDescent="0.25"/>
    <row r="10602" hidden="1" x14ac:dyDescent="0.25"/>
    <row r="10603" hidden="1" x14ac:dyDescent="0.25"/>
    <row r="10604" hidden="1" x14ac:dyDescent="0.25"/>
    <row r="10605" hidden="1" x14ac:dyDescent="0.25"/>
    <row r="10606" hidden="1" x14ac:dyDescent="0.25"/>
    <row r="10607" hidden="1" x14ac:dyDescent="0.25"/>
    <row r="10608" hidden="1" x14ac:dyDescent="0.25"/>
    <row r="10609" hidden="1" x14ac:dyDescent="0.25"/>
    <row r="10610" hidden="1" x14ac:dyDescent="0.25"/>
    <row r="10611" hidden="1" x14ac:dyDescent="0.25"/>
    <row r="10612" hidden="1" x14ac:dyDescent="0.25"/>
    <row r="10613" hidden="1" x14ac:dyDescent="0.25"/>
    <row r="10614" hidden="1" x14ac:dyDescent="0.25"/>
    <row r="10615" hidden="1" x14ac:dyDescent="0.25"/>
    <row r="10616" hidden="1" x14ac:dyDescent="0.25"/>
    <row r="10617" hidden="1" x14ac:dyDescent="0.25"/>
    <row r="10618" hidden="1" x14ac:dyDescent="0.25"/>
    <row r="10619" hidden="1" x14ac:dyDescent="0.25"/>
    <row r="10620" hidden="1" x14ac:dyDescent="0.25"/>
    <row r="10621" hidden="1" x14ac:dyDescent="0.25"/>
    <row r="10622" hidden="1" x14ac:dyDescent="0.25"/>
    <row r="10623" hidden="1" x14ac:dyDescent="0.25"/>
    <row r="10624" hidden="1" x14ac:dyDescent="0.25"/>
    <row r="10625" hidden="1" x14ac:dyDescent="0.25"/>
    <row r="10626" hidden="1" x14ac:dyDescent="0.25"/>
    <row r="10627" hidden="1" x14ac:dyDescent="0.25"/>
    <row r="10628" hidden="1" x14ac:dyDescent="0.25"/>
    <row r="10629" hidden="1" x14ac:dyDescent="0.25"/>
    <row r="10630" hidden="1" x14ac:dyDescent="0.25"/>
    <row r="10631" hidden="1" x14ac:dyDescent="0.25"/>
    <row r="10632" hidden="1" x14ac:dyDescent="0.25"/>
    <row r="10633" hidden="1" x14ac:dyDescent="0.25"/>
    <row r="10634" hidden="1" x14ac:dyDescent="0.25"/>
    <row r="10635" hidden="1" x14ac:dyDescent="0.25"/>
    <row r="10636" hidden="1" x14ac:dyDescent="0.25"/>
    <row r="10637" hidden="1" x14ac:dyDescent="0.25"/>
    <row r="10638" hidden="1" x14ac:dyDescent="0.25"/>
    <row r="10639" hidden="1" x14ac:dyDescent="0.25"/>
    <row r="10640" hidden="1" x14ac:dyDescent="0.25"/>
    <row r="10641" hidden="1" x14ac:dyDescent="0.25"/>
    <row r="10642" hidden="1" x14ac:dyDescent="0.25"/>
    <row r="10643" hidden="1" x14ac:dyDescent="0.25"/>
    <row r="10644" hidden="1" x14ac:dyDescent="0.25"/>
    <row r="10645" hidden="1" x14ac:dyDescent="0.25"/>
    <row r="10646" hidden="1" x14ac:dyDescent="0.25"/>
    <row r="10647" hidden="1" x14ac:dyDescent="0.25"/>
    <row r="10648" hidden="1" x14ac:dyDescent="0.25"/>
    <row r="10649" hidden="1" x14ac:dyDescent="0.25"/>
    <row r="10650" hidden="1" x14ac:dyDescent="0.25"/>
    <row r="10651" hidden="1" x14ac:dyDescent="0.25"/>
    <row r="10652" hidden="1" x14ac:dyDescent="0.25"/>
    <row r="10653" hidden="1" x14ac:dyDescent="0.25"/>
    <row r="10654" hidden="1" x14ac:dyDescent="0.25"/>
    <row r="10655" hidden="1" x14ac:dyDescent="0.25"/>
    <row r="10656" hidden="1" x14ac:dyDescent="0.25"/>
    <row r="10657" hidden="1" x14ac:dyDescent="0.25"/>
    <row r="10658" hidden="1" x14ac:dyDescent="0.25"/>
    <row r="10659" hidden="1" x14ac:dyDescent="0.25"/>
    <row r="10660" hidden="1" x14ac:dyDescent="0.25"/>
    <row r="10661" hidden="1" x14ac:dyDescent="0.25"/>
    <row r="10662" hidden="1" x14ac:dyDescent="0.25"/>
    <row r="10663" hidden="1" x14ac:dyDescent="0.25"/>
    <row r="10664" hidden="1" x14ac:dyDescent="0.25"/>
    <row r="10665" hidden="1" x14ac:dyDescent="0.25"/>
    <row r="10666" hidden="1" x14ac:dyDescent="0.25"/>
    <row r="10667" hidden="1" x14ac:dyDescent="0.25"/>
    <row r="10668" hidden="1" x14ac:dyDescent="0.25"/>
    <row r="10669" hidden="1" x14ac:dyDescent="0.25"/>
    <row r="10670" hidden="1" x14ac:dyDescent="0.25"/>
    <row r="10671" hidden="1" x14ac:dyDescent="0.25"/>
    <row r="10672" hidden="1" x14ac:dyDescent="0.25"/>
    <row r="10673" hidden="1" x14ac:dyDescent="0.25"/>
    <row r="10674" hidden="1" x14ac:dyDescent="0.25"/>
    <row r="10675" hidden="1" x14ac:dyDescent="0.25"/>
    <row r="10676" hidden="1" x14ac:dyDescent="0.25"/>
    <row r="10677" hidden="1" x14ac:dyDescent="0.25"/>
    <row r="10678" hidden="1" x14ac:dyDescent="0.25"/>
    <row r="10679" hidden="1" x14ac:dyDescent="0.25"/>
    <row r="10680" hidden="1" x14ac:dyDescent="0.25"/>
    <row r="10681" hidden="1" x14ac:dyDescent="0.25"/>
    <row r="10682" hidden="1" x14ac:dyDescent="0.25"/>
    <row r="10683" hidden="1" x14ac:dyDescent="0.25"/>
    <row r="10684" hidden="1" x14ac:dyDescent="0.25"/>
    <row r="10685" hidden="1" x14ac:dyDescent="0.25"/>
    <row r="10686" hidden="1" x14ac:dyDescent="0.25"/>
    <row r="10687" hidden="1" x14ac:dyDescent="0.25"/>
    <row r="10688" hidden="1" x14ac:dyDescent="0.25"/>
    <row r="10689" hidden="1" x14ac:dyDescent="0.25"/>
    <row r="10690" hidden="1" x14ac:dyDescent="0.25"/>
    <row r="10691" hidden="1" x14ac:dyDescent="0.25"/>
    <row r="10692" hidden="1" x14ac:dyDescent="0.25"/>
    <row r="10693" hidden="1" x14ac:dyDescent="0.25"/>
    <row r="10694" hidden="1" x14ac:dyDescent="0.25"/>
    <row r="10695" hidden="1" x14ac:dyDescent="0.25"/>
    <row r="10696" hidden="1" x14ac:dyDescent="0.25"/>
    <row r="10697" hidden="1" x14ac:dyDescent="0.25"/>
    <row r="10698" hidden="1" x14ac:dyDescent="0.25"/>
    <row r="10699" hidden="1" x14ac:dyDescent="0.25"/>
    <row r="10700" hidden="1" x14ac:dyDescent="0.25"/>
    <row r="10701" hidden="1" x14ac:dyDescent="0.25"/>
    <row r="10702" hidden="1" x14ac:dyDescent="0.25"/>
    <row r="10703" hidden="1" x14ac:dyDescent="0.25"/>
    <row r="10704" hidden="1" x14ac:dyDescent="0.25"/>
    <row r="10705" hidden="1" x14ac:dyDescent="0.25"/>
    <row r="10706" hidden="1" x14ac:dyDescent="0.25"/>
    <row r="10707" hidden="1" x14ac:dyDescent="0.25"/>
    <row r="10708" hidden="1" x14ac:dyDescent="0.25"/>
    <row r="10709" hidden="1" x14ac:dyDescent="0.25"/>
    <row r="10710" hidden="1" x14ac:dyDescent="0.25"/>
    <row r="10711" hidden="1" x14ac:dyDescent="0.25"/>
    <row r="10712" hidden="1" x14ac:dyDescent="0.25"/>
    <row r="10713" hidden="1" x14ac:dyDescent="0.25"/>
    <row r="10714" hidden="1" x14ac:dyDescent="0.25"/>
    <row r="10715" hidden="1" x14ac:dyDescent="0.25"/>
    <row r="10716" hidden="1" x14ac:dyDescent="0.25"/>
    <row r="10717" hidden="1" x14ac:dyDescent="0.25"/>
    <row r="10718" hidden="1" x14ac:dyDescent="0.25"/>
    <row r="10719" hidden="1" x14ac:dyDescent="0.25"/>
    <row r="10720" hidden="1" x14ac:dyDescent="0.25"/>
    <row r="10721" hidden="1" x14ac:dyDescent="0.25"/>
    <row r="10722" hidden="1" x14ac:dyDescent="0.25"/>
    <row r="10723" hidden="1" x14ac:dyDescent="0.25"/>
    <row r="10724" hidden="1" x14ac:dyDescent="0.25"/>
    <row r="10725" hidden="1" x14ac:dyDescent="0.25"/>
    <row r="10726" hidden="1" x14ac:dyDescent="0.25"/>
    <row r="10727" hidden="1" x14ac:dyDescent="0.25"/>
    <row r="10728" hidden="1" x14ac:dyDescent="0.25"/>
    <row r="10729" hidden="1" x14ac:dyDescent="0.25"/>
    <row r="10730" hidden="1" x14ac:dyDescent="0.25"/>
    <row r="10731" hidden="1" x14ac:dyDescent="0.25"/>
    <row r="10732" hidden="1" x14ac:dyDescent="0.25"/>
    <row r="10733" hidden="1" x14ac:dyDescent="0.25"/>
    <row r="10734" hidden="1" x14ac:dyDescent="0.25"/>
    <row r="10735" hidden="1" x14ac:dyDescent="0.25"/>
    <row r="10736" hidden="1" x14ac:dyDescent="0.25"/>
    <row r="10737" hidden="1" x14ac:dyDescent="0.25"/>
    <row r="10738" hidden="1" x14ac:dyDescent="0.25"/>
    <row r="10739" hidden="1" x14ac:dyDescent="0.25"/>
    <row r="10740" hidden="1" x14ac:dyDescent="0.25"/>
    <row r="10741" hidden="1" x14ac:dyDescent="0.25"/>
    <row r="10742" hidden="1" x14ac:dyDescent="0.25"/>
    <row r="10743" hidden="1" x14ac:dyDescent="0.25"/>
    <row r="10744" hidden="1" x14ac:dyDescent="0.25"/>
    <row r="10745" hidden="1" x14ac:dyDescent="0.25"/>
    <row r="10746" hidden="1" x14ac:dyDescent="0.25"/>
    <row r="10747" hidden="1" x14ac:dyDescent="0.25"/>
    <row r="10748" hidden="1" x14ac:dyDescent="0.25"/>
    <row r="10749" hidden="1" x14ac:dyDescent="0.25"/>
    <row r="10750" hidden="1" x14ac:dyDescent="0.25"/>
    <row r="10751" hidden="1" x14ac:dyDescent="0.25"/>
    <row r="10752" hidden="1" x14ac:dyDescent="0.25"/>
    <row r="10753" hidden="1" x14ac:dyDescent="0.25"/>
    <row r="10754" hidden="1" x14ac:dyDescent="0.25"/>
    <row r="10755" hidden="1" x14ac:dyDescent="0.25"/>
    <row r="10756" hidden="1" x14ac:dyDescent="0.25"/>
    <row r="10757" hidden="1" x14ac:dyDescent="0.25"/>
    <row r="10758" hidden="1" x14ac:dyDescent="0.25"/>
    <row r="10759" hidden="1" x14ac:dyDescent="0.25"/>
    <row r="10760" hidden="1" x14ac:dyDescent="0.25"/>
    <row r="10761" hidden="1" x14ac:dyDescent="0.25"/>
    <row r="10762" hidden="1" x14ac:dyDescent="0.25"/>
    <row r="10763" hidden="1" x14ac:dyDescent="0.25"/>
    <row r="10764" hidden="1" x14ac:dyDescent="0.25"/>
    <row r="10765" hidden="1" x14ac:dyDescent="0.25"/>
    <row r="10766" hidden="1" x14ac:dyDescent="0.25"/>
    <row r="10767" hidden="1" x14ac:dyDescent="0.25"/>
    <row r="10768" hidden="1" x14ac:dyDescent="0.25"/>
    <row r="10769" hidden="1" x14ac:dyDescent="0.25"/>
    <row r="10770" hidden="1" x14ac:dyDescent="0.25"/>
    <row r="10771" hidden="1" x14ac:dyDescent="0.25"/>
    <row r="10772" hidden="1" x14ac:dyDescent="0.25"/>
    <row r="10773" hidden="1" x14ac:dyDescent="0.25"/>
    <row r="10774" hidden="1" x14ac:dyDescent="0.25"/>
    <row r="10775" hidden="1" x14ac:dyDescent="0.25"/>
    <row r="10776" hidden="1" x14ac:dyDescent="0.25"/>
    <row r="10777" hidden="1" x14ac:dyDescent="0.25"/>
    <row r="10778" hidden="1" x14ac:dyDescent="0.25"/>
    <row r="10779" hidden="1" x14ac:dyDescent="0.25"/>
    <row r="10780" hidden="1" x14ac:dyDescent="0.25"/>
    <row r="10781" hidden="1" x14ac:dyDescent="0.25"/>
    <row r="10782" hidden="1" x14ac:dyDescent="0.25"/>
    <row r="10783" hidden="1" x14ac:dyDescent="0.25"/>
    <row r="10784" hidden="1" x14ac:dyDescent="0.25"/>
    <row r="10785" hidden="1" x14ac:dyDescent="0.25"/>
    <row r="10786" hidden="1" x14ac:dyDescent="0.25"/>
    <row r="10787" hidden="1" x14ac:dyDescent="0.25"/>
    <row r="10788" hidden="1" x14ac:dyDescent="0.25"/>
    <row r="10789" hidden="1" x14ac:dyDescent="0.25"/>
    <row r="10790" hidden="1" x14ac:dyDescent="0.25"/>
    <row r="10791" hidden="1" x14ac:dyDescent="0.25"/>
    <row r="10792" hidden="1" x14ac:dyDescent="0.25"/>
    <row r="10793" hidden="1" x14ac:dyDescent="0.25"/>
    <row r="10794" hidden="1" x14ac:dyDescent="0.25"/>
    <row r="10795" hidden="1" x14ac:dyDescent="0.25"/>
    <row r="10796" hidden="1" x14ac:dyDescent="0.25"/>
    <row r="10797" hidden="1" x14ac:dyDescent="0.25"/>
    <row r="10798" hidden="1" x14ac:dyDescent="0.25"/>
    <row r="10799" hidden="1" x14ac:dyDescent="0.25"/>
    <row r="10800" hidden="1" x14ac:dyDescent="0.25"/>
    <row r="10801" hidden="1" x14ac:dyDescent="0.25"/>
    <row r="10802" hidden="1" x14ac:dyDescent="0.25"/>
    <row r="10803" hidden="1" x14ac:dyDescent="0.25"/>
    <row r="10804" hidden="1" x14ac:dyDescent="0.25"/>
    <row r="10805" hidden="1" x14ac:dyDescent="0.25"/>
    <row r="10806" hidden="1" x14ac:dyDescent="0.25"/>
    <row r="10807" hidden="1" x14ac:dyDescent="0.25"/>
    <row r="10808" hidden="1" x14ac:dyDescent="0.25"/>
    <row r="10809" hidden="1" x14ac:dyDescent="0.25"/>
    <row r="10810" hidden="1" x14ac:dyDescent="0.25"/>
    <row r="10811" hidden="1" x14ac:dyDescent="0.25"/>
    <row r="10812" hidden="1" x14ac:dyDescent="0.25"/>
    <row r="10813" hidden="1" x14ac:dyDescent="0.25"/>
    <row r="10814" hidden="1" x14ac:dyDescent="0.25"/>
    <row r="10815" hidden="1" x14ac:dyDescent="0.25"/>
    <row r="10816" hidden="1" x14ac:dyDescent="0.25"/>
    <row r="10817" hidden="1" x14ac:dyDescent="0.25"/>
    <row r="10818" hidden="1" x14ac:dyDescent="0.25"/>
    <row r="10819" hidden="1" x14ac:dyDescent="0.25"/>
    <row r="10820" hidden="1" x14ac:dyDescent="0.25"/>
    <row r="10821" hidden="1" x14ac:dyDescent="0.25"/>
    <row r="10822" hidden="1" x14ac:dyDescent="0.25"/>
    <row r="10823" hidden="1" x14ac:dyDescent="0.25"/>
    <row r="10824" hidden="1" x14ac:dyDescent="0.25"/>
    <row r="10825" hidden="1" x14ac:dyDescent="0.25"/>
    <row r="10826" hidden="1" x14ac:dyDescent="0.25"/>
    <row r="10827" hidden="1" x14ac:dyDescent="0.25"/>
    <row r="10828" hidden="1" x14ac:dyDescent="0.25"/>
    <row r="10829" hidden="1" x14ac:dyDescent="0.25"/>
    <row r="10830" hidden="1" x14ac:dyDescent="0.25"/>
    <row r="10831" hidden="1" x14ac:dyDescent="0.25"/>
    <row r="10832" hidden="1" x14ac:dyDescent="0.25"/>
    <row r="10833" hidden="1" x14ac:dyDescent="0.25"/>
    <row r="10834" hidden="1" x14ac:dyDescent="0.25"/>
    <row r="10835" hidden="1" x14ac:dyDescent="0.25"/>
    <row r="10836" hidden="1" x14ac:dyDescent="0.25"/>
    <row r="10837" hidden="1" x14ac:dyDescent="0.25"/>
    <row r="10838" hidden="1" x14ac:dyDescent="0.25"/>
    <row r="10839" hidden="1" x14ac:dyDescent="0.25"/>
    <row r="10840" hidden="1" x14ac:dyDescent="0.25"/>
    <row r="10841" hidden="1" x14ac:dyDescent="0.25"/>
    <row r="10842" hidden="1" x14ac:dyDescent="0.25"/>
    <row r="10843" hidden="1" x14ac:dyDescent="0.25"/>
    <row r="10844" hidden="1" x14ac:dyDescent="0.25"/>
    <row r="10845" hidden="1" x14ac:dyDescent="0.25"/>
    <row r="10846" hidden="1" x14ac:dyDescent="0.25"/>
    <row r="10847" hidden="1" x14ac:dyDescent="0.25"/>
    <row r="10848" hidden="1" x14ac:dyDescent="0.25"/>
    <row r="10849" hidden="1" x14ac:dyDescent="0.25"/>
    <row r="10850" hidden="1" x14ac:dyDescent="0.25"/>
    <row r="10851" hidden="1" x14ac:dyDescent="0.25"/>
    <row r="10852" hidden="1" x14ac:dyDescent="0.25"/>
    <row r="10853" hidden="1" x14ac:dyDescent="0.25"/>
    <row r="10854" hidden="1" x14ac:dyDescent="0.25"/>
    <row r="10855" hidden="1" x14ac:dyDescent="0.25"/>
    <row r="10856" hidden="1" x14ac:dyDescent="0.25"/>
    <row r="10857" hidden="1" x14ac:dyDescent="0.25"/>
    <row r="10858" hidden="1" x14ac:dyDescent="0.25"/>
    <row r="10859" hidden="1" x14ac:dyDescent="0.25"/>
    <row r="10860" hidden="1" x14ac:dyDescent="0.25"/>
    <row r="10861" hidden="1" x14ac:dyDescent="0.25"/>
    <row r="10862" hidden="1" x14ac:dyDescent="0.25"/>
    <row r="10863" hidden="1" x14ac:dyDescent="0.25"/>
    <row r="10864" hidden="1" x14ac:dyDescent="0.25"/>
    <row r="10865" hidden="1" x14ac:dyDescent="0.25"/>
    <row r="10866" hidden="1" x14ac:dyDescent="0.25"/>
    <row r="10867" hidden="1" x14ac:dyDescent="0.25"/>
    <row r="10868" hidden="1" x14ac:dyDescent="0.25"/>
    <row r="10869" hidden="1" x14ac:dyDescent="0.25"/>
    <row r="10870" hidden="1" x14ac:dyDescent="0.25"/>
    <row r="10871" hidden="1" x14ac:dyDescent="0.25"/>
    <row r="10872" hidden="1" x14ac:dyDescent="0.25"/>
    <row r="10873" hidden="1" x14ac:dyDescent="0.25"/>
    <row r="10874" hidden="1" x14ac:dyDescent="0.25"/>
    <row r="10875" hidden="1" x14ac:dyDescent="0.25"/>
    <row r="10876" hidden="1" x14ac:dyDescent="0.25"/>
    <row r="10877" hidden="1" x14ac:dyDescent="0.25"/>
    <row r="10878" hidden="1" x14ac:dyDescent="0.25"/>
    <row r="10879" hidden="1" x14ac:dyDescent="0.25"/>
    <row r="10880" hidden="1" x14ac:dyDescent="0.25"/>
    <row r="10881" hidden="1" x14ac:dyDescent="0.25"/>
    <row r="10882" hidden="1" x14ac:dyDescent="0.25"/>
    <row r="10883" hidden="1" x14ac:dyDescent="0.25"/>
    <row r="10884" hidden="1" x14ac:dyDescent="0.25"/>
    <row r="10885" hidden="1" x14ac:dyDescent="0.25"/>
    <row r="10886" hidden="1" x14ac:dyDescent="0.25"/>
    <row r="10887" hidden="1" x14ac:dyDescent="0.25"/>
    <row r="10888" hidden="1" x14ac:dyDescent="0.25"/>
    <row r="10889" hidden="1" x14ac:dyDescent="0.25"/>
    <row r="10890" hidden="1" x14ac:dyDescent="0.25"/>
    <row r="10891" hidden="1" x14ac:dyDescent="0.25"/>
    <row r="10892" hidden="1" x14ac:dyDescent="0.25"/>
    <row r="10893" hidden="1" x14ac:dyDescent="0.25"/>
    <row r="10894" hidden="1" x14ac:dyDescent="0.25"/>
    <row r="10895" hidden="1" x14ac:dyDescent="0.25"/>
    <row r="10896" hidden="1" x14ac:dyDescent="0.25"/>
    <row r="10897" hidden="1" x14ac:dyDescent="0.25"/>
    <row r="10898" hidden="1" x14ac:dyDescent="0.25"/>
    <row r="10899" hidden="1" x14ac:dyDescent="0.25"/>
    <row r="10900" hidden="1" x14ac:dyDescent="0.25"/>
    <row r="10901" hidden="1" x14ac:dyDescent="0.25"/>
    <row r="10902" hidden="1" x14ac:dyDescent="0.25"/>
    <row r="10903" hidden="1" x14ac:dyDescent="0.25"/>
    <row r="10904" hidden="1" x14ac:dyDescent="0.25"/>
    <row r="10905" hidden="1" x14ac:dyDescent="0.25"/>
    <row r="10906" hidden="1" x14ac:dyDescent="0.25"/>
    <row r="10907" hidden="1" x14ac:dyDescent="0.25"/>
    <row r="10908" hidden="1" x14ac:dyDescent="0.25"/>
    <row r="10909" hidden="1" x14ac:dyDescent="0.25"/>
    <row r="10910" hidden="1" x14ac:dyDescent="0.25"/>
    <row r="10911" hidden="1" x14ac:dyDescent="0.25"/>
    <row r="10912" hidden="1" x14ac:dyDescent="0.25"/>
    <row r="10913" hidden="1" x14ac:dyDescent="0.25"/>
    <row r="10914" hidden="1" x14ac:dyDescent="0.25"/>
    <row r="10915" hidden="1" x14ac:dyDescent="0.25"/>
    <row r="10916" hidden="1" x14ac:dyDescent="0.25"/>
    <row r="10917" hidden="1" x14ac:dyDescent="0.25"/>
    <row r="10918" hidden="1" x14ac:dyDescent="0.25"/>
    <row r="10919" hidden="1" x14ac:dyDescent="0.25"/>
    <row r="10920" hidden="1" x14ac:dyDescent="0.25"/>
    <row r="10921" hidden="1" x14ac:dyDescent="0.25"/>
    <row r="10922" hidden="1" x14ac:dyDescent="0.25"/>
    <row r="10923" hidden="1" x14ac:dyDescent="0.25"/>
    <row r="10924" hidden="1" x14ac:dyDescent="0.25"/>
    <row r="10925" hidden="1" x14ac:dyDescent="0.25"/>
    <row r="10926" hidden="1" x14ac:dyDescent="0.25"/>
    <row r="10927" hidden="1" x14ac:dyDescent="0.25"/>
    <row r="10928" hidden="1" x14ac:dyDescent="0.25"/>
    <row r="10929" hidden="1" x14ac:dyDescent="0.25"/>
    <row r="10930" hidden="1" x14ac:dyDescent="0.25"/>
    <row r="10931" hidden="1" x14ac:dyDescent="0.25"/>
    <row r="10932" hidden="1" x14ac:dyDescent="0.25"/>
    <row r="10933" hidden="1" x14ac:dyDescent="0.25"/>
    <row r="10934" hidden="1" x14ac:dyDescent="0.25"/>
    <row r="10935" hidden="1" x14ac:dyDescent="0.25"/>
    <row r="10936" hidden="1" x14ac:dyDescent="0.25"/>
    <row r="10937" hidden="1" x14ac:dyDescent="0.25"/>
    <row r="10938" hidden="1" x14ac:dyDescent="0.25"/>
    <row r="10939" hidden="1" x14ac:dyDescent="0.25"/>
    <row r="10940" hidden="1" x14ac:dyDescent="0.25"/>
    <row r="10941" hidden="1" x14ac:dyDescent="0.25"/>
    <row r="10942" hidden="1" x14ac:dyDescent="0.25"/>
    <row r="10943" hidden="1" x14ac:dyDescent="0.25"/>
    <row r="10944" hidden="1" x14ac:dyDescent="0.25"/>
    <row r="10945" hidden="1" x14ac:dyDescent="0.25"/>
    <row r="10946" hidden="1" x14ac:dyDescent="0.25"/>
    <row r="10947" hidden="1" x14ac:dyDescent="0.25"/>
    <row r="10948" hidden="1" x14ac:dyDescent="0.25"/>
    <row r="10949" hidden="1" x14ac:dyDescent="0.25"/>
    <row r="10950" hidden="1" x14ac:dyDescent="0.25"/>
    <row r="10951" hidden="1" x14ac:dyDescent="0.25"/>
    <row r="10952" hidden="1" x14ac:dyDescent="0.25"/>
    <row r="10953" hidden="1" x14ac:dyDescent="0.25"/>
    <row r="10954" hidden="1" x14ac:dyDescent="0.25"/>
    <row r="10955" hidden="1" x14ac:dyDescent="0.25"/>
    <row r="10956" hidden="1" x14ac:dyDescent="0.25"/>
    <row r="10957" hidden="1" x14ac:dyDescent="0.25"/>
    <row r="10958" hidden="1" x14ac:dyDescent="0.25"/>
    <row r="10959" hidden="1" x14ac:dyDescent="0.25"/>
    <row r="10960" hidden="1" x14ac:dyDescent="0.25"/>
    <row r="10961" hidden="1" x14ac:dyDescent="0.25"/>
    <row r="10962" hidden="1" x14ac:dyDescent="0.25"/>
    <row r="10963" hidden="1" x14ac:dyDescent="0.25"/>
    <row r="10964" hidden="1" x14ac:dyDescent="0.25"/>
    <row r="10965" hidden="1" x14ac:dyDescent="0.25"/>
    <row r="10966" hidden="1" x14ac:dyDescent="0.25"/>
    <row r="10967" hidden="1" x14ac:dyDescent="0.25"/>
    <row r="10968" hidden="1" x14ac:dyDescent="0.25"/>
    <row r="10969" hidden="1" x14ac:dyDescent="0.25"/>
    <row r="10970" hidden="1" x14ac:dyDescent="0.25"/>
    <row r="10971" hidden="1" x14ac:dyDescent="0.25"/>
    <row r="10972" hidden="1" x14ac:dyDescent="0.25"/>
    <row r="10973" hidden="1" x14ac:dyDescent="0.25"/>
    <row r="10974" hidden="1" x14ac:dyDescent="0.25"/>
    <row r="10975" hidden="1" x14ac:dyDescent="0.25"/>
    <row r="10976" hidden="1" x14ac:dyDescent="0.25"/>
    <row r="10977" hidden="1" x14ac:dyDescent="0.25"/>
    <row r="10978" hidden="1" x14ac:dyDescent="0.25"/>
    <row r="10979" hidden="1" x14ac:dyDescent="0.25"/>
    <row r="10980" hidden="1" x14ac:dyDescent="0.25"/>
    <row r="10981" hidden="1" x14ac:dyDescent="0.25"/>
    <row r="10982" hidden="1" x14ac:dyDescent="0.25"/>
    <row r="10983" hidden="1" x14ac:dyDescent="0.25"/>
    <row r="10984" hidden="1" x14ac:dyDescent="0.25"/>
    <row r="10985" hidden="1" x14ac:dyDescent="0.25"/>
    <row r="10986" hidden="1" x14ac:dyDescent="0.25"/>
    <row r="10987" hidden="1" x14ac:dyDescent="0.25"/>
    <row r="10988" hidden="1" x14ac:dyDescent="0.25"/>
    <row r="10989" hidden="1" x14ac:dyDescent="0.25"/>
    <row r="10990" hidden="1" x14ac:dyDescent="0.25"/>
    <row r="10991" hidden="1" x14ac:dyDescent="0.25"/>
    <row r="10992" hidden="1" x14ac:dyDescent="0.25"/>
    <row r="10993" hidden="1" x14ac:dyDescent="0.25"/>
    <row r="10994" hidden="1" x14ac:dyDescent="0.25"/>
    <row r="10995" hidden="1" x14ac:dyDescent="0.25"/>
    <row r="10996" hidden="1" x14ac:dyDescent="0.25"/>
    <row r="10997" hidden="1" x14ac:dyDescent="0.25"/>
    <row r="10998" hidden="1" x14ac:dyDescent="0.25"/>
    <row r="10999" hidden="1" x14ac:dyDescent="0.25"/>
    <row r="11000" hidden="1" x14ac:dyDescent="0.25"/>
    <row r="11001" hidden="1" x14ac:dyDescent="0.25"/>
    <row r="11002" hidden="1" x14ac:dyDescent="0.25"/>
    <row r="11003" hidden="1" x14ac:dyDescent="0.25"/>
    <row r="11004" hidden="1" x14ac:dyDescent="0.25"/>
    <row r="11005" hidden="1" x14ac:dyDescent="0.25"/>
    <row r="11006" hidden="1" x14ac:dyDescent="0.25"/>
    <row r="11007" hidden="1" x14ac:dyDescent="0.25"/>
    <row r="11008" hidden="1" x14ac:dyDescent="0.25"/>
    <row r="11009" hidden="1" x14ac:dyDescent="0.25"/>
    <row r="11010" hidden="1" x14ac:dyDescent="0.25"/>
    <row r="11011" hidden="1" x14ac:dyDescent="0.25"/>
    <row r="11012" hidden="1" x14ac:dyDescent="0.25"/>
    <row r="11013" hidden="1" x14ac:dyDescent="0.25"/>
    <row r="11014" hidden="1" x14ac:dyDescent="0.25"/>
    <row r="11015" hidden="1" x14ac:dyDescent="0.25"/>
    <row r="11016" hidden="1" x14ac:dyDescent="0.25"/>
    <row r="11017" hidden="1" x14ac:dyDescent="0.25"/>
    <row r="11018" hidden="1" x14ac:dyDescent="0.25"/>
    <row r="11019" hidden="1" x14ac:dyDescent="0.25"/>
    <row r="11020" hidden="1" x14ac:dyDescent="0.25"/>
    <row r="11021" hidden="1" x14ac:dyDescent="0.25"/>
    <row r="11022" hidden="1" x14ac:dyDescent="0.25"/>
    <row r="11023" hidden="1" x14ac:dyDescent="0.25"/>
    <row r="11024" hidden="1" x14ac:dyDescent="0.25"/>
    <row r="11025" hidden="1" x14ac:dyDescent="0.25"/>
    <row r="11026" hidden="1" x14ac:dyDescent="0.25"/>
    <row r="11027" hidden="1" x14ac:dyDescent="0.25"/>
    <row r="11028" hidden="1" x14ac:dyDescent="0.25"/>
    <row r="11029" hidden="1" x14ac:dyDescent="0.25"/>
    <row r="11030" hidden="1" x14ac:dyDescent="0.25"/>
    <row r="11031" hidden="1" x14ac:dyDescent="0.25"/>
    <row r="11032" hidden="1" x14ac:dyDescent="0.25"/>
    <row r="11033" hidden="1" x14ac:dyDescent="0.25"/>
    <row r="11034" hidden="1" x14ac:dyDescent="0.25"/>
    <row r="11035" hidden="1" x14ac:dyDescent="0.25"/>
    <row r="11036" hidden="1" x14ac:dyDescent="0.25"/>
    <row r="11037" hidden="1" x14ac:dyDescent="0.25"/>
    <row r="11038" hidden="1" x14ac:dyDescent="0.25"/>
    <row r="11039" hidden="1" x14ac:dyDescent="0.25"/>
    <row r="11040" hidden="1" x14ac:dyDescent="0.25"/>
    <row r="11041" hidden="1" x14ac:dyDescent="0.25"/>
    <row r="11042" hidden="1" x14ac:dyDescent="0.25"/>
    <row r="11043" hidden="1" x14ac:dyDescent="0.25"/>
    <row r="11044" hidden="1" x14ac:dyDescent="0.25"/>
    <row r="11045" hidden="1" x14ac:dyDescent="0.25"/>
    <row r="11046" hidden="1" x14ac:dyDescent="0.25"/>
    <row r="11047" hidden="1" x14ac:dyDescent="0.25"/>
    <row r="11048" hidden="1" x14ac:dyDescent="0.25"/>
    <row r="11049" hidden="1" x14ac:dyDescent="0.25"/>
    <row r="11050" hidden="1" x14ac:dyDescent="0.25"/>
    <row r="11051" hidden="1" x14ac:dyDescent="0.25"/>
    <row r="11052" hidden="1" x14ac:dyDescent="0.25"/>
    <row r="11053" hidden="1" x14ac:dyDescent="0.25"/>
    <row r="11054" hidden="1" x14ac:dyDescent="0.25"/>
    <row r="11055" hidden="1" x14ac:dyDescent="0.25"/>
    <row r="11056" hidden="1" x14ac:dyDescent="0.25"/>
    <row r="11057" hidden="1" x14ac:dyDescent="0.25"/>
    <row r="11058" hidden="1" x14ac:dyDescent="0.25"/>
    <row r="11059" hidden="1" x14ac:dyDescent="0.25"/>
    <row r="11060" hidden="1" x14ac:dyDescent="0.25"/>
    <row r="11061" hidden="1" x14ac:dyDescent="0.25"/>
    <row r="11062" hidden="1" x14ac:dyDescent="0.25"/>
    <row r="11063" hidden="1" x14ac:dyDescent="0.25"/>
    <row r="11064" hidden="1" x14ac:dyDescent="0.25"/>
    <row r="11065" hidden="1" x14ac:dyDescent="0.25"/>
    <row r="11066" hidden="1" x14ac:dyDescent="0.25"/>
    <row r="11067" hidden="1" x14ac:dyDescent="0.25"/>
    <row r="11068" hidden="1" x14ac:dyDescent="0.25"/>
    <row r="11069" hidden="1" x14ac:dyDescent="0.25"/>
    <row r="11070" hidden="1" x14ac:dyDescent="0.25"/>
    <row r="11071" hidden="1" x14ac:dyDescent="0.25"/>
    <row r="11072" hidden="1" x14ac:dyDescent="0.25"/>
    <row r="11073" hidden="1" x14ac:dyDescent="0.25"/>
    <row r="11074" hidden="1" x14ac:dyDescent="0.25"/>
    <row r="11075" hidden="1" x14ac:dyDescent="0.25"/>
    <row r="11076" hidden="1" x14ac:dyDescent="0.25"/>
    <row r="11077" hidden="1" x14ac:dyDescent="0.25"/>
    <row r="11078" hidden="1" x14ac:dyDescent="0.25"/>
    <row r="11079" hidden="1" x14ac:dyDescent="0.25"/>
    <row r="11080" hidden="1" x14ac:dyDescent="0.25"/>
    <row r="11081" hidden="1" x14ac:dyDescent="0.25"/>
    <row r="11082" hidden="1" x14ac:dyDescent="0.25"/>
    <row r="11083" hidden="1" x14ac:dyDescent="0.25"/>
    <row r="11084" hidden="1" x14ac:dyDescent="0.25"/>
    <row r="11085" hidden="1" x14ac:dyDescent="0.25"/>
    <row r="11086" hidden="1" x14ac:dyDescent="0.25"/>
    <row r="11087" hidden="1" x14ac:dyDescent="0.25"/>
    <row r="11088" hidden="1" x14ac:dyDescent="0.25"/>
    <row r="11089" hidden="1" x14ac:dyDescent="0.25"/>
    <row r="11090" hidden="1" x14ac:dyDescent="0.25"/>
    <row r="11091" hidden="1" x14ac:dyDescent="0.25"/>
    <row r="11092" hidden="1" x14ac:dyDescent="0.25"/>
    <row r="11093" hidden="1" x14ac:dyDescent="0.25"/>
    <row r="11094" hidden="1" x14ac:dyDescent="0.25"/>
    <row r="11095" hidden="1" x14ac:dyDescent="0.25"/>
    <row r="11096" hidden="1" x14ac:dyDescent="0.25"/>
    <row r="11097" hidden="1" x14ac:dyDescent="0.25"/>
    <row r="11098" hidden="1" x14ac:dyDescent="0.25"/>
    <row r="11099" hidden="1" x14ac:dyDescent="0.25"/>
    <row r="11100" hidden="1" x14ac:dyDescent="0.25"/>
    <row r="11101" hidden="1" x14ac:dyDescent="0.25"/>
    <row r="11102" hidden="1" x14ac:dyDescent="0.25"/>
    <row r="11103" hidden="1" x14ac:dyDescent="0.25"/>
    <row r="11104" hidden="1" x14ac:dyDescent="0.25"/>
    <row r="11105" hidden="1" x14ac:dyDescent="0.25"/>
    <row r="11106" hidden="1" x14ac:dyDescent="0.25"/>
    <row r="11107" hidden="1" x14ac:dyDescent="0.25"/>
    <row r="11108" hidden="1" x14ac:dyDescent="0.25"/>
    <row r="11109" hidden="1" x14ac:dyDescent="0.25"/>
    <row r="11110" hidden="1" x14ac:dyDescent="0.25"/>
    <row r="11111" hidden="1" x14ac:dyDescent="0.25"/>
    <row r="11112" hidden="1" x14ac:dyDescent="0.25"/>
    <row r="11113" hidden="1" x14ac:dyDescent="0.25"/>
    <row r="11114" hidden="1" x14ac:dyDescent="0.25"/>
    <row r="11115" hidden="1" x14ac:dyDescent="0.25"/>
    <row r="11116" hidden="1" x14ac:dyDescent="0.25"/>
    <row r="11117" hidden="1" x14ac:dyDescent="0.25"/>
    <row r="11118" hidden="1" x14ac:dyDescent="0.25"/>
    <row r="11119" hidden="1" x14ac:dyDescent="0.25"/>
    <row r="11120" hidden="1" x14ac:dyDescent="0.25"/>
    <row r="11121" hidden="1" x14ac:dyDescent="0.25"/>
    <row r="11122" hidden="1" x14ac:dyDescent="0.25"/>
    <row r="11123" hidden="1" x14ac:dyDescent="0.25"/>
    <row r="11124" hidden="1" x14ac:dyDescent="0.25"/>
    <row r="11125" hidden="1" x14ac:dyDescent="0.25"/>
    <row r="11126" hidden="1" x14ac:dyDescent="0.25"/>
    <row r="11127" hidden="1" x14ac:dyDescent="0.25"/>
    <row r="11128" hidden="1" x14ac:dyDescent="0.25"/>
    <row r="11129" hidden="1" x14ac:dyDescent="0.25"/>
    <row r="11130" hidden="1" x14ac:dyDescent="0.25"/>
    <row r="11131" hidden="1" x14ac:dyDescent="0.25"/>
    <row r="11132" hidden="1" x14ac:dyDescent="0.25"/>
    <row r="11133" hidden="1" x14ac:dyDescent="0.25"/>
    <row r="11134" hidden="1" x14ac:dyDescent="0.25"/>
    <row r="11135" hidden="1" x14ac:dyDescent="0.25"/>
    <row r="11136" hidden="1" x14ac:dyDescent="0.25"/>
    <row r="11137" hidden="1" x14ac:dyDescent="0.25"/>
    <row r="11138" hidden="1" x14ac:dyDescent="0.25"/>
    <row r="11139" hidden="1" x14ac:dyDescent="0.25"/>
    <row r="11140" hidden="1" x14ac:dyDescent="0.25"/>
    <row r="11141" hidden="1" x14ac:dyDescent="0.25"/>
    <row r="11142" hidden="1" x14ac:dyDescent="0.25"/>
    <row r="11143" hidden="1" x14ac:dyDescent="0.25"/>
    <row r="11144" hidden="1" x14ac:dyDescent="0.25"/>
    <row r="11145" hidden="1" x14ac:dyDescent="0.25"/>
    <row r="11146" hidden="1" x14ac:dyDescent="0.25"/>
    <row r="11147" hidden="1" x14ac:dyDescent="0.25"/>
    <row r="11148" hidden="1" x14ac:dyDescent="0.25"/>
    <row r="11149" hidden="1" x14ac:dyDescent="0.25"/>
    <row r="11150" hidden="1" x14ac:dyDescent="0.25"/>
    <row r="11151" hidden="1" x14ac:dyDescent="0.25"/>
    <row r="11152" hidden="1" x14ac:dyDescent="0.25"/>
    <row r="11153" hidden="1" x14ac:dyDescent="0.25"/>
    <row r="11154" hidden="1" x14ac:dyDescent="0.25"/>
    <row r="11155" hidden="1" x14ac:dyDescent="0.25"/>
    <row r="11156" hidden="1" x14ac:dyDescent="0.25"/>
    <row r="11157" hidden="1" x14ac:dyDescent="0.25"/>
    <row r="11158" hidden="1" x14ac:dyDescent="0.25"/>
    <row r="11159" hidden="1" x14ac:dyDescent="0.25"/>
    <row r="11160" hidden="1" x14ac:dyDescent="0.25"/>
    <row r="11161" hidden="1" x14ac:dyDescent="0.25"/>
    <row r="11162" hidden="1" x14ac:dyDescent="0.25"/>
    <row r="11163" hidden="1" x14ac:dyDescent="0.25"/>
    <row r="11164" hidden="1" x14ac:dyDescent="0.25"/>
    <row r="11165" hidden="1" x14ac:dyDescent="0.25"/>
    <row r="11166" hidden="1" x14ac:dyDescent="0.25"/>
    <row r="11167" hidden="1" x14ac:dyDescent="0.25"/>
    <row r="11168" hidden="1" x14ac:dyDescent="0.25"/>
    <row r="11169" hidden="1" x14ac:dyDescent="0.25"/>
    <row r="11170" hidden="1" x14ac:dyDescent="0.25"/>
    <row r="11171" hidden="1" x14ac:dyDescent="0.25"/>
    <row r="11172" hidden="1" x14ac:dyDescent="0.25"/>
    <row r="11173" hidden="1" x14ac:dyDescent="0.25"/>
    <row r="11174" hidden="1" x14ac:dyDescent="0.25"/>
    <row r="11175" hidden="1" x14ac:dyDescent="0.25"/>
    <row r="11176" hidden="1" x14ac:dyDescent="0.25"/>
    <row r="11177" hidden="1" x14ac:dyDescent="0.25"/>
    <row r="11178" hidden="1" x14ac:dyDescent="0.25"/>
    <row r="11179" hidden="1" x14ac:dyDescent="0.25"/>
    <row r="11180" hidden="1" x14ac:dyDescent="0.25"/>
    <row r="11181" hidden="1" x14ac:dyDescent="0.25"/>
    <row r="11182" hidden="1" x14ac:dyDescent="0.25"/>
    <row r="11183" hidden="1" x14ac:dyDescent="0.25"/>
    <row r="11184" hidden="1" x14ac:dyDescent="0.25"/>
    <row r="11185" hidden="1" x14ac:dyDescent="0.25"/>
    <row r="11186" hidden="1" x14ac:dyDescent="0.25"/>
    <row r="11187" hidden="1" x14ac:dyDescent="0.25"/>
    <row r="11188" hidden="1" x14ac:dyDescent="0.25"/>
    <row r="11189" hidden="1" x14ac:dyDescent="0.25"/>
    <row r="11190" hidden="1" x14ac:dyDescent="0.25"/>
    <row r="11191" hidden="1" x14ac:dyDescent="0.25"/>
    <row r="11192" hidden="1" x14ac:dyDescent="0.25"/>
    <row r="11193" hidden="1" x14ac:dyDescent="0.25"/>
    <row r="11194" hidden="1" x14ac:dyDescent="0.25"/>
    <row r="11195" hidden="1" x14ac:dyDescent="0.25"/>
    <row r="11196" hidden="1" x14ac:dyDescent="0.25"/>
    <row r="11197" hidden="1" x14ac:dyDescent="0.25"/>
    <row r="11198" hidden="1" x14ac:dyDescent="0.25"/>
    <row r="11199" hidden="1" x14ac:dyDescent="0.25"/>
    <row r="11200" hidden="1" x14ac:dyDescent="0.25"/>
    <row r="11201" hidden="1" x14ac:dyDescent="0.25"/>
    <row r="11202" hidden="1" x14ac:dyDescent="0.25"/>
    <row r="11203" hidden="1" x14ac:dyDescent="0.25"/>
    <row r="11204" hidden="1" x14ac:dyDescent="0.25"/>
    <row r="11205" hidden="1" x14ac:dyDescent="0.25"/>
    <row r="11206" hidden="1" x14ac:dyDescent="0.25"/>
    <row r="11207" hidden="1" x14ac:dyDescent="0.25"/>
    <row r="11208" hidden="1" x14ac:dyDescent="0.25"/>
    <row r="11209" hidden="1" x14ac:dyDescent="0.25"/>
    <row r="11210" hidden="1" x14ac:dyDescent="0.25"/>
    <row r="11211" hidden="1" x14ac:dyDescent="0.25"/>
    <row r="11212" hidden="1" x14ac:dyDescent="0.25"/>
    <row r="11213" hidden="1" x14ac:dyDescent="0.25"/>
    <row r="11214" hidden="1" x14ac:dyDescent="0.25"/>
    <row r="11215" hidden="1" x14ac:dyDescent="0.25"/>
    <row r="11216" hidden="1" x14ac:dyDescent="0.25"/>
    <row r="11217" hidden="1" x14ac:dyDescent="0.25"/>
    <row r="11218" hidden="1" x14ac:dyDescent="0.25"/>
    <row r="11219" hidden="1" x14ac:dyDescent="0.25"/>
    <row r="11220" hidden="1" x14ac:dyDescent="0.25"/>
    <row r="11221" hidden="1" x14ac:dyDescent="0.25"/>
    <row r="11222" hidden="1" x14ac:dyDescent="0.25"/>
    <row r="11223" hidden="1" x14ac:dyDescent="0.25"/>
    <row r="11224" hidden="1" x14ac:dyDescent="0.25"/>
    <row r="11225" hidden="1" x14ac:dyDescent="0.25"/>
    <row r="11226" hidden="1" x14ac:dyDescent="0.25"/>
    <row r="11227" hidden="1" x14ac:dyDescent="0.25"/>
    <row r="11228" hidden="1" x14ac:dyDescent="0.25"/>
    <row r="11229" hidden="1" x14ac:dyDescent="0.25"/>
    <row r="11230" hidden="1" x14ac:dyDescent="0.25"/>
    <row r="11231" hidden="1" x14ac:dyDescent="0.25"/>
    <row r="11232" hidden="1" x14ac:dyDescent="0.25"/>
    <row r="11233" hidden="1" x14ac:dyDescent="0.25"/>
    <row r="11234" hidden="1" x14ac:dyDescent="0.25"/>
    <row r="11235" hidden="1" x14ac:dyDescent="0.25"/>
    <row r="11236" hidden="1" x14ac:dyDescent="0.25"/>
    <row r="11237" hidden="1" x14ac:dyDescent="0.25"/>
    <row r="11238" hidden="1" x14ac:dyDescent="0.25"/>
    <row r="11239" hidden="1" x14ac:dyDescent="0.25"/>
    <row r="11240" hidden="1" x14ac:dyDescent="0.25"/>
    <row r="11241" hidden="1" x14ac:dyDescent="0.25"/>
    <row r="11242" hidden="1" x14ac:dyDescent="0.25"/>
    <row r="11243" hidden="1" x14ac:dyDescent="0.25"/>
    <row r="11244" hidden="1" x14ac:dyDescent="0.25"/>
    <row r="11245" hidden="1" x14ac:dyDescent="0.25"/>
    <row r="11246" hidden="1" x14ac:dyDescent="0.25"/>
    <row r="11247" hidden="1" x14ac:dyDescent="0.25"/>
    <row r="11248" hidden="1" x14ac:dyDescent="0.25"/>
    <row r="11249" hidden="1" x14ac:dyDescent="0.25"/>
    <row r="11250" hidden="1" x14ac:dyDescent="0.25"/>
    <row r="11251" hidden="1" x14ac:dyDescent="0.25"/>
    <row r="11252" hidden="1" x14ac:dyDescent="0.25"/>
    <row r="11253" hidden="1" x14ac:dyDescent="0.25"/>
    <row r="11254" hidden="1" x14ac:dyDescent="0.25"/>
    <row r="11255" hidden="1" x14ac:dyDescent="0.25"/>
    <row r="11256" hidden="1" x14ac:dyDescent="0.25"/>
    <row r="11257" hidden="1" x14ac:dyDescent="0.25"/>
    <row r="11258" hidden="1" x14ac:dyDescent="0.25"/>
    <row r="11259" hidden="1" x14ac:dyDescent="0.25"/>
    <row r="11260" hidden="1" x14ac:dyDescent="0.25"/>
    <row r="11261" hidden="1" x14ac:dyDescent="0.25"/>
    <row r="11262" hidden="1" x14ac:dyDescent="0.25"/>
    <row r="11263" hidden="1" x14ac:dyDescent="0.25"/>
    <row r="11264" hidden="1" x14ac:dyDescent="0.25"/>
    <row r="11265" hidden="1" x14ac:dyDescent="0.25"/>
    <row r="11266" hidden="1" x14ac:dyDescent="0.25"/>
    <row r="11267" hidden="1" x14ac:dyDescent="0.25"/>
    <row r="11268" hidden="1" x14ac:dyDescent="0.25"/>
    <row r="11269" hidden="1" x14ac:dyDescent="0.25"/>
    <row r="11270" hidden="1" x14ac:dyDescent="0.25"/>
    <row r="11271" hidden="1" x14ac:dyDescent="0.25"/>
    <row r="11272" hidden="1" x14ac:dyDescent="0.25"/>
    <row r="11273" hidden="1" x14ac:dyDescent="0.25"/>
    <row r="11274" hidden="1" x14ac:dyDescent="0.25"/>
    <row r="11275" hidden="1" x14ac:dyDescent="0.25"/>
    <row r="11276" hidden="1" x14ac:dyDescent="0.25"/>
    <row r="11277" hidden="1" x14ac:dyDescent="0.25"/>
    <row r="11278" hidden="1" x14ac:dyDescent="0.25"/>
    <row r="11279" hidden="1" x14ac:dyDescent="0.25"/>
    <row r="11280" hidden="1" x14ac:dyDescent="0.25"/>
    <row r="11281" hidden="1" x14ac:dyDescent="0.25"/>
    <row r="11282" hidden="1" x14ac:dyDescent="0.25"/>
    <row r="11283" hidden="1" x14ac:dyDescent="0.25"/>
    <row r="11284" hidden="1" x14ac:dyDescent="0.25"/>
    <row r="11285" hidden="1" x14ac:dyDescent="0.25"/>
    <row r="11286" hidden="1" x14ac:dyDescent="0.25"/>
    <row r="11287" hidden="1" x14ac:dyDescent="0.25"/>
    <row r="11288" hidden="1" x14ac:dyDescent="0.25"/>
    <row r="11289" hidden="1" x14ac:dyDescent="0.25"/>
    <row r="11290" hidden="1" x14ac:dyDescent="0.25"/>
    <row r="11291" hidden="1" x14ac:dyDescent="0.25"/>
    <row r="11292" hidden="1" x14ac:dyDescent="0.25"/>
    <row r="11293" hidden="1" x14ac:dyDescent="0.25"/>
    <row r="11294" hidden="1" x14ac:dyDescent="0.25"/>
    <row r="11295" hidden="1" x14ac:dyDescent="0.25"/>
    <row r="11296" hidden="1" x14ac:dyDescent="0.25"/>
    <row r="11297" hidden="1" x14ac:dyDescent="0.25"/>
    <row r="11298" hidden="1" x14ac:dyDescent="0.25"/>
    <row r="11299" hidden="1" x14ac:dyDescent="0.25"/>
    <row r="11300" hidden="1" x14ac:dyDescent="0.25"/>
    <row r="11301" hidden="1" x14ac:dyDescent="0.25"/>
    <row r="11302" hidden="1" x14ac:dyDescent="0.25"/>
    <row r="11303" hidden="1" x14ac:dyDescent="0.25"/>
    <row r="11304" hidden="1" x14ac:dyDescent="0.25"/>
    <row r="11305" hidden="1" x14ac:dyDescent="0.25"/>
    <row r="11306" hidden="1" x14ac:dyDescent="0.25"/>
    <row r="11307" hidden="1" x14ac:dyDescent="0.25"/>
    <row r="11308" hidden="1" x14ac:dyDescent="0.25"/>
    <row r="11309" hidden="1" x14ac:dyDescent="0.25"/>
    <row r="11310" hidden="1" x14ac:dyDescent="0.25"/>
    <row r="11311" hidden="1" x14ac:dyDescent="0.25"/>
    <row r="11312" hidden="1" x14ac:dyDescent="0.25"/>
    <row r="11313" hidden="1" x14ac:dyDescent="0.25"/>
    <row r="11314" hidden="1" x14ac:dyDescent="0.25"/>
    <row r="11315" hidden="1" x14ac:dyDescent="0.25"/>
    <row r="11316" hidden="1" x14ac:dyDescent="0.25"/>
    <row r="11317" hidden="1" x14ac:dyDescent="0.25"/>
    <row r="11318" hidden="1" x14ac:dyDescent="0.25"/>
    <row r="11319" hidden="1" x14ac:dyDescent="0.25"/>
    <row r="11320" hidden="1" x14ac:dyDescent="0.25"/>
    <row r="11321" hidden="1" x14ac:dyDescent="0.25"/>
    <row r="11322" hidden="1" x14ac:dyDescent="0.25"/>
    <row r="11323" hidden="1" x14ac:dyDescent="0.25"/>
    <row r="11324" hidden="1" x14ac:dyDescent="0.25"/>
    <row r="11325" hidden="1" x14ac:dyDescent="0.25"/>
    <row r="11326" hidden="1" x14ac:dyDescent="0.25"/>
    <row r="11327" hidden="1" x14ac:dyDescent="0.25"/>
    <row r="11328" hidden="1" x14ac:dyDescent="0.25"/>
    <row r="11329" hidden="1" x14ac:dyDescent="0.25"/>
    <row r="11330" hidden="1" x14ac:dyDescent="0.25"/>
    <row r="11331" hidden="1" x14ac:dyDescent="0.25"/>
    <row r="11332" hidden="1" x14ac:dyDescent="0.25"/>
    <row r="11333" hidden="1" x14ac:dyDescent="0.25"/>
    <row r="11334" hidden="1" x14ac:dyDescent="0.25"/>
    <row r="11335" hidden="1" x14ac:dyDescent="0.25"/>
    <row r="11336" hidden="1" x14ac:dyDescent="0.25"/>
    <row r="11337" hidden="1" x14ac:dyDescent="0.25"/>
    <row r="11338" hidden="1" x14ac:dyDescent="0.25"/>
    <row r="11339" hidden="1" x14ac:dyDescent="0.25"/>
    <row r="11340" hidden="1" x14ac:dyDescent="0.25"/>
    <row r="11341" hidden="1" x14ac:dyDescent="0.25"/>
    <row r="11342" hidden="1" x14ac:dyDescent="0.25"/>
    <row r="11343" hidden="1" x14ac:dyDescent="0.25"/>
    <row r="11344" hidden="1" x14ac:dyDescent="0.25"/>
    <row r="11345" hidden="1" x14ac:dyDescent="0.25"/>
    <row r="11346" hidden="1" x14ac:dyDescent="0.25"/>
    <row r="11347" hidden="1" x14ac:dyDescent="0.25"/>
    <row r="11348" hidden="1" x14ac:dyDescent="0.25"/>
    <row r="11349" hidden="1" x14ac:dyDescent="0.25"/>
    <row r="11350" hidden="1" x14ac:dyDescent="0.25"/>
    <row r="11351" hidden="1" x14ac:dyDescent="0.25"/>
    <row r="11352" hidden="1" x14ac:dyDescent="0.25"/>
    <row r="11353" hidden="1" x14ac:dyDescent="0.25"/>
    <row r="11354" hidden="1" x14ac:dyDescent="0.25"/>
    <row r="11355" hidden="1" x14ac:dyDescent="0.25"/>
    <row r="11356" hidden="1" x14ac:dyDescent="0.25"/>
    <row r="11357" hidden="1" x14ac:dyDescent="0.25"/>
    <row r="11358" hidden="1" x14ac:dyDescent="0.25"/>
    <row r="11359" hidden="1" x14ac:dyDescent="0.25"/>
    <row r="11360" hidden="1" x14ac:dyDescent="0.25"/>
    <row r="11361" hidden="1" x14ac:dyDescent="0.25"/>
    <row r="11362" hidden="1" x14ac:dyDescent="0.25"/>
    <row r="11363" hidden="1" x14ac:dyDescent="0.25"/>
    <row r="11364" hidden="1" x14ac:dyDescent="0.25"/>
    <row r="11365" hidden="1" x14ac:dyDescent="0.25"/>
    <row r="11366" hidden="1" x14ac:dyDescent="0.25"/>
    <row r="11367" hidden="1" x14ac:dyDescent="0.25"/>
    <row r="11368" hidden="1" x14ac:dyDescent="0.25"/>
    <row r="11369" hidden="1" x14ac:dyDescent="0.25"/>
    <row r="11370" hidden="1" x14ac:dyDescent="0.25"/>
    <row r="11371" hidden="1" x14ac:dyDescent="0.25"/>
    <row r="11372" hidden="1" x14ac:dyDescent="0.25"/>
    <row r="11373" hidden="1" x14ac:dyDescent="0.25"/>
    <row r="11374" hidden="1" x14ac:dyDescent="0.25"/>
    <row r="11375" hidden="1" x14ac:dyDescent="0.25"/>
    <row r="11376" hidden="1" x14ac:dyDescent="0.25"/>
    <row r="11377" hidden="1" x14ac:dyDescent="0.25"/>
    <row r="11378" hidden="1" x14ac:dyDescent="0.25"/>
    <row r="11379" hidden="1" x14ac:dyDescent="0.25"/>
    <row r="11380" hidden="1" x14ac:dyDescent="0.25"/>
    <row r="11381" hidden="1" x14ac:dyDescent="0.25"/>
    <row r="11382" hidden="1" x14ac:dyDescent="0.25"/>
    <row r="11383" hidden="1" x14ac:dyDescent="0.25"/>
    <row r="11384" hidden="1" x14ac:dyDescent="0.25"/>
    <row r="11385" hidden="1" x14ac:dyDescent="0.25"/>
    <row r="11386" hidden="1" x14ac:dyDescent="0.25"/>
    <row r="11387" hidden="1" x14ac:dyDescent="0.25"/>
    <row r="11388" hidden="1" x14ac:dyDescent="0.25"/>
    <row r="11389" hidden="1" x14ac:dyDescent="0.25"/>
    <row r="11390" hidden="1" x14ac:dyDescent="0.25"/>
    <row r="11391" hidden="1" x14ac:dyDescent="0.25"/>
    <row r="11392" hidden="1" x14ac:dyDescent="0.25"/>
    <row r="11393" hidden="1" x14ac:dyDescent="0.25"/>
    <row r="11394" hidden="1" x14ac:dyDescent="0.25"/>
    <row r="11395" hidden="1" x14ac:dyDescent="0.25"/>
    <row r="11396" hidden="1" x14ac:dyDescent="0.25"/>
    <row r="11397" hidden="1" x14ac:dyDescent="0.25"/>
    <row r="11398" hidden="1" x14ac:dyDescent="0.25"/>
    <row r="11399" hidden="1" x14ac:dyDescent="0.25"/>
    <row r="11400" hidden="1" x14ac:dyDescent="0.25"/>
    <row r="11401" hidden="1" x14ac:dyDescent="0.25"/>
    <row r="11402" hidden="1" x14ac:dyDescent="0.25"/>
    <row r="11403" hidden="1" x14ac:dyDescent="0.25"/>
    <row r="11404" hidden="1" x14ac:dyDescent="0.25"/>
    <row r="11405" hidden="1" x14ac:dyDescent="0.25"/>
    <row r="11406" hidden="1" x14ac:dyDescent="0.25"/>
    <row r="11407" hidden="1" x14ac:dyDescent="0.25"/>
    <row r="11408" hidden="1" x14ac:dyDescent="0.25"/>
    <row r="11409" hidden="1" x14ac:dyDescent="0.25"/>
    <row r="11410" hidden="1" x14ac:dyDescent="0.25"/>
    <row r="11411" hidden="1" x14ac:dyDescent="0.25"/>
    <row r="11412" hidden="1" x14ac:dyDescent="0.25"/>
    <row r="11413" hidden="1" x14ac:dyDescent="0.25"/>
    <row r="11414" hidden="1" x14ac:dyDescent="0.25"/>
    <row r="11415" hidden="1" x14ac:dyDescent="0.25"/>
    <row r="11416" hidden="1" x14ac:dyDescent="0.25"/>
    <row r="11417" hidden="1" x14ac:dyDescent="0.25"/>
    <row r="11418" hidden="1" x14ac:dyDescent="0.25"/>
    <row r="11419" hidden="1" x14ac:dyDescent="0.25"/>
    <row r="11420" hidden="1" x14ac:dyDescent="0.25"/>
    <row r="11421" hidden="1" x14ac:dyDescent="0.25"/>
    <row r="11422" hidden="1" x14ac:dyDescent="0.25"/>
    <row r="11423" hidden="1" x14ac:dyDescent="0.25"/>
    <row r="11424" hidden="1" x14ac:dyDescent="0.25"/>
    <row r="11425" hidden="1" x14ac:dyDescent="0.25"/>
    <row r="11426" hidden="1" x14ac:dyDescent="0.25"/>
    <row r="11427" hidden="1" x14ac:dyDescent="0.25"/>
    <row r="11428" hidden="1" x14ac:dyDescent="0.25"/>
    <row r="11429" hidden="1" x14ac:dyDescent="0.25"/>
    <row r="11430" hidden="1" x14ac:dyDescent="0.25"/>
    <row r="11431" hidden="1" x14ac:dyDescent="0.25"/>
    <row r="11432" hidden="1" x14ac:dyDescent="0.25"/>
    <row r="11433" hidden="1" x14ac:dyDescent="0.25"/>
    <row r="11434" hidden="1" x14ac:dyDescent="0.25"/>
    <row r="11435" hidden="1" x14ac:dyDescent="0.25"/>
    <row r="11436" hidden="1" x14ac:dyDescent="0.25"/>
    <row r="11437" hidden="1" x14ac:dyDescent="0.25"/>
    <row r="11438" hidden="1" x14ac:dyDescent="0.25"/>
    <row r="11439" hidden="1" x14ac:dyDescent="0.25"/>
    <row r="11440" hidden="1" x14ac:dyDescent="0.25"/>
    <row r="11441" hidden="1" x14ac:dyDescent="0.25"/>
    <row r="11442" hidden="1" x14ac:dyDescent="0.25"/>
    <row r="11443" hidden="1" x14ac:dyDescent="0.25"/>
    <row r="11444" hidden="1" x14ac:dyDescent="0.25"/>
    <row r="11445" hidden="1" x14ac:dyDescent="0.25"/>
    <row r="11446" hidden="1" x14ac:dyDescent="0.25"/>
    <row r="11447" hidden="1" x14ac:dyDescent="0.25"/>
    <row r="11448" hidden="1" x14ac:dyDescent="0.25"/>
    <row r="11449" hidden="1" x14ac:dyDescent="0.25"/>
    <row r="11450" hidden="1" x14ac:dyDescent="0.25"/>
    <row r="11451" hidden="1" x14ac:dyDescent="0.25"/>
    <row r="11452" hidden="1" x14ac:dyDescent="0.25"/>
    <row r="11453" hidden="1" x14ac:dyDescent="0.25"/>
    <row r="11454" hidden="1" x14ac:dyDescent="0.25"/>
    <row r="11455" hidden="1" x14ac:dyDescent="0.25"/>
    <row r="11456" hidden="1" x14ac:dyDescent="0.25"/>
    <row r="11457" hidden="1" x14ac:dyDescent="0.25"/>
    <row r="11458" hidden="1" x14ac:dyDescent="0.25"/>
    <row r="11459" hidden="1" x14ac:dyDescent="0.25"/>
    <row r="11460" hidden="1" x14ac:dyDescent="0.25"/>
    <row r="11461" hidden="1" x14ac:dyDescent="0.25"/>
    <row r="11462" hidden="1" x14ac:dyDescent="0.25"/>
    <row r="11463" hidden="1" x14ac:dyDescent="0.25"/>
    <row r="11464" hidden="1" x14ac:dyDescent="0.25"/>
    <row r="11465" hidden="1" x14ac:dyDescent="0.25"/>
    <row r="11466" hidden="1" x14ac:dyDescent="0.25"/>
    <row r="11467" hidden="1" x14ac:dyDescent="0.25"/>
    <row r="11468" hidden="1" x14ac:dyDescent="0.25"/>
    <row r="11469" hidden="1" x14ac:dyDescent="0.25"/>
    <row r="11470" hidden="1" x14ac:dyDescent="0.25"/>
    <row r="11471" hidden="1" x14ac:dyDescent="0.25"/>
    <row r="11472" hidden="1" x14ac:dyDescent="0.25"/>
    <row r="11473" hidden="1" x14ac:dyDescent="0.25"/>
    <row r="11474" hidden="1" x14ac:dyDescent="0.25"/>
    <row r="11475" hidden="1" x14ac:dyDescent="0.25"/>
    <row r="11476" hidden="1" x14ac:dyDescent="0.25"/>
    <row r="11477" hidden="1" x14ac:dyDescent="0.25"/>
    <row r="11478" hidden="1" x14ac:dyDescent="0.25"/>
    <row r="11479" hidden="1" x14ac:dyDescent="0.25"/>
    <row r="11480" hidden="1" x14ac:dyDescent="0.25"/>
    <row r="11481" hidden="1" x14ac:dyDescent="0.25"/>
    <row r="11482" hidden="1" x14ac:dyDescent="0.25"/>
    <row r="11483" hidden="1" x14ac:dyDescent="0.25"/>
    <row r="11484" hidden="1" x14ac:dyDescent="0.25"/>
    <row r="11485" hidden="1" x14ac:dyDescent="0.25"/>
    <row r="11486" hidden="1" x14ac:dyDescent="0.25"/>
    <row r="11487" hidden="1" x14ac:dyDescent="0.25"/>
    <row r="11488" hidden="1" x14ac:dyDescent="0.25"/>
    <row r="11489" hidden="1" x14ac:dyDescent="0.25"/>
    <row r="11490" hidden="1" x14ac:dyDescent="0.25"/>
    <row r="11491" hidden="1" x14ac:dyDescent="0.25"/>
    <row r="11492" hidden="1" x14ac:dyDescent="0.25"/>
    <row r="11493" hidden="1" x14ac:dyDescent="0.25"/>
    <row r="11494" hidden="1" x14ac:dyDescent="0.25"/>
    <row r="11495" hidden="1" x14ac:dyDescent="0.25"/>
    <row r="11496" hidden="1" x14ac:dyDescent="0.25"/>
    <row r="11497" hidden="1" x14ac:dyDescent="0.25"/>
    <row r="11498" hidden="1" x14ac:dyDescent="0.25"/>
    <row r="11499" hidden="1" x14ac:dyDescent="0.25"/>
    <row r="11500" hidden="1" x14ac:dyDescent="0.25"/>
    <row r="11501" hidden="1" x14ac:dyDescent="0.25"/>
    <row r="11502" hidden="1" x14ac:dyDescent="0.25"/>
    <row r="11503" hidden="1" x14ac:dyDescent="0.25"/>
    <row r="11504" hidden="1" x14ac:dyDescent="0.25"/>
    <row r="11505" hidden="1" x14ac:dyDescent="0.25"/>
    <row r="11506" hidden="1" x14ac:dyDescent="0.25"/>
    <row r="11507" hidden="1" x14ac:dyDescent="0.25"/>
    <row r="11508" hidden="1" x14ac:dyDescent="0.25"/>
    <row r="11509" hidden="1" x14ac:dyDescent="0.25"/>
    <row r="11510" hidden="1" x14ac:dyDescent="0.25"/>
    <row r="11511" hidden="1" x14ac:dyDescent="0.25"/>
    <row r="11512" hidden="1" x14ac:dyDescent="0.25"/>
    <row r="11513" hidden="1" x14ac:dyDescent="0.25"/>
    <row r="11514" hidden="1" x14ac:dyDescent="0.25"/>
    <row r="11515" hidden="1" x14ac:dyDescent="0.25"/>
    <row r="11516" hidden="1" x14ac:dyDescent="0.25"/>
    <row r="11517" hidden="1" x14ac:dyDescent="0.25"/>
    <row r="11518" hidden="1" x14ac:dyDescent="0.25"/>
    <row r="11519" hidden="1" x14ac:dyDescent="0.25"/>
    <row r="11520" hidden="1" x14ac:dyDescent="0.25"/>
    <row r="11521" hidden="1" x14ac:dyDescent="0.25"/>
    <row r="11522" hidden="1" x14ac:dyDescent="0.25"/>
    <row r="11523" hidden="1" x14ac:dyDescent="0.25"/>
    <row r="11524" hidden="1" x14ac:dyDescent="0.25"/>
    <row r="11525" hidden="1" x14ac:dyDescent="0.25"/>
    <row r="11526" hidden="1" x14ac:dyDescent="0.25"/>
    <row r="11527" hidden="1" x14ac:dyDescent="0.25"/>
    <row r="11528" hidden="1" x14ac:dyDescent="0.25"/>
    <row r="11529" hidden="1" x14ac:dyDescent="0.25"/>
    <row r="11530" hidden="1" x14ac:dyDescent="0.25"/>
    <row r="11531" hidden="1" x14ac:dyDescent="0.25"/>
    <row r="11532" hidden="1" x14ac:dyDescent="0.25"/>
    <row r="11533" hidden="1" x14ac:dyDescent="0.25"/>
    <row r="11534" hidden="1" x14ac:dyDescent="0.25"/>
    <row r="11535" hidden="1" x14ac:dyDescent="0.25"/>
    <row r="11536" hidden="1" x14ac:dyDescent="0.25"/>
    <row r="11537" hidden="1" x14ac:dyDescent="0.25"/>
    <row r="11538" hidden="1" x14ac:dyDescent="0.25"/>
    <row r="11539" hidden="1" x14ac:dyDescent="0.25"/>
    <row r="11540" hidden="1" x14ac:dyDescent="0.25"/>
    <row r="11541" hidden="1" x14ac:dyDescent="0.25"/>
    <row r="11542" hidden="1" x14ac:dyDescent="0.25"/>
    <row r="11543" hidden="1" x14ac:dyDescent="0.25"/>
    <row r="11544" hidden="1" x14ac:dyDescent="0.25"/>
    <row r="11545" hidden="1" x14ac:dyDescent="0.25"/>
    <row r="11546" hidden="1" x14ac:dyDescent="0.25"/>
    <row r="11547" hidden="1" x14ac:dyDescent="0.25"/>
    <row r="11548" hidden="1" x14ac:dyDescent="0.25"/>
    <row r="11549" hidden="1" x14ac:dyDescent="0.25"/>
    <row r="11550" hidden="1" x14ac:dyDescent="0.25"/>
    <row r="11551" hidden="1" x14ac:dyDescent="0.25"/>
    <row r="11552" hidden="1" x14ac:dyDescent="0.25"/>
    <row r="11553" hidden="1" x14ac:dyDescent="0.25"/>
    <row r="11554" hidden="1" x14ac:dyDescent="0.25"/>
    <row r="11555" hidden="1" x14ac:dyDescent="0.25"/>
    <row r="11556" hidden="1" x14ac:dyDescent="0.25"/>
    <row r="11557" hidden="1" x14ac:dyDescent="0.25"/>
    <row r="11558" hidden="1" x14ac:dyDescent="0.25"/>
    <row r="11559" hidden="1" x14ac:dyDescent="0.25"/>
    <row r="11560" hidden="1" x14ac:dyDescent="0.25"/>
    <row r="11561" hidden="1" x14ac:dyDescent="0.25"/>
    <row r="11562" hidden="1" x14ac:dyDescent="0.25"/>
    <row r="11563" hidden="1" x14ac:dyDescent="0.25"/>
    <row r="11564" hidden="1" x14ac:dyDescent="0.25"/>
    <row r="11565" hidden="1" x14ac:dyDescent="0.25"/>
    <row r="11566" hidden="1" x14ac:dyDescent="0.25"/>
    <row r="11567" hidden="1" x14ac:dyDescent="0.25"/>
    <row r="11568" hidden="1" x14ac:dyDescent="0.25"/>
    <row r="11569" hidden="1" x14ac:dyDescent="0.25"/>
    <row r="11570" hidden="1" x14ac:dyDescent="0.25"/>
    <row r="11571" hidden="1" x14ac:dyDescent="0.25"/>
    <row r="11572" hidden="1" x14ac:dyDescent="0.25"/>
    <row r="11573" hidden="1" x14ac:dyDescent="0.25"/>
    <row r="11574" hidden="1" x14ac:dyDescent="0.25"/>
    <row r="11575" hidden="1" x14ac:dyDescent="0.25"/>
    <row r="11576" hidden="1" x14ac:dyDescent="0.25"/>
    <row r="11577" hidden="1" x14ac:dyDescent="0.25"/>
    <row r="11578" hidden="1" x14ac:dyDescent="0.25"/>
    <row r="11579" hidden="1" x14ac:dyDescent="0.25"/>
    <row r="11580" hidden="1" x14ac:dyDescent="0.25"/>
    <row r="11581" hidden="1" x14ac:dyDescent="0.25"/>
    <row r="11582" hidden="1" x14ac:dyDescent="0.25"/>
    <row r="11583" hidden="1" x14ac:dyDescent="0.25"/>
    <row r="11584" hidden="1" x14ac:dyDescent="0.25"/>
    <row r="11585" hidden="1" x14ac:dyDescent="0.25"/>
    <row r="11586" hidden="1" x14ac:dyDescent="0.25"/>
    <row r="11587" hidden="1" x14ac:dyDescent="0.25"/>
    <row r="11588" hidden="1" x14ac:dyDescent="0.25"/>
    <row r="11589" hidden="1" x14ac:dyDescent="0.25"/>
    <row r="11590" hidden="1" x14ac:dyDescent="0.25"/>
    <row r="11591" hidden="1" x14ac:dyDescent="0.25"/>
    <row r="11592" hidden="1" x14ac:dyDescent="0.25"/>
    <row r="11593" hidden="1" x14ac:dyDescent="0.25"/>
    <row r="11594" hidden="1" x14ac:dyDescent="0.25"/>
    <row r="11595" hidden="1" x14ac:dyDescent="0.25"/>
    <row r="11596" hidden="1" x14ac:dyDescent="0.25"/>
    <row r="11597" hidden="1" x14ac:dyDescent="0.25"/>
    <row r="11598" hidden="1" x14ac:dyDescent="0.25"/>
    <row r="11599" hidden="1" x14ac:dyDescent="0.25"/>
    <row r="11600" hidden="1" x14ac:dyDescent="0.25"/>
    <row r="11601" hidden="1" x14ac:dyDescent="0.25"/>
    <row r="11602" hidden="1" x14ac:dyDescent="0.25"/>
    <row r="11603" hidden="1" x14ac:dyDescent="0.25"/>
    <row r="11604" hidden="1" x14ac:dyDescent="0.25"/>
    <row r="11605" hidden="1" x14ac:dyDescent="0.25"/>
    <row r="11606" hidden="1" x14ac:dyDescent="0.25"/>
    <row r="11607" hidden="1" x14ac:dyDescent="0.25"/>
    <row r="11608" hidden="1" x14ac:dyDescent="0.25"/>
    <row r="11609" hidden="1" x14ac:dyDescent="0.25"/>
    <row r="11610" hidden="1" x14ac:dyDescent="0.25"/>
    <row r="11611" hidden="1" x14ac:dyDescent="0.25"/>
    <row r="11612" hidden="1" x14ac:dyDescent="0.25"/>
    <row r="11613" hidden="1" x14ac:dyDescent="0.25"/>
    <row r="11614" hidden="1" x14ac:dyDescent="0.25"/>
    <row r="11615" hidden="1" x14ac:dyDescent="0.25"/>
    <row r="11616" hidden="1" x14ac:dyDescent="0.25"/>
    <row r="11617" hidden="1" x14ac:dyDescent="0.25"/>
    <row r="11618" hidden="1" x14ac:dyDescent="0.25"/>
    <row r="11619" hidden="1" x14ac:dyDescent="0.25"/>
    <row r="11620" hidden="1" x14ac:dyDescent="0.25"/>
    <row r="11621" hidden="1" x14ac:dyDescent="0.25"/>
    <row r="11622" hidden="1" x14ac:dyDescent="0.25"/>
    <row r="11623" hidden="1" x14ac:dyDescent="0.25"/>
    <row r="11624" hidden="1" x14ac:dyDescent="0.25"/>
    <row r="11625" hidden="1" x14ac:dyDescent="0.25"/>
    <row r="11626" hidden="1" x14ac:dyDescent="0.25"/>
    <row r="11627" hidden="1" x14ac:dyDescent="0.25"/>
    <row r="11628" hidden="1" x14ac:dyDescent="0.25"/>
    <row r="11629" hidden="1" x14ac:dyDescent="0.25"/>
    <row r="11630" hidden="1" x14ac:dyDescent="0.25"/>
    <row r="11631" hidden="1" x14ac:dyDescent="0.25"/>
    <row r="11632" hidden="1" x14ac:dyDescent="0.25"/>
    <row r="11633" hidden="1" x14ac:dyDescent="0.25"/>
    <row r="11634" hidden="1" x14ac:dyDescent="0.25"/>
    <row r="11635" hidden="1" x14ac:dyDescent="0.25"/>
    <row r="11636" hidden="1" x14ac:dyDescent="0.25"/>
    <row r="11637" hidden="1" x14ac:dyDescent="0.25"/>
    <row r="11638" hidden="1" x14ac:dyDescent="0.25"/>
    <row r="11639" hidden="1" x14ac:dyDescent="0.25"/>
    <row r="11640" hidden="1" x14ac:dyDescent="0.25"/>
    <row r="11641" hidden="1" x14ac:dyDescent="0.25"/>
    <row r="11642" hidden="1" x14ac:dyDescent="0.25"/>
    <row r="11643" hidden="1" x14ac:dyDescent="0.25"/>
    <row r="11644" hidden="1" x14ac:dyDescent="0.25"/>
    <row r="11645" hidden="1" x14ac:dyDescent="0.25"/>
    <row r="11646" hidden="1" x14ac:dyDescent="0.25"/>
    <row r="11647" hidden="1" x14ac:dyDescent="0.25"/>
    <row r="11648" hidden="1" x14ac:dyDescent="0.25"/>
    <row r="11649" hidden="1" x14ac:dyDescent="0.25"/>
    <row r="11650" hidden="1" x14ac:dyDescent="0.25"/>
    <row r="11651" hidden="1" x14ac:dyDescent="0.25"/>
    <row r="11652" hidden="1" x14ac:dyDescent="0.25"/>
    <row r="11653" hidden="1" x14ac:dyDescent="0.25"/>
    <row r="11654" hidden="1" x14ac:dyDescent="0.25"/>
    <row r="11655" hidden="1" x14ac:dyDescent="0.25"/>
    <row r="11656" hidden="1" x14ac:dyDescent="0.25"/>
    <row r="11657" hidden="1" x14ac:dyDescent="0.25"/>
    <row r="11658" hidden="1" x14ac:dyDescent="0.25"/>
    <row r="11659" hidden="1" x14ac:dyDescent="0.25"/>
    <row r="11660" hidden="1" x14ac:dyDescent="0.25"/>
    <row r="11661" hidden="1" x14ac:dyDescent="0.25"/>
    <row r="11662" hidden="1" x14ac:dyDescent="0.25"/>
    <row r="11663" hidden="1" x14ac:dyDescent="0.25"/>
    <row r="11664" hidden="1" x14ac:dyDescent="0.25"/>
    <row r="11665" hidden="1" x14ac:dyDescent="0.25"/>
    <row r="11666" hidden="1" x14ac:dyDescent="0.25"/>
    <row r="11667" hidden="1" x14ac:dyDescent="0.25"/>
    <row r="11668" hidden="1" x14ac:dyDescent="0.25"/>
    <row r="11669" hidden="1" x14ac:dyDescent="0.25"/>
    <row r="11670" hidden="1" x14ac:dyDescent="0.25"/>
    <row r="11671" hidden="1" x14ac:dyDescent="0.25"/>
    <row r="11672" hidden="1" x14ac:dyDescent="0.25"/>
    <row r="11673" hidden="1" x14ac:dyDescent="0.25"/>
    <row r="11674" hidden="1" x14ac:dyDescent="0.25"/>
    <row r="11675" hidden="1" x14ac:dyDescent="0.25"/>
    <row r="11676" hidden="1" x14ac:dyDescent="0.25"/>
    <row r="11677" hidden="1" x14ac:dyDescent="0.25"/>
    <row r="11678" hidden="1" x14ac:dyDescent="0.25"/>
    <row r="11679" hidden="1" x14ac:dyDescent="0.25"/>
    <row r="11680" hidden="1" x14ac:dyDescent="0.25"/>
    <row r="11681" hidden="1" x14ac:dyDescent="0.25"/>
    <row r="11682" hidden="1" x14ac:dyDescent="0.25"/>
    <row r="11683" hidden="1" x14ac:dyDescent="0.25"/>
    <row r="11684" hidden="1" x14ac:dyDescent="0.25"/>
    <row r="11685" hidden="1" x14ac:dyDescent="0.25"/>
    <row r="11686" hidden="1" x14ac:dyDescent="0.25"/>
    <row r="11687" hidden="1" x14ac:dyDescent="0.25"/>
    <row r="11688" hidden="1" x14ac:dyDescent="0.25"/>
    <row r="11689" hidden="1" x14ac:dyDescent="0.25"/>
    <row r="11690" hidden="1" x14ac:dyDescent="0.25"/>
    <row r="11691" hidden="1" x14ac:dyDescent="0.25"/>
    <row r="11692" hidden="1" x14ac:dyDescent="0.25"/>
    <row r="11693" hidden="1" x14ac:dyDescent="0.25"/>
    <row r="11694" hidden="1" x14ac:dyDescent="0.25"/>
    <row r="11695" hidden="1" x14ac:dyDescent="0.25"/>
    <row r="11696" hidden="1" x14ac:dyDescent="0.25"/>
    <row r="11697" hidden="1" x14ac:dyDescent="0.25"/>
    <row r="11698" hidden="1" x14ac:dyDescent="0.25"/>
    <row r="11699" hidden="1" x14ac:dyDescent="0.25"/>
    <row r="11700" hidden="1" x14ac:dyDescent="0.25"/>
    <row r="11701" hidden="1" x14ac:dyDescent="0.25"/>
    <row r="11702" hidden="1" x14ac:dyDescent="0.25"/>
    <row r="11703" hidden="1" x14ac:dyDescent="0.25"/>
    <row r="11704" hidden="1" x14ac:dyDescent="0.25"/>
    <row r="11705" hidden="1" x14ac:dyDescent="0.25"/>
    <row r="11706" hidden="1" x14ac:dyDescent="0.25"/>
    <row r="11707" hidden="1" x14ac:dyDescent="0.25"/>
    <row r="11708" hidden="1" x14ac:dyDescent="0.25"/>
    <row r="11709" hidden="1" x14ac:dyDescent="0.25"/>
    <row r="11710" hidden="1" x14ac:dyDescent="0.25"/>
    <row r="11711" hidden="1" x14ac:dyDescent="0.25"/>
    <row r="11712" hidden="1" x14ac:dyDescent="0.25"/>
    <row r="11713" hidden="1" x14ac:dyDescent="0.25"/>
    <row r="11714" hidden="1" x14ac:dyDescent="0.25"/>
    <row r="11715" hidden="1" x14ac:dyDescent="0.25"/>
    <row r="11716" hidden="1" x14ac:dyDescent="0.25"/>
    <row r="11717" hidden="1" x14ac:dyDescent="0.25"/>
    <row r="11718" hidden="1" x14ac:dyDescent="0.25"/>
    <row r="11719" hidden="1" x14ac:dyDescent="0.25"/>
    <row r="11720" hidden="1" x14ac:dyDescent="0.25"/>
    <row r="11721" hidden="1" x14ac:dyDescent="0.25"/>
    <row r="11722" hidden="1" x14ac:dyDescent="0.25"/>
    <row r="11723" hidden="1" x14ac:dyDescent="0.25"/>
    <row r="11724" hidden="1" x14ac:dyDescent="0.25"/>
    <row r="11725" hidden="1" x14ac:dyDescent="0.25"/>
    <row r="11726" hidden="1" x14ac:dyDescent="0.25"/>
    <row r="11727" hidden="1" x14ac:dyDescent="0.25"/>
    <row r="11728" hidden="1" x14ac:dyDescent="0.25"/>
    <row r="11729" hidden="1" x14ac:dyDescent="0.25"/>
    <row r="11730" hidden="1" x14ac:dyDescent="0.25"/>
    <row r="11731" hidden="1" x14ac:dyDescent="0.25"/>
    <row r="11732" hidden="1" x14ac:dyDescent="0.25"/>
    <row r="11733" hidden="1" x14ac:dyDescent="0.25"/>
    <row r="11734" hidden="1" x14ac:dyDescent="0.25"/>
    <row r="11735" hidden="1" x14ac:dyDescent="0.25"/>
    <row r="11736" hidden="1" x14ac:dyDescent="0.25"/>
    <row r="11737" hidden="1" x14ac:dyDescent="0.25"/>
    <row r="11738" hidden="1" x14ac:dyDescent="0.25"/>
    <row r="11739" hidden="1" x14ac:dyDescent="0.25"/>
    <row r="11740" hidden="1" x14ac:dyDescent="0.25"/>
    <row r="11741" hidden="1" x14ac:dyDescent="0.25"/>
    <row r="11742" hidden="1" x14ac:dyDescent="0.25"/>
    <row r="11743" hidden="1" x14ac:dyDescent="0.25"/>
    <row r="11744" hidden="1" x14ac:dyDescent="0.25"/>
    <row r="11745" hidden="1" x14ac:dyDescent="0.25"/>
    <row r="11746" hidden="1" x14ac:dyDescent="0.25"/>
    <row r="11747" hidden="1" x14ac:dyDescent="0.25"/>
    <row r="11748" hidden="1" x14ac:dyDescent="0.25"/>
    <row r="11749" hidden="1" x14ac:dyDescent="0.25"/>
    <row r="11750" hidden="1" x14ac:dyDescent="0.25"/>
    <row r="11751" hidden="1" x14ac:dyDescent="0.25"/>
    <row r="11752" hidden="1" x14ac:dyDescent="0.25"/>
    <row r="11753" hidden="1" x14ac:dyDescent="0.25"/>
    <row r="11754" hidden="1" x14ac:dyDescent="0.25"/>
    <row r="11755" hidden="1" x14ac:dyDescent="0.25"/>
    <row r="11756" hidden="1" x14ac:dyDescent="0.25"/>
    <row r="11757" hidden="1" x14ac:dyDescent="0.25"/>
    <row r="11758" hidden="1" x14ac:dyDescent="0.25"/>
    <row r="11759" hidden="1" x14ac:dyDescent="0.25"/>
    <row r="11760" hidden="1" x14ac:dyDescent="0.25"/>
    <row r="11761" hidden="1" x14ac:dyDescent="0.25"/>
    <row r="11762" hidden="1" x14ac:dyDescent="0.25"/>
    <row r="11763" hidden="1" x14ac:dyDescent="0.25"/>
    <row r="11764" hidden="1" x14ac:dyDescent="0.25"/>
    <row r="11765" hidden="1" x14ac:dyDescent="0.25"/>
    <row r="11766" hidden="1" x14ac:dyDescent="0.25"/>
    <row r="11767" hidden="1" x14ac:dyDescent="0.25"/>
    <row r="11768" hidden="1" x14ac:dyDescent="0.25"/>
    <row r="11769" hidden="1" x14ac:dyDescent="0.25"/>
    <row r="11770" hidden="1" x14ac:dyDescent="0.25"/>
    <row r="11771" hidden="1" x14ac:dyDescent="0.25"/>
    <row r="11772" hidden="1" x14ac:dyDescent="0.25"/>
    <row r="11773" hidden="1" x14ac:dyDescent="0.25"/>
    <row r="11774" hidden="1" x14ac:dyDescent="0.25"/>
    <row r="11775" hidden="1" x14ac:dyDescent="0.25"/>
    <row r="11776" hidden="1" x14ac:dyDescent="0.25"/>
    <row r="11777" hidden="1" x14ac:dyDescent="0.25"/>
    <row r="11778" hidden="1" x14ac:dyDescent="0.25"/>
    <row r="11779" hidden="1" x14ac:dyDescent="0.25"/>
    <row r="11780" hidden="1" x14ac:dyDescent="0.25"/>
    <row r="11781" hidden="1" x14ac:dyDescent="0.25"/>
    <row r="11782" hidden="1" x14ac:dyDescent="0.25"/>
    <row r="11783" hidden="1" x14ac:dyDescent="0.25"/>
    <row r="11784" hidden="1" x14ac:dyDescent="0.25"/>
    <row r="11785" hidden="1" x14ac:dyDescent="0.25"/>
    <row r="11786" hidden="1" x14ac:dyDescent="0.25"/>
    <row r="11787" hidden="1" x14ac:dyDescent="0.25"/>
    <row r="11788" hidden="1" x14ac:dyDescent="0.25"/>
    <row r="11789" hidden="1" x14ac:dyDescent="0.25"/>
    <row r="11790" hidden="1" x14ac:dyDescent="0.25"/>
    <row r="11791" hidden="1" x14ac:dyDescent="0.25"/>
    <row r="11792" hidden="1" x14ac:dyDescent="0.25"/>
    <row r="11793" hidden="1" x14ac:dyDescent="0.25"/>
    <row r="11794" hidden="1" x14ac:dyDescent="0.25"/>
    <row r="11795" hidden="1" x14ac:dyDescent="0.25"/>
    <row r="11796" hidden="1" x14ac:dyDescent="0.25"/>
    <row r="11797" hidden="1" x14ac:dyDescent="0.25"/>
    <row r="11798" hidden="1" x14ac:dyDescent="0.25"/>
    <row r="11799" hidden="1" x14ac:dyDescent="0.25"/>
    <row r="11800" hidden="1" x14ac:dyDescent="0.25"/>
    <row r="11801" hidden="1" x14ac:dyDescent="0.25"/>
    <row r="11802" hidden="1" x14ac:dyDescent="0.25"/>
    <row r="11803" hidden="1" x14ac:dyDescent="0.25"/>
    <row r="11804" hidden="1" x14ac:dyDescent="0.25"/>
    <row r="11805" hidden="1" x14ac:dyDescent="0.25"/>
    <row r="11806" hidden="1" x14ac:dyDescent="0.25"/>
    <row r="11807" hidden="1" x14ac:dyDescent="0.25"/>
    <row r="11808" hidden="1" x14ac:dyDescent="0.25"/>
    <row r="11809" hidden="1" x14ac:dyDescent="0.25"/>
    <row r="11810" hidden="1" x14ac:dyDescent="0.25"/>
    <row r="11811" hidden="1" x14ac:dyDescent="0.25"/>
    <row r="11812" hidden="1" x14ac:dyDescent="0.25"/>
    <row r="11813" hidden="1" x14ac:dyDescent="0.25"/>
    <row r="11814" hidden="1" x14ac:dyDescent="0.25"/>
    <row r="11815" hidden="1" x14ac:dyDescent="0.25"/>
    <row r="11816" hidden="1" x14ac:dyDescent="0.25"/>
    <row r="11817" hidden="1" x14ac:dyDescent="0.25"/>
    <row r="11818" hidden="1" x14ac:dyDescent="0.25"/>
    <row r="11819" hidden="1" x14ac:dyDescent="0.25"/>
    <row r="11820" hidden="1" x14ac:dyDescent="0.25"/>
    <row r="11821" hidden="1" x14ac:dyDescent="0.25"/>
    <row r="11822" hidden="1" x14ac:dyDescent="0.25"/>
    <row r="11823" hidden="1" x14ac:dyDescent="0.25"/>
    <row r="11824" hidden="1" x14ac:dyDescent="0.25"/>
    <row r="11825" hidden="1" x14ac:dyDescent="0.25"/>
    <row r="11826" hidden="1" x14ac:dyDescent="0.25"/>
    <row r="11827" hidden="1" x14ac:dyDescent="0.25"/>
    <row r="11828" hidden="1" x14ac:dyDescent="0.25"/>
    <row r="11829" hidden="1" x14ac:dyDescent="0.25"/>
    <row r="11830" hidden="1" x14ac:dyDescent="0.25"/>
    <row r="11831" hidden="1" x14ac:dyDescent="0.25"/>
    <row r="11832" hidden="1" x14ac:dyDescent="0.25"/>
    <row r="11833" hidden="1" x14ac:dyDescent="0.25"/>
    <row r="11834" hidden="1" x14ac:dyDescent="0.25"/>
    <row r="11835" hidden="1" x14ac:dyDescent="0.25"/>
    <row r="11836" hidden="1" x14ac:dyDescent="0.25"/>
    <row r="11837" hidden="1" x14ac:dyDescent="0.25"/>
    <row r="11838" hidden="1" x14ac:dyDescent="0.25"/>
    <row r="11839" hidden="1" x14ac:dyDescent="0.25"/>
    <row r="11840" hidden="1" x14ac:dyDescent="0.25"/>
    <row r="11841" hidden="1" x14ac:dyDescent="0.25"/>
    <row r="11842" hidden="1" x14ac:dyDescent="0.25"/>
    <row r="11843" hidden="1" x14ac:dyDescent="0.25"/>
    <row r="11844" hidden="1" x14ac:dyDescent="0.25"/>
    <row r="11845" hidden="1" x14ac:dyDescent="0.25"/>
    <row r="11846" hidden="1" x14ac:dyDescent="0.25"/>
    <row r="11847" hidden="1" x14ac:dyDescent="0.25"/>
    <row r="11848" hidden="1" x14ac:dyDescent="0.25"/>
    <row r="11849" hidden="1" x14ac:dyDescent="0.25"/>
    <row r="11850" hidden="1" x14ac:dyDescent="0.25"/>
    <row r="11851" hidden="1" x14ac:dyDescent="0.25"/>
    <row r="11852" hidden="1" x14ac:dyDescent="0.25"/>
    <row r="11853" hidden="1" x14ac:dyDescent="0.25"/>
    <row r="11854" hidden="1" x14ac:dyDescent="0.25"/>
    <row r="11855" hidden="1" x14ac:dyDescent="0.25"/>
    <row r="11856" hidden="1" x14ac:dyDescent="0.25"/>
    <row r="11857" hidden="1" x14ac:dyDescent="0.25"/>
    <row r="11858" hidden="1" x14ac:dyDescent="0.25"/>
    <row r="11859" hidden="1" x14ac:dyDescent="0.25"/>
    <row r="11860" hidden="1" x14ac:dyDescent="0.25"/>
    <row r="11861" hidden="1" x14ac:dyDescent="0.25"/>
    <row r="11862" hidden="1" x14ac:dyDescent="0.25"/>
    <row r="11863" hidden="1" x14ac:dyDescent="0.25"/>
    <row r="11864" hidden="1" x14ac:dyDescent="0.25"/>
    <row r="11865" hidden="1" x14ac:dyDescent="0.25"/>
    <row r="11866" hidden="1" x14ac:dyDescent="0.25"/>
    <row r="11867" hidden="1" x14ac:dyDescent="0.25"/>
    <row r="11868" hidden="1" x14ac:dyDescent="0.25"/>
    <row r="11869" hidden="1" x14ac:dyDescent="0.25"/>
    <row r="11870" hidden="1" x14ac:dyDescent="0.25"/>
    <row r="11871" hidden="1" x14ac:dyDescent="0.25"/>
    <row r="11872" hidden="1" x14ac:dyDescent="0.25"/>
    <row r="11873" hidden="1" x14ac:dyDescent="0.25"/>
    <row r="11874" hidden="1" x14ac:dyDescent="0.25"/>
    <row r="11875" hidden="1" x14ac:dyDescent="0.25"/>
    <row r="11876" hidden="1" x14ac:dyDescent="0.25"/>
    <row r="11877" hidden="1" x14ac:dyDescent="0.25"/>
    <row r="11878" hidden="1" x14ac:dyDescent="0.25"/>
    <row r="11879" hidden="1" x14ac:dyDescent="0.25"/>
    <row r="11880" hidden="1" x14ac:dyDescent="0.25"/>
    <row r="11881" hidden="1" x14ac:dyDescent="0.25"/>
    <row r="11882" hidden="1" x14ac:dyDescent="0.25"/>
    <row r="11883" hidden="1" x14ac:dyDescent="0.25"/>
    <row r="11884" hidden="1" x14ac:dyDescent="0.25"/>
    <row r="11885" hidden="1" x14ac:dyDescent="0.25"/>
    <row r="11886" hidden="1" x14ac:dyDescent="0.25"/>
    <row r="11887" hidden="1" x14ac:dyDescent="0.25"/>
    <row r="11888" hidden="1" x14ac:dyDescent="0.25"/>
    <row r="11889" hidden="1" x14ac:dyDescent="0.25"/>
    <row r="11890" hidden="1" x14ac:dyDescent="0.25"/>
    <row r="11891" hidden="1" x14ac:dyDescent="0.25"/>
    <row r="11892" hidden="1" x14ac:dyDescent="0.25"/>
    <row r="11893" hidden="1" x14ac:dyDescent="0.25"/>
    <row r="11894" hidden="1" x14ac:dyDescent="0.25"/>
    <row r="11895" hidden="1" x14ac:dyDescent="0.25"/>
    <row r="11896" hidden="1" x14ac:dyDescent="0.25"/>
    <row r="11897" hidden="1" x14ac:dyDescent="0.25"/>
    <row r="11898" hidden="1" x14ac:dyDescent="0.25"/>
    <row r="11899" hidden="1" x14ac:dyDescent="0.25"/>
    <row r="11900" hidden="1" x14ac:dyDescent="0.25"/>
    <row r="11901" hidden="1" x14ac:dyDescent="0.25"/>
    <row r="11902" hidden="1" x14ac:dyDescent="0.25"/>
    <row r="11903" hidden="1" x14ac:dyDescent="0.25"/>
    <row r="11904" hidden="1" x14ac:dyDescent="0.25"/>
    <row r="11905" hidden="1" x14ac:dyDescent="0.25"/>
    <row r="11906" hidden="1" x14ac:dyDescent="0.25"/>
    <row r="11907" hidden="1" x14ac:dyDescent="0.25"/>
    <row r="11908" hidden="1" x14ac:dyDescent="0.25"/>
    <row r="11909" hidden="1" x14ac:dyDescent="0.25"/>
    <row r="11910" hidden="1" x14ac:dyDescent="0.25"/>
    <row r="11911" hidden="1" x14ac:dyDescent="0.25"/>
    <row r="11912" hidden="1" x14ac:dyDescent="0.25"/>
    <row r="11913" hidden="1" x14ac:dyDescent="0.25"/>
    <row r="11914" hidden="1" x14ac:dyDescent="0.25"/>
    <row r="11915" hidden="1" x14ac:dyDescent="0.25"/>
    <row r="11916" hidden="1" x14ac:dyDescent="0.25"/>
    <row r="11917" hidden="1" x14ac:dyDescent="0.25"/>
    <row r="11918" hidden="1" x14ac:dyDescent="0.25"/>
    <row r="11919" hidden="1" x14ac:dyDescent="0.25"/>
    <row r="11920" hidden="1" x14ac:dyDescent="0.25"/>
    <row r="11921" hidden="1" x14ac:dyDescent="0.25"/>
    <row r="11922" hidden="1" x14ac:dyDescent="0.25"/>
    <row r="11923" hidden="1" x14ac:dyDescent="0.25"/>
    <row r="11924" hidden="1" x14ac:dyDescent="0.25"/>
    <row r="11925" hidden="1" x14ac:dyDescent="0.25"/>
    <row r="11926" hidden="1" x14ac:dyDescent="0.25"/>
    <row r="11927" hidden="1" x14ac:dyDescent="0.25"/>
    <row r="11928" hidden="1" x14ac:dyDescent="0.25"/>
    <row r="11929" hidden="1" x14ac:dyDescent="0.25"/>
    <row r="11930" hidden="1" x14ac:dyDescent="0.25"/>
    <row r="11931" hidden="1" x14ac:dyDescent="0.25"/>
    <row r="11932" hidden="1" x14ac:dyDescent="0.25"/>
    <row r="11933" hidden="1" x14ac:dyDescent="0.25"/>
    <row r="11934" hidden="1" x14ac:dyDescent="0.25"/>
    <row r="11935" hidden="1" x14ac:dyDescent="0.25"/>
    <row r="11936" hidden="1" x14ac:dyDescent="0.25"/>
    <row r="11937" hidden="1" x14ac:dyDescent="0.25"/>
    <row r="11938" hidden="1" x14ac:dyDescent="0.25"/>
    <row r="11939" hidden="1" x14ac:dyDescent="0.25"/>
    <row r="11940" hidden="1" x14ac:dyDescent="0.25"/>
    <row r="11941" hidden="1" x14ac:dyDescent="0.25"/>
    <row r="11942" hidden="1" x14ac:dyDescent="0.25"/>
    <row r="11943" hidden="1" x14ac:dyDescent="0.25"/>
    <row r="11944" hidden="1" x14ac:dyDescent="0.25"/>
    <row r="11945" hidden="1" x14ac:dyDescent="0.25"/>
    <row r="11946" hidden="1" x14ac:dyDescent="0.25"/>
    <row r="11947" hidden="1" x14ac:dyDescent="0.25"/>
    <row r="11948" hidden="1" x14ac:dyDescent="0.25"/>
    <row r="11949" hidden="1" x14ac:dyDescent="0.25"/>
    <row r="11950" hidden="1" x14ac:dyDescent="0.25"/>
    <row r="11951" hidden="1" x14ac:dyDescent="0.25"/>
    <row r="11952" hidden="1" x14ac:dyDescent="0.25"/>
    <row r="11953" hidden="1" x14ac:dyDescent="0.25"/>
    <row r="11954" hidden="1" x14ac:dyDescent="0.25"/>
    <row r="11955" hidden="1" x14ac:dyDescent="0.25"/>
    <row r="11956" hidden="1" x14ac:dyDescent="0.25"/>
    <row r="11957" hidden="1" x14ac:dyDescent="0.25"/>
    <row r="11958" hidden="1" x14ac:dyDescent="0.25"/>
    <row r="11959" hidden="1" x14ac:dyDescent="0.25"/>
    <row r="11960" hidden="1" x14ac:dyDescent="0.25"/>
    <row r="11961" hidden="1" x14ac:dyDescent="0.25"/>
    <row r="11962" hidden="1" x14ac:dyDescent="0.25"/>
    <row r="11963" hidden="1" x14ac:dyDescent="0.25"/>
    <row r="11964" hidden="1" x14ac:dyDescent="0.25"/>
    <row r="11965" hidden="1" x14ac:dyDescent="0.25"/>
    <row r="11966" hidden="1" x14ac:dyDescent="0.25"/>
    <row r="11967" hidden="1" x14ac:dyDescent="0.25"/>
    <row r="11968" hidden="1" x14ac:dyDescent="0.25"/>
    <row r="11969" hidden="1" x14ac:dyDescent="0.25"/>
    <row r="11970" hidden="1" x14ac:dyDescent="0.25"/>
    <row r="11971" hidden="1" x14ac:dyDescent="0.25"/>
    <row r="11972" hidden="1" x14ac:dyDescent="0.25"/>
    <row r="11973" hidden="1" x14ac:dyDescent="0.25"/>
    <row r="11974" hidden="1" x14ac:dyDescent="0.25"/>
    <row r="11975" hidden="1" x14ac:dyDescent="0.25"/>
    <row r="11976" hidden="1" x14ac:dyDescent="0.25"/>
    <row r="11977" hidden="1" x14ac:dyDescent="0.25"/>
    <row r="11978" hidden="1" x14ac:dyDescent="0.25"/>
    <row r="11979" hidden="1" x14ac:dyDescent="0.25"/>
    <row r="11980" hidden="1" x14ac:dyDescent="0.25"/>
    <row r="11981" hidden="1" x14ac:dyDescent="0.25"/>
    <row r="11982" hidden="1" x14ac:dyDescent="0.25"/>
    <row r="11983" hidden="1" x14ac:dyDescent="0.25"/>
    <row r="11984" hidden="1" x14ac:dyDescent="0.25"/>
    <row r="11985" hidden="1" x14ac:dyDescent="0.25"/>
    <row r="11986" hidden="1" x14ac:dyDescent="0.25"/>
    <row r="11987" hidden="1" x14ac:dyDescent="0.25"/>
    <row r="11988" hidden="1" x14ac:dyDescent="0.25"/>
    <row r="11989" hidden="1" x14ac:dyDescent="0.25"/>
    <row r="11990" hidden="1" x14ac:dyDescent="0.25"/>
    <row r="11991" hidden="1" x14ac:dyDescent="0.25"/>
    <row r="11992" hidden="1" x14ac:dyDescent="0.25"/>
    <row r="11993" hidden="1" x14ac:dyDescent="0.25"/>
    <row r="11994" hidden="1" x14ac:dyDescent="0.25"/>
    <row r="11995" hidden="1" x14ac:dyDescent="0.25"/>
    <row r="11996" hidden="1" x14ac:dyDescent="0.25"/>
    <row r="11997" hidden="1" x14ac:dyDescent="0.25"/>
    <row r="11998" hidden="1" x14ac:dyDescent="0.25"/>
    <row r="11999" hidden="1" x14ac:dyDescent="0.25"/>
    <row r="12000" hidden="1" x14ac:dyDescent="0.25"/>
    <row r="12001" hidden="1" x14ac:dyDescent="0.25"/>
    <row r="12002" hidden="1" x14ac:dyDescent="0.25"/>
    <row r="12003" hidden="1" x14ac:dyDescent="0.25"/>
    <row r="12004" hidden="1" x14ac:dyDescent="0.25"/>
    <row r="12005" hidden="1" x14ac:dyDescent="0.25"/>
    <row r="12006" hidden="1" x14ac:dyDescent="0.25"/>
    <row r="12007" hidden="1" x14ac:dyDescent="0.25"/>
    <row r="12008" hidden="1" x14ac:dyDescent="0.25"/>
    <row r="12009" hidden="1" x14ac:dyDescent="0.25"/>
    <row r="12010" hidden="1" x14ac:dyDescent="0.25"/>
    <row r="12011" hidden="1" x14ac:dyDescent="0.25"/>
    <row r="12012" hidden="1" x14ac:dyDescent="0.25"/>
    <row r="12013" hidden="1" x14ac:dyDescent="0.25"/>
    <row r="12014" hidden="1" x14ac:dyDescent="0.25"/>
    <row r="12015" hidden="1" x14ac:dyDescent="0.25"/>
    <row r="12016" hidden="1" x14ac:dyDescent="0.25"/>
    <row r="12017" hidden="1" x14ac:dyDescent="0.25"/>
    <row r="12018" hidden="1" x14ac:dyDescent="0.25"/>
    <row r="12019" hidden="1" x14ac:dyDescent="0.25"/>
    <row r="12020" hidden="1" x14ac:dyDescent="0.25"/>
    <row r="12021" hidden="1" x14ac:dyDescent="0.25"/>
    <row r="12022" hidden="1" x14ac:dyDescent="0.25"/>
    <row r="12023" hidden="1" x14ac:dyDescent="0.25"/>
    <row r="12024" hidden="1" x14ac:dyDescent="0.25"/>
    <row r="12025" hidden="1" x14ac:dyDescent="0.25"/>
    <row r="12026" hidden="1" x14ac:dyDescent="0.25"/>
    <row r="12027" hidden="1" x14ac:dyDescent="0.25"/>
    <row r="12028" hidden="1" x14ac:dyDescent="0.25"/>
    <row r="12029" hidden="1" x14ac:dyDescent="0.25"/>
    <row r="12030" hidden="1" x14ac:dyDescent="0.25"/>
    <row r="12031" hidden="1" x14ac:dyDescent="0.25"/>
    <row r="12032" hidden="1" x14ac:dyDescent="0.25"/>
    <row r="12033" hidden="1" x14ac:dyDescent="0.25"/>
    <row r="12034" hidden="1" x14ac:dyDescent="0.25"/>
    <row r="12035" hidden="1" x14ac:dyDescent="0.25"/>
    <row r="12036" hidden="1" x14ac:dyDescent="0.25"/>
    <row r="12037" hidden="1" x14ac:dyDescent="0.25"/>
    <row r="12038" hidden="1" x14ac:dyDescent="0.25"/>
    <row r="12039" hidden="1" x14ac:dyDescent="0.25"/>
    <row r="12040" hidden="1" x14ac:dyDescent="0.25"/>
    <row r="12041" hidden="1" x14ac:dyDescent="0.25"/>
    <row r="12042" hidden="1" x14ac:dyDescent="0.25"/>
    <row r="12043" hidden="1" x14ac:dyDescent="0.25"/>
    <row r="12044" hidden="1" x14ac:dyDescent="0.25"/>
    <row r="12045" hidden="1" x14ac:dyDescent="0.25"/>
    <row r="12046" hidden="1" x14ac:dyDescent="0.25"/>
    <row r="12047" hidden="1" x14ac:dyDescent="0.25"/>
    <row r="12048" hidden="1" x14ac:dyDescent="0.25"/>
    <row r="12049" hidden="1" x14ac:dyDescent="0.25"/>
    <row r="12050" hidden="1" x14ac:dyDescent="0.25"/>
    <row r="12051" hidden="1" x14ac:dyDescent="0.25"/>
    <row r="12052" hidden="1" x14ac:dyDescent="0.25"/>
    <row r="12053" hidden="1" x14ac:dyDescent="0.25"/>
    <row r="12054" hidden="1" x14ac:dyDescent="0.25"/>
    <row r="12055" hidden="1" x14ac:dyDescent="0.25"/>
    <row r="12056" hidden="1" x14ac:dyDescent="0.25"/>
    <row r="12057" hidden="1" x14ac:dyDescent="0.25"/>
    <row r="12058" hidden="1" x14ac:dyDescent="0.25"/>
    <row r="12059" hidden="1" x14ac:dyDescent="0.25"/>
    <row r="12060" hidden="1" x14ac:dyDescent="0.25"/>
    <row r="12061" hidden="1" x14ac:dyDescent="0.25"/>
    <row r="12062" hidden="1" x14ac:dyDescent="0.25"/>
    <row r="12063" hidden="1" x14ac:dyDescent="0.25"/>
    <row r="12064" hidden="1" x14ac:dyDescent="0.25"/>
    <row r="12065" hidden="1" x14ac:dyDescent="0.25"/>
    <row r="12066" hidden="1" x14ac:dyDescent="0.25"/>
    <row r="12067" hidden="1" x14ac:dyDescent="0.25"/>
    <row r="12068" hidden="1" x14ac:dyDescent="0.25"/>
    <row r="12069" hidden="1" x14ac:dyDescent="0.25"/>
    <row r="12070" hidden="1" x14ac:dyDescent="0.25"/>
    <row r="12071" hidden="1" x14ac:dyDescent="0.25"/>
    <row r="12072" hidden="1" x14ac:dyDescent="0.25"/>
    <row r="12073" hidden="1" x14ac:dyDescent="0.25"/>
    <row r="12074" hidden="1" x14ac:dyDescent="0.25"/>
    <row r="12075" hidden="1" x14ac:dyDescent="0.25"/>
    <row r="12076" hidden="1" x14ac:dyDescent="0.25"/>
    <row r="12077" hidden="1" x14ac:dyDescent="0.25"/>
    <row r="12078" hidden="1" x14ac:dyDescent="0.25"/>
    <row r="12079" hidden="1" x14ac:dyDescent="0.25"/>
    <row r="12080" hidden="1" x14ac:dyDescent="0.25"/>
    <row r="12081" hidden="1" x14ac:dyDescent="0.25"/>
    <row r="12082" hidden="1" x14ac:dyDescent="0.25"/>
    <row r="12083" hidden="1" x14ac:dyDescent="0.25"/>
    <row r="12084" hidden="1" x14ac:dyDescent="0.25"/>
    <row r="12085" hidden="1" x14ac:dyDescent="0.25"/>
    <row r="12086" hidden="1" x14ac:dyDescent="0.25"/>
    <row r="12087" hidden="1" x14ac:dyDescent="0.25"/>
    <row r="12088" hidden="1" x14ac:dyDescent="0.25"/>
    <row r="12089" hidden="1" x14ac:dyDescent="0.25"/>
    <row r="12090" hidden="1" x14ac:dyDescent="0.25"/>
    <row r="12091" hidden="1" x14ac:dyDescent="0.25"/>
    <row r="12092" hidden="1" x14ac:dyDescent="0.25"/>
    <row r="12093" hidden="1" x14ac:dyDescent="0.25"/>
    <row r="12094" hidden="1" x14ac:dyDescent="0.25"/>
    <row r="12095" hidden="1" x14ac:dyDescent="0.25"/>
    <row r="12096" hidden="1" x14ac:dyDescent="0.25"/>
    <row r="12097" hidden="1" x14ac:dyDescent="0.25"/>
    <row r="12098" hidden="1" x14ac:dyDescent="0.25"/>
    <row r="12099" hidden="1" x14ac:dyDescent="0.25"/>
    <row r="12100" hidden="1" x14ac:dyDescent="0.25"/>
    <row r="12101" hidden="1" x14ac:dyDescent="0.25"/>
    <row r="12102" hidden="1" x14ac:dyDescent="0.25"/>
    <row r="12103" hidden="1" x14ac:dyDescent="0.25"/>
    <row r="12104" hidden="1" x14ac:dyDescent="0.25"/>
    <row r="12105" hidden="1" x14ac:dyDescent="0.25"/>
    <row r="12106" hidden="1" x14ac:dyDescent="0.25"/>
    <row r="12107" hidden="1" x14ac:dyDescent="0.25"/>
    <row r="12108" hidden="1" x14ac:dyDescent="0.25"/>
    <row r="12109" hidden="1" x14ac:dyDescent="0.25"/>
    <row r="12110" hidden="1" x14ac:dyDescent="0.25"/>
    <row r="12111" hidden="1" x14ac:dyDescent="0.25"/>
    <row r="12112" hidden="1" x14ac:dyDescent="0.25"/>
    <row r="12113" hidden="1" x14ac:dyDescent="0.25"/>
    <row r="12114" hidden="1" x14ac:dyDescent="0.25"/>
    <row r="12115" hidden="1" x14ac:dyDescent="0.25"/>
    <row r="12116" hidden="1" x14ac:dyDescent="0.25"/>
    <row r="12117" hidden="1" x14ac:dyDescent="0.25"/>
    <row r="12118" hidden="1" x14ac:dyDescent="0.25"/>
    <row r="12119" hidden="1" x14ac:dyDescent="0.25"/>
    <row r="12120" hidden="1" x14ac:dyDescent="0.25"/>
    <row r="12121" hidden="1" x14ac:dyDescent="0.25"/>
    <row r="12122" hidden="1" x14ac:dyDescent="0.25"/>
    <row r="12123" hidden="1" x14ac:dyDescent="0.25"/>
    <row r="12124" hidden="1" x14ac:dyDescent="0.25"/>
    <row r="12125" hidden="1" x14ac:dyDescent="0.25"/>
    <row r="12126" hidden="1" x14ac:dyDescent="0.25"/>
    <row r="12127" hidden="1" x14ac:dyDescent="0.25"/>
    <row r="12128" hidden="1" x14ac:dyDescent="0.25"/>
    <row r="12129" hidden="1" x14ac:dyDescent="0.25"/>
    <row r="12130" hidden="1" x14ac:dyDescent="0.25"/>
    <row r="12131" hidden="1" x14ac:dyDescent="0.25"/>
    <row r="12132" hidden="1" x14ac:dyDescent="0.25"/>
    <row r="12133" hidden="1" x14ac:dyDescent="0.25"/>
    <row r="12134" hidden="1" x14ac:dyDescent="0.25"/>
    <row r="12135" hidden="1" x14ac:dyDescent="0.25"/>
    <row r="12136" hidden="1" x14ac:dyDescent="0.25"/>
    <row r="12137" hidden="1" x14ac:dyDescent="0.25"/>
    <row r="12138" hidden="1" x14ac:dyDescent="0.25"/>
    <row r="12139" hidden="1" x14ac:dyDescent="0.25"/>
    <row r="12140" hidden="1" x14ac:dyDescent="0.25"/>
    <row r="12141" hidden="1" x14ac:dyDescent="0.25"/>
    <row r="12142" hidden="1" x14ac:dyDescent="0.25"/>
    <row r="12143" hidden="1" x14ac:dyDescent="0.25"/>
    <row r="12144" hidden="1" x14ac:dyDescent="0.25"/>
    <row r="12145" hidden="1" x14ac:dyDescent="0.25"/>
    <row r="12146" hidden="1" x14ac:dyDescent="0.25"/>
    <row r="12147" hidden="1" x14ac:dyDescent="0.25"/>
    <row r="12148" hidden="1" x14ac:dyDescent="0.25"/>
    <row r="12149" hidden="1" x14ac:dyDescent="0.25"/>
    <row r="12150" hidden="1" x14ac:dyDescent="0.25"/>
    <row r="12151" hidden="1" x14ac:dyDescent="0.25"/>
    <row r="12152" hidden="1" x14ac:dyDescent="0.25"/>
    <row r="12153" hidden="1" x14ac:dyDescent="0.25"/>
    <row r="12154" hidden="1" x14ac:dyDescent="0.25"/>
    <row r="12155" hidden="1" x14ac:dyDescent="0.25"/>
    <row r="12156" hidden="1" x14ac:dyDescent="0.25"/>
    <row r="12157" hidden="1" x14ac:dyDescent="0.25"/>
    <row r="12158" hidden="1" x14ac:dyDescent="0.25"/>
    <row r="12159" hidden="1" x14ac:dyDescent="0.25"/>
    <row r="12160" hidden="1" x14ac:dyDescent="0.25"/>
    <row r="12161" hidden="1" x14ac:dyDescent="0.25"/>
    <row r="12162" hidden="1" x14ac:dyDescent="0.25"/>
    <row r="12163" hidden="1" x14ac:dyDescent="0.25"/>
    <row r="12164" hidden="1" x14ac:dyDescent="0.25"/>
    <row r="12165" hidden="1" x14ac:dyDescent="0.25"/>
    <row r="12166" hidden="1" x14ac:dyDescent="0.25"/>
    <row r="12167" hidden="1" x14ac:dyDescent="0.25"/>
    <row r="12168" hidden="1" x14ac:dyDescent="0.25"/>
    <row r="12169" hidden="1" x14ac:dyDescent="0.25"/>
    <row r="12170" hidden="1" x14ac:dyDescent="0.25"/>
    <row r="12171" hidden="1" x14ac:dyDescent="0.25"/>
    <row r="12172" hidden="1" x14ac:dyDescent="0.25"/>
    <row r="12173" hidden="1" x14ac:dyDescent="0.25"/>
    <row r="12174" hidden="1" x14ac:dyDescent="0.25"/>
    <row r="12175" hidden="1" x14ac:dyDescent="0.25"/>
    <row r="12176" hidden="1" x14ac:dyDescent="0.25"/>
    <row r="12177" hidden="1" x14ac:dyDescent="0.25"/>
    <row r="12178" hidden="1" x14ac:dyDescent="0.25"/>
    <row r="12179" hidden="1" x14ac:dyDescent="0.25"/>
    <row r="12180" hidden="1" x14ac:dyDescent="0.25"/>
    <row r="12181" hidden="1" x14ac:dyDescent="0.25"/>
    <row r="12182" hidden="1" x14ac:dyDescent="0.25"/>
    <row r="12183" hidden="1" x14ac:dyDescent="0.25"/>
    <row r="12184" hidden="1" x14ac:dyDescent="0.25"/>
    <row r="12185" hidden="1" x14ac:dyDescent="0.25"/>
    <row r="12186" hidden="1" x14ac:dyDescent="0.25"/>
    <row r="12187" hidden="1" x14ac:dyDescent="0.25"/>
    <row r="12188" hidden="1" x14ac:dyDescent="0.25"/>
    <row r="12189" hidden="1" x14ac:dyDescent="0.25"/>
    <row r="12190" hidden="1" x14ac:dyDescent="0.25"/>
    <row r="12191" hidden="1" x14ac:dyDescent="0.25"/>
    <row r="12192" hidden="1" x14ac:dyDescent="0.25"/>
    <row r="12193" hidden="1" x14ac:dyDescent="0.25"/>
    <row r="12194" hidden="1" x14ac:dyDescent="0.25"/>
    <row r="12195" hidden="1" x14ac:dyDescent="0.25"/>
    <row r="12196" hidden="1" x14ac:dyDescent="0.25"/>
    <row r="12197" hidden="1" x14ac:dyDescent="0.25"/>
    <row r="12198" hidden="1" x14ac:dyDescent="0.25"/>
    <row r="12199" hidden="1" x14ac:dyDescent="0.25"/>
    <row r="12200" hidden="1" x14ac:dyDescent="0.25"/>
    <row r="12201" hidden="1" x14ac:dyDescent="0.25"/>
    <row r="12202" hidden="1" x14ac:dyDescent="0.25"/>
    <row r="12203" hidden="1" x14ac:dyDescent="0.25"/>
    <row r="12204" hidden="1" x14ac:dyDescent="0.25"/>
    <row r="12205" hidden="1" x14ac:dyDescent="0.25"/>
    <row r="12206" hidden="1" x14ac:dyDescent="0.25"/>
    <row r="12207" hidden="1" x14ac:dyDescent="0.25"/>
    <row r="12208" hidden="1" x14ac:dyDescent="0.25"/>
    <row r="12209" hidden="1" x14ac:dyDescent="0.25"/>
    <row r="12210" hidden="1" x14ac:dyDescent="0.25"/>
    <row r="12211" hidden="1" x14ac:dyDescent="0.25"/>
    <row r="12212" hidden="1" x14ac:dyDescent="0.25"/>
    <row r="12213" hidden="1" x14ac:dyDescent="0.25"/>
    <row r="12214" hidden="1" x14ac:dyDescent="0.25"/>
    <row r="12215" hidden="1" x14ac:dyDescent="0.25"/>
    <row r="12216" hidden="1" x14ac:dyDescent="0.25"/>
    <row r="12217" hidden="1" x14ac:dyDescent="0.25"/>
    <row r="12218" hidden="1" x14ac:dyDescent="0.25"/>
    <row r="12219" hidden="1" x14ac:dyDescent="0.25"/>
    <row r="12220" hidden="1" x14ac:dyDescent="0.25"/>
    <row r="12221" hidden="1" x14ac:dyDescent="0.25"/>
    <row r="12222" hidden="1" x14ac:dyDescent="0.25"/>
    <row r="12223" hidden="1" x14ac:dyDescent="0.25"/>
    <row r="12224" hidden="1" x14ac:dyDescent="0.25"/>
    <row r="12225" hidden="1" x14ac:dyDescent="0.25"/>
    <row r="12226" hidden="1" x14ac:dyDescent="0.25"/>
    <row r="12227" hidden="1" x14ac:dyDescent="0.25"/>
    <row r="12228" hidden="1" x14ac:dyDescent="0.25"/>
    <row r="12229" hidden="1" x14ac:dyDescent="0.25"/>
    <row r="12230" hidden="1" x14ac:dyDescent="0.25"/>
    <row r="12231" hidden="1" x14ac:dyDescent="0.25"/>
    <row r="12232" hidden="1" x14ac:dyDescent="0.25"/>
    <row r="12233" hidden="1" x14ac:dyDescent="0.25"/>
    <row r="12234" hidden="1" x14ac:dyDescent="0.25"/>
    <row r="12235" hidden="1" x14ac:dyDescent="0.25"/>
    <row r="12236" hidden="1" x14ac:dyDescent="0.25"/>
    <row r="12237" hidden="1" x14ac:dyDescent="0.25"/>
    <row r="12238" hidden="1" x14ac:dyDescent="0.25"/>
    <row r="12239" hidden="1" x14ac:dyDescent="0.25"/>
    <row r="12240" hidden="1" x14ac:dyDescent="0.25"/>
    <row r="12241" hidden="1" x14ac:dyDescent="0.25"/>
    <row r="12242" hidden="1" x14ac:dyDescent="0.25"/>
    <row r="12243" hidden="1" x14ac:dyDescent="0.25"/>
    <row r="12244" hidden="1" x14ac:dyDescent="0.25"/>
    <row r="12245" hidden="1" x14ac:dyDescent="0.25"/>
    <row r="12246" hidden="1" x14ac:dyDescent="0.25"/>
    <row r="12247" hidden="1" x14ac:dyDescent="0.25"/>
    <row r="12248" hidden="1" x14ac:dyDescent="0.25"/>
    <row r="12249" hidden="1" x14ac:dyDescent="0.25"/>
    <row r="12250" hidden="1" x14ac:dyDescent="0.25"/>
    <row r="12251" hidden="1" x14ac:dyDescent="0.25"/>
    <row r="12252" hidden="1" x14ac:dyDescent="0.25"/>
    <row r="12253" hidden="1" x14ac:dyDescent="0.25"/>
    <row r="12254" hidden="1" x14ac:dyDescent="0.25"/>
    <row r="12255" hidden="1" x14ac:dyDescent="0.25"/>
    <row r="12256" hidden="1" x14ac:dyDescent="0.25"/>
    <row r="12257" hidden="1" x14ac:dyDescent="0.25"/>
    <row r="12258" hidden="1" x14ac:dyDescent="0.25"/>
    <row r="12259" hidden="1" x14ac:dyDescent="0.25"/>
    <row r="12260" hidden="1" x14ac:dyDescent="0.25"/>
    <row r="12261" hidden="1" x14ac:dyDescent="0.25"/>
    <row r="12262" hidden="1" x14ac:dyDescent="0.25"/>
    <row r="12263" hidden="1" x14ac:dyDescent="0.25"/>
    <row r="12264" hidden="1" x14ac:dyDescent="0.25"/>
    <row r="12265" hidden="1" x14ac:dyDescent="0.25"/>
    <row r="12266" hidden="1" x14ac:dyDescent="0.25"/>
    <row r="12267" hidden="1" x14ac:dyDescent="0.25"/>
    <row r="12268" hidden="1" x14ac:dyDescent="0.25"/>
    <row r="12269" hidden="1" x14ac:dyDescent="0.25"/>
    <row r="12270" hidden="1" x14ac:dyDescent="0.25"/>
    <row r="12271" hidden="1" x14ac:dyDescent="0.25"/>
    <row r="12272" hidden="1" x14ac:dyDescent="0.25"/>
    <row r="12273" hidden="1" x14ac:dyDescent="0.25"/>
    <row r="12274" hidden="1" x14ac:dyDescent="0.25"/>
    <row r="12275" hidden="1" x14ac:dyDescent="0.25"/>
    <row r="12276" hidden="1" x14ac:dyDescent="0.25"/>
    <row r="12277" hidden="1" x14ac:dyDescent="0.25"/>
    <row r="12278" hidden="1" x14ac:dyDescent="0.25"/>
    <row r="12279" hidden="1" x14ac:dyDescent="0.25"/>
    <row r="12280" hidden="1" x14ac:dyDescent="0.25"/>
    <row r="12281" hidden="1" x14ac:dyDescent="0.25"/>
    <row r="12282" hidden="1" x14ac:dyDescent="0.25"/>
    <row r="12283" hidden="1" x14ac:dyDescent="0.25"/>
    <row r="12284" hidden="1" x14ac:dyDescent="0.25"/>
    <row r="12285" hidden="1" x14ac:dyDescent="0.25"/>
    <row r="12286" hidden="1" x14ac:dyDescent="0.25"/>
    <row r="12287" hidden="1" x14ac:dyDescent="0.25"/>
    <row r="12288" hidden="1" x14ac:dyDescent="0.25"/>
    <row r="12289" hidden="1" x14ac:dyDescent="0.25"/>
    <row r="12290" hidden="1" x14ac:dyDescent="0.25"/>
    <row r="12291" hidden="1" x14ac:dyDescent="0.25"/>
    <row r="12292" hidden="1" x14ac:dyDescent="0.25"/>
    <row r="12293" hidden="1" x14ac:dyDescent="0.25"/>
    <row r="12294" hidden="1" x14ac:dyDescent="0.25"/>
    <row r="12295" hidden="1" x14ac:dyDescent="0.25"/>
    <row r="12296" hidden="1" x14ac:dyDescent="0.25"/>
    <row r="12297" hidden="1" x14ac:dyDescent="0.25"/>
    <row r="12298" hidden="1" x14ac:dyDescent="0.25"/>
    <row r="12299" hidden="1" x14ac:dyDescent="0.25"/>
    <row r="12300" hidden="1" x14ac:dyDescent="0.25"/>
    <row r="12301" hidden="1" x14ac:dyDescent="0.25"/>
    <row r="12302" hidden="1" x14ac:dyDescent="0.25"/>
    <row r="12303" hidden="1" x14ac:dyDescent="0.25"/>
    <row r="12304" hidden="1" x14ac:dyDescent="0.25"/>
    <row r="12305" hidden="1" x14ac:dyDescent="0.25"/>
    <row r="12306" hidden="1" x14ac:dyDescent="0.25"/>
    <row r="12307" hidden="1" x14ac:dyDescent="0.25"/>
    <row r="12308" hidden="1" x14ac:dyDescent="0.25"/>
    <row r="12309" hidden="1" x14ac:dyDescent="0.25"/>
    <row r="12310" hidden="1" x14ac:dyDescent="0.25"/>
    <row r="12311" hidden="1" x14ac:dyDescent="0.25"/>
    <row r="12312" hidden="1" x14ac:dyDescent="0.25"/>
    <row r="12313" hidden="1" x14ac:dyDescent="0.25"/>
    <row r="12314" hidden="1" x14ac:dyDescent="0.25"/>
    <row r="12315" hidden="1" x14ac:dyDescent="0.25"/>
    <row r="12316" hidden="1" x14ac:dyDescent="0.25"/>
    <row r="12317" hidden="1" x14ac:dyDescent="0.25"/>
    <row r="12318" hidden="1" x14ac:dyDescent="0.25"/>
    <row r="12319" hidden="1" x14ac:dyDescent="0.25"/>
    <row r="12320" hidden="1" x14ac:dyDescent="0.25"/>
    <row r="12321" hidden="1" x14ac:dyDescent="0.25"/>
    <row r="12322" hidden="1" x14ac:dyDescent="0.25"/>
    <row r="12323" hidden="1" x14ac:dyDescent="0.25"/>
    <row r="12324" hidden="1" x14ac:dyDescent="0.25"/>
    <row r="12325" hidden="1" x14ac:dyDescent="0.25"/>
    <row r="12326" hidden="1" x14ac:dyDescent="0.25"/>
    <row r="12327" hidden="1" x14ac:dyDescent="0.25"/>
    <row r="12328" hidden="1" x14ac:dyDescent="0.25"/>
    <row r="12329" hidden="1" x14ac:dyDescent="0.25"/>
    <row r="12330" hidden="1" x14ac:dyDescent="0.25"/>
    <row r="12331" hidden="1" x14ac:dyDescent="0.25"/>
    <row r="12332" hidden="1" x14ac:dyDescent="0.25"/>
    <row r="12333" hidden="1" x14ac:dyDescent="0.25"/>
    <row r="12334" hidden="1" x14ac:dyDescent="0.25"/>
    <row r="12335" hidden="1" x14ac:dyDescent="0.25"/>
    <row r="12336" hidden="1" x14ac:dyDescent="0.25"/>
    <row r="12337" hidden="1" x14ac:dyDescent="0.25"/>
    <row r="12338" hidden="1" x14ac:dyDescent="0.25"/>
    <row r="12339" hidden="1" x14ac:dyDescent="0.25"/>
    <row r="12340" hidden="1" x14ac:dyDescent="0.25"/>
    <row r="12341" hidden="1" x14ac:dyDescent="0.25"/>
    <row r="12342" hidden="1" x14ac:dyDescent="0.25"/>
    <row r="12343" hidden="1" x14ac:dyDescent="0.25"/>
    <row r="12344" hidden="1" x14ac:dyDescent="0.25"/>
    <row r="12345" hidden="1" x14ac:dyDescent="0.25"/>
    <row r="12346" hidden="1" x14ac:dyDescent="0.25"/>
    <row r="12347" hidden="1" x14ac:dyDescent="0.25"/>
    <row r="12348" hidden="1" x14ac:dyDescent="0.25"/>
    <row r="12349" hidden="1" x14ac:dyDescent="0.25"/>
    <row r="12350" hidden="1" x14ac:dyDescent="0.25"/>
    <row r="12351" hidden="1" x14ac:dyDescent="0.25"/>
    <row r="12352" hidden="1" x14ac:dyDescent="0.25"/>
    <row r="12353" hidden="1" x14ac:dyDescent="0.25"/>
    <row r="12354" hidden="1" x14ac:dyDescent="0.25"/>
    <row r="12355" hidden="1" x14ac:dyDescent="0.25"/>
    <row r="12356" hidden="1" x14ac:dyDescent="0.25"/>
    <row r="12357" hidden="1" x14ac:dyDescent="0.25"/>
    <row r="12358" hidden="1" x14ac:dyDescent="0.25"/>
    <row r="12359" hidden="1" x14ac:dyDescent="0.25"/>
    <row r="12360" hidden="1" x14ac:dyDescent="0.25"/>
    <row r="12361" hidden="1" x14ac:dyDescent="0.25"/>
    <row r="12362" hidden="1" x14ac:dyDescent="0.25"/>
    <row r="12363" hidden="1" x14ac:dyDescent="0.25"/>
    <row r="12364" hidden="1" x14ac:dyDescent="0.25"/>
    <row r="12365" hidden="1" x14ac:dyDescent="0.25"/>
    <row r="12366" hidden="1" x14ac:dyDescent="0.25"/>
    <row r="12367" hidden="1" x14ac:dyDescent="0.25"/>
    <row r="12368" hidden="1" x14ac:dyDescent="0.25"/>
    <row r="12369" hidden="1" x14ac:dyDescent="0.25"/>
    <row r="12370" hidden="1" x14ac:dyDescent="0.25"/>
    <row r="12371" hidden="1" x14ac:dyDescent="0.25"/>
    <row r="12372" hidden="1" x14ac:dyDescent="0.25"/>
    <row r="12373" hidden="1" x14ac:dyDescent="0.25"/>
    <row r="12374" hidden="1" x14ac:dyDescent="0.25"/>
    <row r="12375" hidden="1" x14ac:dyDescent="0.25"/>
    <row r="12376" hidden="1" x14ac:dyDescent="0.25"/>
    <row r="12377" hidden="1" x14ac:dyDescent="0.25"/>
    <row r="12378" hidden="1" x14ac:dyDescent="0.25"/>
    <row r="12379" hidden="1" x14ac:dyDescent="0.25"/>
    <row r="12380" hidden="1" x14ac:dyDescent="0.25"/>
    <row r="12381" hidden="1" x14ac:dyDescent="0.25"/>
    <row r="12382" hidden="1" x14ac:dyDescent="0.25"/>
    <row r="12383" hidden="1" x14ac:dyDescent="0.25"/>
    <row r="12384" hidden="1" x14ac:dyDescent="0.25"/>
    <row r="12385" hidden="1" x14ac:dyDescent="0.25"/>
    <row r="12386" hidden="1" x14ac:dyDescent="0.25"/>
    <row r="12387" hidden="1" x14ac:dyDescent="0.25"/>
    <row r="12388" hidden="1" x14ac:dyDescent="0.25"/>
    <row r="12389" hidden="1" x14ac:dyDescent="0.25"/>
    <row r="12390" hidden="1" x14ac:dyDescent="0.25"/>
    <row r="12391" hidden="1" x14ac:dyDescent="0.25"/>
    <row r="12392" hidden="1" x14ac:dyDescent="0.25"/>
    <row r="12393" hidden="1" x14ac:dyDescent="0.25"/>
    <row r="12394" hidden="1" x14ac:dyDescent="0.25"/>
    <row r="12395" hidden="1" x14ac:dyDescent="0.25"/>
    <row r="12396" hidden="1" x14ac:dyDescent="0.25"/>
    <row r="12397" hidden="1" x14ac:dyDescent="0.25"/>
    <row r="12398" hidden="1" x14ac:dyDescent="0.25"/>
    <row r="12399" hidden="1" x14ac:dyDescent="0.25"/>
    <row r="12400" hidden="1" x14ac:dyDescent="0.25"/>
    <row r="12401" hidden="1" x14ac:dyDescent="0.25"/>
    <row r="12402" hidden="1" x14ac:dyDescent="0.25"/>
    <row r="12403" hidden="1" x14ac:dyDescent="0.25"/>
    <row r="12404" hidden="1" x14ac:dyDescent="0.25"/>
    <row r="12405" hidden="1" x14ac:dyDescent="0.25"/>
    <row r="12406" hidden="1" x14ac:dyDescent="0.25"/>
    <row r="12407" hidden="1" x14ac:dyDescent="0.25"/>
    <row r="12408" hidden="1" x14ac:dyDescent="0.25"/>
    <row r="12409" hidden="1" x14ac:dyDescent="0.25"/>
    <row r="12410" hidden="1" x14ac:dyDescent="0.25"/>
    <row r="12411" hidden="1" x14ac:dyDescent="0.25"/>
    <row r="12412" hidden="1" x14ac:dyDescent="0.25"/>
    <row r="12413" hidden="1" x14ac:dyDescent="0.25"/>
    <row r="12414" hidden="1" x14ac:dyDescent="0.25"/>
    <row r="12415" hidden="1" x14ac:dyDescent="0.25"/>
    <row r="12416" hidden="1" x14ac:dyDescent="0.25"/>
    <row r="12417" hidden="1" x14ac:dyDescent="0.25"/>
    <row r="12418" hidden="1" x14ac:dyDescent="0.25"/>
    <row r="12419" hidden="1" x14ac:dyDescent="0.25"/>
    <row r="12420" hidden="1" x14ac:dyDescent="0.25"/>
    <row r="12421" hidden="1" x14ac:dyDescent="0.25"/>
    <row r="12422" hidden="1" x14ac:dyDescent="0.25"/>
    <row r="12423" hidden="1" x14ac:dyDescent="0.25"/>
    <row r="12424" hidden="1" x14ac:dyDescent="0.25"/>
    <row r="12425" hidden="1" x14ac:dyDescent="0.25"/>
    <row r="12426" hidden="1" x14ac:dyDescent="0.25"/>
    <row r="12427" hidden="1" x14ac:dyDescent="0.25"/>
    <row r="12428" hidden="1" x14ac:dyDescent="0.25"/>
    <row r="12429" hidden="1" x14ac:dyDescent="0.25"/>
    <row r="12430" hidden="1" x14ac:dyDescent="0.25"/>
    <row r="12431" hidden="1" x14ac:dyDescent="0.25"/>
    <row r="12432" hidden="1" x14ac:dyDescent="0.25"/>
    <row r="12433" hidden="1" x14ac:dyDescent="0.25"/>
    <row r="12434" hidden="1" x14ac:dyDescent="0.25"/>
    <row r="12435" hidden="1" x14ac:dyDescent="0.25"/>
    <row r="12436" hidden="1" x14ac:dyDescent="0.25"/>
    <row r="12437" hidden="1" x14ac:dyDescent="0.25"/>
    <row r="12438" hidden="1" x14ac:dyDescent="0.25"/>
    <row r="12439" hidden="1" x14ac:dyDescent="0.25"/>
    <row r="12440" hidden="1" x14ac:dyDescent="0.25"/>
    <row r="12441" hidden="1" x14ac:dyDescent="0.25"/>
    <row r="12442" hidden="1" x14ac:dyDescent="0.25"/>
    <row r="12443" hidden="1" x14ac:dyDescent="0.25"/>
    <row r="12444" hidden="1" x14ac:dyDescent="0.25"/>
    <row r="12445" hidden="1" x14ac:dyDescent="0.25"/>
    <row r="12446" hidden="1" x14ac:dyDescent="0.25"/>
    <row r="12447" hidden="1" x14ac:dyDescent="0.25"/>
    <row r="12448" hidden="1" x14ac:dyDescent="0.25"/>
    <row r="12449" hidden="1" x14ac:dyDescent="0.25"/>
    <row r="12450" hidden="1" x14ac:dyDescent="0.25"/>
    <row r="12451" hidden="1" x14ac:dyDescent="0.25"/>
    <row r="12452" hidden="1" x14ac:dyDescent="0.25"/>
    <row r="12453" hidden="1" x14ac:dyDescent="0.25"/>
    <row r="12454" hidden="1" x14ac:dyDescent="0.25"/>
    <row r="12455" hidden="1" x14ac:dyDescent="0.25"/>
    <row r="12456" hidden="1" x14ac:dyDescent="0.25"/>
    <row r="12457" hidden="1" x14ac:dyDescent="0.25"/>
    <row r="12458" hidden="1" x14ac:dyDescent="0.25"/>
    <row r="12459" hidden="1" x14ac:dyDescent="0.25"/>
    <row r="12460" hidden="1" x14ac:dyDescent="0.25"/>
    <row r="12461" hidden="1" x14ac:dyDescent="0.25"/>
    <row r="12462" hidden="1" x14ac:dyDescent="0.25"/>
    <row r="12463" hidden="1" x14ac:dyDescent="0.25"/>
    <row r="12464" hidden="1" x14ac:dyDescent="0.25"/>
    <row r="12465" hidden="1" x14ac:dyDescent="0.25"/>
    <row r="12466" hidden="1" x14ac:dyDescent="0.25"/>
    <row r="12467" hidden="1" x14ac:dyDescent="0.25"/>
    <row r="12468" hidden="1" x14ac:dyDescent="0.25"/>
    <row r="12469" hidden="1" x14ac:dyDescent="0.25"/>
    <row r="12470" hidden="1" x14ac:dyDescent="0.25"/>
    <row r="12471" hidden="1" x14ac:dyDescent="0.25"/>
    <row r="12472" hidden="1" x14ac:dyDescent="0.25"/>
    <row r="12473" hidden="1" x14ac:dyDescent="0.25"/>
    <row r="12474" hidden="1" x14ac:dyDescent="0.25"/>
    <row r="12475" hidden="1" x14ac:dyDescent="0.25"/>
    <row r="12476" hidden="1" x14ac:dyDescent="0.25"/>
    <row r="12477" hidden="1" x14ac:dyDescent="0.25"/>
    <row r="12478" hidden="1" x14ac:dyDescent="0.25"/>
    <row r="12479" hidden="1" x14ac:dyDescent="0.25"/>
    <row r="12480" hidden="1" x14ac:dyDescent="0.25"/>
    <row r="12481" hidden="1" x14ac:dyDescent="0.25"/>
    <row r="12482" hidden="1" x14ac:dyDescent="0.25"/>
    <row r="12483" hidden="1" x14ac:dyDescent="0.25"/>
    <row r="12484" hidden="1" x14ac:dyDescent="0.25"/>
    <row r="12485" hidden="1" x14ac:dyDescent="0.25"/>
    <row r="12486" hidden="1" x14ac:dyDescent="0.25"/>
    <row r="12487" hidden="1" x14ac:dyDescent="0.25"/>
    <row r="12488" hidden="1" x14ac:dyDescent="0.25"/>
    <row r="12489" hidden="1" x14ac:dyDescent="0.25"/>
    <row r="12490" hidden="1" x14ac:dyDescent="0.25"/>
    <row r="12491" hidden="1" x14ac:dyDescent="0.25"/>
    <row r="12492" hidden="1" x14ac:dyDescent="0.25"/>
    <row r="12493" hidden="1" x14ac:dyDescent="0.25"/>
    <row r="12494" hidden="1" x14ac:dyDescent="0.25"/>
    <row r="12495" hidden="1" x14ac:dyDescent="0.25"/>
    <row r="12496" hidden="1" x14ac:dyDescent="0.25"/>
    <row r="12497" hidden="1" x14ac:dyDescent="0.25"/>
    <row r="12498" hidden="1" x14ac:dyDescent="0.25"/>
    <row r="12499" hidden="1" x14ac:dyDescent="0.25"/>
    <row r="12500" hidden="1" x14ac:dyDescent="0.25"/>
    <row r="12501" hidden="1" x14ac:dyDescent="0.25"/>
    <row r="12502" hidden="1" x14ac:dyDescent="0.25"/>
    <row r="12503" hidden="1" x14ac:dyDescent="0.25"/>
    <row r="12504" hidden="1" x14ac:dyDescent="0.25"/>
    <row r="12505" hidden="1" x14ac:dyDescent="0.25"/>
    <row r="12506" hidden="1" x14ac:dyDescent="0.25"/>
    <row r="12507" hidden="1" x14ac:dyDescent="0.25"/>
    <row r="12508" hidden="1" x14ac:dyDescent="0.25"/>
    <row r="12509" hidden="1" x14ac:dyDescent="0.25"/>
    <row r="12510" hidden="1" x14ac:dyDescent="0.25"/>
    <row r="12511" hidden="1" x14ac:dyDescent="0.25"/>
    <row r="12512" hidden="1" x14ac:dyDescent="0.25"/>
    <row r="12513" hidden="1" x14ac:dyDescent="0.25"/>
    <row r="12514" hidden="1" x14ac:dyDescent="0.25"/>
    <row r="12515" hidden="1" x14ac:dyDescent="0.25"/>
    <row r="12516" hidden="1" x14ac:dyDescent="0.25"/>
    <row r="12517" hidden="1" x14ac:dyDescent="0.25"/>
    <row r="12518" hidden="1" x14ac:dyDescent="0.25"/>
    <row r="12519" hidden="1" x14ac:dyDescent="0.25"/>
    <row r="12520" hidden="1" x14ac:dyDescent="0.25"/>
    <row r="12521" hidden="1" x14ac:dyDescent="0.25"/>
    <row r="12522" hidden="1" x14ac:dyDescent="0.25"/>
    <row r="12523" hidden="1" x14ac:dyDescent="0.25"/>
    <row r="12524" hidden="1" x14ac:dyDescent="0.25"/>
    <row r="12525" hidden="1" x14ac:dyDescent="0.25"/>
    <row r="12526" hidden="1" x14ac:dyDescent="0.25"/>
    <row r="12527" hidden="1" x14ac:dyDescent="0.25"/>
    <row r="12528" hidden="1" x14ac:dyDescent="0.25"/>
    <row r="12529" hidden="1" x14ac:dyDescent="0.25"/>
    <row r="12530" hidden="1" x14ac:dyDescent="0.25"/>
    <row r="12531" hidden="1" x14ac:dyDescent="0.25"/>
    <row r="12532" hidden="1" x14ac:dyDescent="0.25"/>
    <row r="12533" hidden="1" x14ac:dyDescent="0.25"/>
    <row r="12534" hidden="1" x14ac:dyDescent="0.25"/>
    <row r="12535" hidden="1" x14ac:dyDescent="0.25"/>
    <row r="12536" hidden="1" x14ac:dyDescent="0.25"/>
    <row r="12537" hidden="1" x14ac:dyDescent="0.25"/>
    <row r="12538" hidden="1" x14ac:dyDescent="0.25"/>
    <row r="12539" hidden="1" x14ac:dyDescent="0.25"/>
    <row r="12540" hidden="1" x14ac:dyDescent="0.25"/>
    <row r="12541" hidden="1" x14ac:dyDescent="0.25"/>
    <row r="12542" hidden="1" x14ac:dyDescent="0.25"/>
    <row r="12543" hidden="1" x14ac:dyDescent="0.25"/>
    <row r="12544" hidden="1" x14ac:dyDescent="0.25"/>
    <row r="12545" hidden="1" x14ac:dyDescent="0.25"/>
    <row r="12546" hidden="1" x14ac:dyDescent="0.25"/>
    <row r="12547" hidden="1" x14ac:dyDescent="0.25"/>
    <row r="12548" hidden="1" x14ac:dyDescent="0.25"/>
    <row r="12549" hidden="1" x14ac:dyDescent="0.25"/>
    <row r="12550" hidden="1" x14ac:dyDescent="0.25"/>
    <row r="12551" hidden="1" x14ac:dyDescent="0.25"/>
    <row r="12552" hidden="1" x14ac:dyDescent="0.25"/>
    <row r="12553" hidden="1" x14ac:dyDescent="0.25"/>
    <row r="12554" hidden="1" x14ac:dyDescent="0.25"/>
    <row r="12555" hidden="1" x14ac:dyDescent="0.25"/>
    <row r="12556" hidden="1" x14ac:dyDescent="0.25"/>
    <row r="12557" hidden="1" x14ac:dyDescent="0.25"/>
    <row r="12558" hidden="1" x14ac:dyDescent="0.25"/>
    <row r="12559" hidden="1" x14ac:dyDescent="0.25"/>
    <row r="12560" hidden="1" x14ac:dyDescent="0.25"/>
    <row r="12561" hidden="1" x14ac:dyDescent="0.25"/>
    <row r="12562" hidden="1" x14ac:dyDescent="0.25"/>
    <row r="12563" hidden="1" x14ac:dyDescent="0.25"/>
    <row r="12564" hidden="1" x14ac:dyDescent="0.25"/>
    <row r="12565" hidden="1" x14ac:dyDescent="0.25"/>
    <row r="12566" hidden="1" x14ac:dyDescent="0.25"/>
    <row r="12567" hidden="1" x14ac:dyDescent="0.25"/>
    <row r="12568" hidden="1" x14ac:dyDescent="0.25"/>
    <row r="12569" hidden="1" x14ac:dyDescent="0.25"/>
    <row r="12570" hidden="1" x14ac:dyDescent="0.25"/>
    <row r="12571" hidden="1" x14ac:dyDescent="0.25"/>
    <row r="12572" hidden="1" x14ac:dyDescent="0.25"/>
    <row r="12573" hidden="1" x14ac:dyDescent="0.25"/>
    <row r="12574" hidden="1" x14ac:dyDescent="0.25"/>
    <row r="12575" hidden="1" x14ac:dyDescent="0.25"/>
    <row r="12576" hidden="1" x14ac:dyDescent="0.25"/>
    <row r="12577" hidden="1" x14ac:dyDescent="0.25"/>
    <row r="12578" hidden="1" x14ac:dyDescent="0.25"/>
    <row r="12579" hidden="1" x14ac:dyDescent="0.25"/>
    <row r="12580" hidden="1" x14ac:dyDescent="0.25"/>
    <row r="12581" hidden="1" x14ac:dyDescent="0.25"/>
    <row r="12582" hidden="1" x14ac:dyDescent="0.25"/>
    <row r="12583" hidden="1" x14ac:dyDescent="0.25"/>
    <row r="12584" hidden="1" x14ac:dyDescent="0.25"/>
    <row r="12585" hidden="1" x14ac:dyDescent="0.25"/>
    <row r="12586" hidden="1" x14ac:dyDescent="0.25"/>
    <row r="12587" hidden="1" x14ac:dyDescent="0.25"/>
    <row r="12588" hidden="1" x14ac:dyDescent="0.25"/>
    <row r="12589" hidden="1" x14ac:dyDescent="0.25"/>
    <row r="12590" hidden="1" x14ac:dyDescent="0.25"/>
    <row r="12591" hidden="1" x14ac:dyDescent="0.25"/>
    <row r="12592" hidden="1" x14ac:dyDescent="0.25"/>
    <row r="12593" hidden="1" x14ac:dyDescent="0.25"/>
    <row r="12594" hidden="1" x14ac:dyDescent="0.25"/>
    <row r="12595" hidden="1" x14ac:dyDescent="0.25"/>
    <row r="12596" hidden="1" x14ac:dyDescent="0.25"/>
    <row r="12597" hidden="1" x14ac:dyDescent="0.25"/>
    <row r="12598" hidden="1" x14ac:dyDescent="0.25"/>
    <row r="12599" hidden="1" x14ac:dyDescent="0.25"/>
    <row r="12600" hidden="1" x14ac:dyDescent="0.25"/>
    <row r="12601" hidden="1" x14ac:dyDescent="0.25"/>
    <row r="12602" hidden="1" x14ac:dyDescent="0.25"/>
    <row r="12603" hidden="1" x14ac:dyDescent="0.25"/>
    <row r="12604" hidden="1" x14ac:dyDescent="0.25"/>
    <row r="12605" hidden="1" x14ac:dyDescent="0.25"/>
    <row r="12606" hidden="1" x14ac:dyDescent="0.25"/>
    <row r="12607" hidden="1" x14ac:dyDescent="0.25"/>
    <row r="12608" hidden="1" x14ac:dyDescent="0.25"/>
    <row r="12609" hidden="1" x14ac:dyDescent="0.25"/>
    <row r="12610" hidden="1" x14ac:dyDescent="0.25"/>
    <row r="12611" hidden="1" x14ac:dyDescent="0.25"/>
    <row r="12612" hidden="1" x14ac:dyDescent="0.25"/>
    <row r="12613" hidden="1" x14ac:dyDescent="0.25"/>
    <row r="12614" hidden="1" x14ac:dyDescent="0.25"/>
    <row r="12615" hidden="1" x14ac:dyDescent="0.25"/>
    <row r="12616" hidden="1" x14ac:dyDescent="0.25"/>
    <row r="12617" hidden="1" x14ac:dyDescent="0.25"/>
    <row r="12618" hidden="1" x14ac:dyDescent="0.25"/>
    <row r="12619" hidden="1" x14ac:dyDescent="0.25"/>
    <row r="12620" hidden="1" x14ac:dyDescent="0.25"/>
    <row r="12621" hidden="1" x14ac:dyDescent="0.25"/>
    <row r="12622" hidden="1" x14ac:dyDescent="0.25"/>
    <row r="12623" hidden="1" x14ac:dyDescent="0.25"/>
    <row r="12624" hidden="1" x14ac:dyDescent="0.25"/>
    <row r="12625" hidden="1" x14ac:dyDescent="0.25"/>
    <row r="12626" hidden="1" x14ac:dyDescent="0.25"/>
    <row r="12627" hidden="1" x14ac:dyDescent="0.25"/>
    <row r="12628" hidden="1" x14ac:dyDescent="0.25"/>
    <row r="12629" hidden="1" x14ac:dyDescent="0.25"/>
    <row r="12630" hidden="1" x14ac:dyDescent="0.25"/>
    <row r="12631" hidden="1" x14ac:dyDescent="0.25"/>
    <row r="12632" hidden="1" x14ac:dyDescent="0.25"/>
    <row r="12633" hidden="1" x14ac:dyDescent="0.25"/>
    <row r="12634" hidden="1" x14ac:dyDescent="0.25"/>
    <row r="12635" hidden="1" x14ac:dyDescent="0.25"/>
    <row r="12636" hidden="1" x14ac:dyDescent="0.25"/>
    <row r="12637" hidden="1" x14ac:dyDescent="0.25"/>
    <row r="12638" hidden="1" x14ac:dyDescent="0.25"/>
    <row r="12639" hidden="1" x14ac:dyDescent="0.25"/>
    <row r="12640" hidden="1" x14ac:dyDescent="0.25"/>
    <row r="12641" hidden="1" x14ac:dyDescent="0.25"/>
    <row r="12642" hidden="1" x14ac:dyDescent="0.25"/>
    <row r="12643" hidden="1" x14ac:dyDescent="0.25"/>
    <row r="12644" hidden="1" x14ac:dyDescent="0.25"/>
    <row r="12645" hidden="1" x14ac:dyDescent="0.25"/>
    <row r="12646" hidden="1" x14ac:dyDescent="0.25"/>
    <row r="12647" hidden="1" x14ac:dyDescent="0.25"/>
    <row r="12648" hidden="1" x14ac:dyDescent="0.25"/>
    <row r="12649" hidden="1" x14ac:dyDescent="0.25"/>
    <row r="12650" hidden="1" x14ac:dyDescent="0.25"/>
    <row r="12651" hidden="1" x14ac:dyDescent="0.25"/>
    <row r="12652" hidden="1" x14ac:dyDescent="0.25"/>
    <row r="12653" hidden="1" x14ac:dyDescent="0.25"/>
    <row r="12654" hidden="1" x14ac:dyDescent="0.25"/>
    <row r="12655" hidden="1" x14ac:dyDescent="0.25"/>
    <row r="12656" hidden="1" x14ac:dyDescent="0.25"/>
    <row r="12657" hidden="1" x14ac:dyDescent="0.25"/>
    <row r="12658" hidden="1" x14ac:dyDescent="0.25"/>
    <row r="12659" hidden="1" x14ac:dyDescent="0.25"/>
    <row r="12660" hidden="1" x14ac:dyDescent="0.25"/>
    <row r="12661" hidden="1" x14ac:dyDescent="0.25"/>
    <row r="12662" hidden="1" x14ac:dyDescent="0.25"/>
    <row r="12663" hidden="1" x14ac:dyDescent="0.25"/>
    <row r="12664" hidden="1" x14ac:dyDescent="0.25"/>
    <row r="12665" hidden="1" x14ac:dyDescent="0.25"/>
    <row r="12666" hidden="1" x14ac:dyDescent="0.25"/>
    <row r="12667" hidden="1" x14ac:dyDescent="0.25"/>
    <row r="12668" hidden="1" x14ac:dyDescent="0.25"/>
    <row r="12669" hidden="1" x14ac:dyDescent="0.25"/>
    <row r="12670" hidden="1" x14ac:dyDescent="0.25"/>
    <row r="12671" hidden="1" x14ac:dyDescent="0.25"/>
    <row r="12672" hidden="1" x14ac:dyDescent="0.25"/>
    <row r="12673" hidden="1" x14ac:dyDescent="0.25"/>
    <row r="12674" hidden="1" x14ac:dyDescent="0.25"/>
    <row r="12675" hidden="1" x14ac:dyDescent="0.25"/>
    <row r="12676" hidden="1" x14ac:dyDescent="0.25"/>
    <row r="12677" hidden="1" x14ac:dyDescent="0.25"/>
    <row r="12678" hidden="1" x14ac:dyDescent="0.25"/>
    <row r="12679" hidden="1" x14ac:dyDescent="0.25"/>
    <row r="12680" hidden="1" x14ac:dyDescent="0.25"/>
    <row r="12681" hidden="1" x14ac:dyDescent="0.25"/>
    <row r="12682" hidden="1" x14ac:dyDescent="0.25"/>
    <row r="12683" hidden="1" x14ac:dyDescent="0.25"/>
    <row r="12684" hidden="1" x14ac:dyDescent="0.25"/>
    <row r="12685" hidden="1" x14ac:dyDescent="0.25"/>
    <row r="12686" hidden="1" x14ac:dyDescent="0.25"/>
    <row r="12687" hidden="1" x14ac:dyDescent="0.25"/>
    <row r="12688" hidden="1" x14ac:dyDescent="0.25"/>
    <row r="12689" hidden="1" x14ac:dyDescent="0.25"/>
    <row r="12690" hidden="1" x14ac:dyDescent="0.25"/>
    <row r="12691" hidden="1" x14ac:dyDescent="0.25"/>
    <row r="12692" hidden="1" x14ac:dyDescent="0.25"/>
    <row r="12693" hidden="1" x14ac:dyDescent="0.25"/>
    <row r="12694" hidden="1" x14ac:dyDescent="0.25"/>
    <row r="12695" hidden="1" x14ac:dyDescent="0.25"/>
    <row r="12696" hidden="1" x14ac:dyDescent="0.25"/>
    <row r="12697" hidden="1" x14ac:dyDescent="0.25"/>
    <row r="12698" hidden="1" x14ac:dyDescent="0.25"/>
    <row r="12699" hidden="1" x14ac:dyDescent="0.25"/>
    <row r="12700" hidden="1" x14ac:dyDescent="0.25"/>
    <row r="12701" hidden="1" x14ac:dyDescent="0.25"/>
    <row r="12702" hidden="1" x14ac:dyDescent="0.25"/>
    <row r="12703" hidden="1" x14ac:dyDescent="0.25"/>
    <row r="12704" hidden="1" x14ac:dyDescent="0.25"/>
    <row r="12705" hidden="1" x14ac:dyDescent="0.25"/>
    <row r="12706" hidden="1" x14ac:dyDescent="0.25"/>
    <row r="12707" hidden="1" x14ac:dyDescent="0.25"/>
    <row r="12708" hidden="1" x14ac:dyDescent="0.25"/>
    <row r="12709" hidden="1" x14ac:dyDescent="0.25"/>
    <row r="12710" hidden="1" x14ac:dyDescent="0.25"/>
    <row r="12711" hidden="1" x14ac:dyDescent="0.25"/>
    <row r="12712" hidden="1" x14ac:dyDescent="0.25"/>
    <row r="12713" hidden="1" x14ac:dyDescent="0.25"/>
    <row r="12714" hidden="1" x14ac:dyDescent="0.25"/>
    <row r="12715" hidden="1" x14ac:dyDescent="0.25"/>
    <row r="12716" hidden="1" x14ac:dyDescent="0.25"/>
    <row r="12717" hidden="1" x14ac:dyDescent="0.25"/>
    <row r="12718" hidden="1" x14ac:dyDescent="0.25"/>
    <row r="12719" hidden="1" x14ac:dyDescent="0.25"/>
    <row r="12720" hidden="1" x14ac:dyDescent="0.25"/>
    <row r="12721" hidden="1" x14ac:dyDescent="0.25"/>
    <row r="12722" hidden="1" x14ac:dyDescent="0.25"/>
    <row r="12723" hidden="1" x14ac:dyDescent="0.25"/>
    <row r="12724" hidden="1" x14ac:dyDescent="0.25"/>
    <row r="12725" hidden="1" x14ac:dyDescent="0.25"/>
    <row r="12726" hidden="1" x14ac:dyDescent="0.25"/>
    <row r="12727" hidden="1" x14ac:dyDescent="0.25"/>
    <row r="12728" hidden="1" x14ac:dyDescent="0.25"/>
    <row r="12729" hidden="1" x14ac:dyDescent="0.25"/>
    <row r="12730" hidden="1" x14ac:dyDescent="0.25"/>
    <row r="12731" hidden="1" x14ac:dyDescent="0.25"/>
    <row r="12732" hidden="1" x14ac:dyDescent="0.25"/>
    <row r="12733" hidden="1" x14ac:dyDescent="0.25"/>
    <row r="12734" hidden="1" x14ac:dyDescent="0.25"/>
    <row r="12735" hidden="1" x14ac:dyDescent="0.25"/>
    <row r="12736" hidden="1" x14ac:dyDescent="0.25"/>
    <row r="12737" hidden="1" x14ac:dyDescent="0.25"/>
    <row r="12738" hidden="1" x14ac:dyDescent="0.25"/>
    <row r="12739" hidden="1" x14ac:dyDescent="0.25"/>
    <row r="12740" hidden="1" x14ac:dyDescent="0.25"/>
    <row r="12741" hidden="1" x14ac:dyDescent="0.25"/>
    <row r="12742" hidden="1" x14ac:dyDescent="0.25"/>
    <row r="12743" hidden="1" x14ac:dyDescent="0.25"/>
    <row r="12744" hidden="1" x14ac:dyDescent="0.25"/>
    <row r="12745" hidden="1" x14ac:dyDescent="0.25"/>
    <row r="12746" hidden="1" x14ac:dyDescent="0.25"/>
    <row r="12747" hidden="1" x14ac:dyDescent="0.25"/>
    <row r="12748" hidden="1" x14ac:dyDescent="0.25"/>
    <row r="12749" hidden="1" x14ac:dyDescent="0.25"/>
    <row r="12750" hidden="1" x14ac:dyDescent="0.25"/>
    <row r="12751" hidden="1" x14ac:dyDescent="0.25"/>
    <row r="12752" hidden="1" x14ac:dyDescent="0.25"/>
    <row r="12753" hidden="1" x14ac:dyDescent="0.25"/>
    <row r="12754" hidden="1" x14ac:dyDescent="0.25"/>
    <row r="12755" hidden="1" x14ac:dyDescent="0.25"/>
    <row r="12756" hidden="1" x14ac:dyDescent="0.25"/>
    <row r="12757" hidden="1" x14ac:dyDescent="0.25"/>
    <row r="12758" hidden="1" x14ac:dyDescent="0.25"/>
    <row r="12759" hidden="1" x14ac:dyDescent="0.25"/>
    <row r="12760" hidden="1" x14ac:dyDescent="0.25"/>
    <row r="12761" hidden="1" x14ac:dyDescent="0.25"/>
    <row r="12762" hidden="1" x14ac:dyDescent="0.25"/>
    <row r="12763" hidden="1" x14ac:dyDescent="0.25"/>
    <row r="12764" hidden="1" x14ac:dyDescent="0.25"/>
    <row r="12765" hidden="1" x14ac:dyDescent="0.25"/>
    <row r="12766" hidden="1" x14ac:dyDescent="0.25"/>
    <row r="12767" hidden="1" x14ac:dyDescent="0.25"/>
    <row r="12768" hidden="1" x14ac:dyDescent="0.25"/>
    <row r="12769" hidden="1" x14ac:dyDescent="0.25"/>
    <row r="12770" hidden="1" x14ac:dyDescent="0.25"/>
    <row r="12771" hidden="1" x14ac:dyDescent="0.25"/>
    <row r="12772" hidden="1" x14ac:dyDescent="0.25"/>
    <row r="12773" hidden="1" x14ac:dyDescent="0.25"/>
    <row r="12774" hidden="1" x14ac:dyDescent="0.25"/>
    <row r="12775" hidden="1" x14ac:dyDescent="0.25"/>
    <row r="12776" hidden="1" x14ac:dyDescent="0.25"/>
    <row r="12777" hidden="1" x14ac:dyDescent="0.25"/>
    <row r="12778" hidden="1" x14ac:dyDescent="0.25"/>
    <row r="12779" hidden="1" x14ac:dyDescent="0.25"/>
    <row r="12780" hidden="1" x14ac:dyDescent="0.25"/>
    <row r="12781" hidden="1" x14ac:dyDescent="0.25"/>
    <row r="12782" hidden="1" x14ac:dyDescent="0.25"/>
    <row r="12783" hidden="1" x14ac:dyDescent="0.25"/>
    <row r="12784" hidden="1" x14ac:dyDescent="0.25"/>
    <row r="12785" hidden="1" x14ac:dyDescent="0.25"/>
    <row r="12786" hidden="1" x14ac:dyDescent="0.25"/>
    <row r="12787" hidden="1" x14ac:dyDescent="0.25"/>
    <row r="12788" hidden="1" x14ac:dyDescent="0.25"/>
    <row r="12789" hidden="1" x14ac:dyDescent="0.25"/>
    <row r="12790" hidden="1" x14ac:dyDescent="0.25"/>
    <row r="12791" hidden="1" x14ac:dyDescent="0.25"/>
    <row r="12792" hidden="1" x14ac:dyDescent="0.25"/>
    <row r="12793" hidden="1" x14ac:dyDescent="0.25"/>
    <row r="12794" hidden="1" x14ac:dyDescent="0.25"/>
    <row r="12795" hidden="1" x14ac:dyDescent="0.25"/>
    <row r="12796" hidden="1" x14ac:dyDescent="0.25"/>
    <row r="12797" hidden="1" x14ac:dyDescent="0.25"/>
    <row r="12798" hidden="1" x14ac:dyDescent="0.25"/>
    <row r="12799" hidden="1" x14ac:dyDescent="0.25"/>
    <row r="12800" hidden="1" x14ac:dyDescent="0.25"/>
    <row r="12801" hidden="1" x14ac:dyDescent="0.25"/>
    <row r="12802" hidden="1" x14ac:dyDescent="0.25"/>
    <row r="12803" hidden="1" x14ac:dyDescent="0.25"/>
    <row r="12804" hidden="1" x14ac:dyDescent="0.25"/>
    <row r="12805" hidden="1" x14ac:dyDescent="0.25"/>
    <row r="12806" hidden="1" x14ac:dyDescent="0.25"/>
    <row r="12807" hidden="1" x14ac:dyDescent="0.25"/>
    <row r="12808" hidden="1" x14ac:dyDescent="0.25"/>
    <row r="12809" hidden="1" x14ac:dyDescent="0.25"/>
    <row r="12810" hidden="1" x14ac:dyDescent="0.25"/>
    <row r="12811" hidden="1" x14ac:dyDescent="0.25"/>
    <row r="12812" hidden="1" x14ac:dyDescent="0.25"/>
    <row r="12813" hidden="1" x14ac:dyDescent="0.25"/>
    <row r="12814" hidden="1" x14ac:dyDescent="0.25"/>
    <row r="12815" hidden="1" x14ac:dyDescent="0.25"/>
    <row r="12816" hidden="1" x14ac:dyDescent="0.25"/>
    <row r="12817" hidden="1" x14ac:dyDescent="0.25"/>
    <row r="12818" hidden="1" x14ac:dyDescent="0.25"/>
    <row r="12819" hidden="1" x14ac:dyDescent="0.25"/>
    <row r="12820" hidden="1" x14ac:dyDescent="0.25"/>
    <row r="12821" hidden="1" x14ac:dyDescent="0.25"/>
    <row r="12822" hidden="1" x14ac:dyDescent="0.25"/>
    <row r="12823" hidden="1" x14ac:dyDescent="0.25"/>
    <row r="12824" hidden="1" x14ac:dyDescent="0.25"/>
    <row r="12825" hidden="1" x14ac:dyDescent="0.25"/>
    <row r="12826" hidden="1" x14ac:dyDescent="0.25"/>
    <row r="12827" hidden="1" x14ac:dyDescent="0.25"/>
    <row r="12828" hidden="1" x14ac:dyDescent="0.25"/>
    <row r="12829" hidden="1" x14ac:dyDescent="0.25"/>
    <row r="12830" hidden="1" x14ac:dyDescent="0.25"/>
    <row r="12831" hidden="1" x14ac:dyDescent="0.25"/>
    <row r="12832" hidden="1" x14ac:dyDescent="0.25"/>
    <row r="12833" hidden="1" x14ac:dyDescent="0.25"/>
    <row r="12834" hidden="1" x14ac:dyDescent="0.25"/>
    <row r="12835" hidden="1" x14ac:dyDescent="0.25"/>
    <row r="12836" hidden="1" x14ac:dyDescent="0.25"/>
    <row r="12837" hidden="1" x14ac:dyDescent="0.25"/>
    <row r="12838" hidden="1" x14ac:dyDescent="0.25"/>
    <row r="12839" hidden="1" x14ac:dyDescent="0.25"/>
    <row r="12840" hidden="1" x14ac:dyDescent="0.25"/>
    <row r="12841" hidden="1" x14ac:dyDescent="0.25"/>
    <row r="12842" hidden="1" x14ac:dyDescent="0.25"/>
    <row r="12843" hidden="1" x14ac:dyDescent="0.25"/>
    <row r="12844" hidden="1" x14ac:dyDescent="0.25"/>
    <row r="12845" hidden="1" x14ac:dyDescent="0.25"/>
    <row r="12846" hidden="1" x14ac:dyDescent="0.25"/>
    <row r="12847" hidden="1" x14ac:dyDescent="0.25"/>
    <row r="12848" hidden="1" x14ac:dyDescent="0.25"/>
    <row r="12849" hidden="1" x14ac:dyDescent="0.25"/>
    <row r="12850" hidden="1" x14ac:dyDescent="0.25"/>
    <row r="12851" hidden="1" x14ac:dyDescent="0.25"/>
    <row r="12852" hidden="1" x14ac:dyDescent="0.25"/>
    <row r="12853" hidden="1" x14ac:dyDescent="0.25"/>
    <row r="12854" hidden="1" x14ac:dyDescent="0.25"/>
    <row r="12855" hidden="1" x14ac:dyDescent="0.25"/>
    <row r="12856" hidden="1" x14ac:dyDescent="0.25"/>
    <row r="12857" hidden="1" x14ac:dyDescent="0.25"/>
    <row r="12858" hidden="1" x14ac:dyDescent="0.25"/>
    <row r="12859" hidden="1" x14ac:dyDescent="0.25"/>
    <row r="12860" hidden="1" x14ac:dyDescent="0.25"/>
    <row r="12861" hidden="1" x14ac:dyDescent="0.25"/>
    <row r="12862" hidden="1" x14ac:dyDescent="0.25"/>
    <row r="12863" hidden="1" x14ac:dyDescent="0.25"/>
    <row r="12864" hidden="1" x14ac:dyDescent="0.25"/>
    <row r="12865" hidden="1" x14ac:dyDescent="0.25"/>
    <row r="12866" hidden="1" x14ac:dyDescent="0.25"/>
    <row r="12867" hidden="1" x14ac:dyDescent="0.25"/>
    <row r="12868" hidden="1" x14ac:dyDescent="0.25"/>
    <row r="12869" hidden="1" x14ac:dyDescent="0.25"/>
    <row r="12870" hidden="1" x14ac:dyDescent="0.25"/>
    <row r="12871" hidden="1" x14ac:dyDescent="0.25"/>
    <row r="12872" hidden="1" x14ac:dyDescent="0.25"/>
    <row r="12873" hidden="1" x14ac:dyDescent="0.25"/>
    <row r="12874" hidden="1" x14ac:dyDescent="0.25"/>
    <row r="12875" hidden="1" x14ac:dyDescent="0.25"/>
    <row r="12876" hidden="1" x14ac:dyDescent="0.25"/>
    <row r="12877" hidden="1" x14ac:dyDescent="0.25"/>
    <row r="12878" hidden="1" x14ac:dyDescent="0.25"/>
    <row r="12879" hidden="1" x14ac:dyDescent="0.25"/>
    <row r="12880" hidden="1" x14ac:dyDescent="0.25"/>
    <row r="12881" hidden="1" x14ac:dyDescent="0.25"/>
    <row r="12882" hidden="1" x14ac:dyDescent="0.25"/>
    <row r="12883" hidden="1" x14ac:dyDescent="0.25"/>
    <row r="12884" hidden="1" x14ac:dyDescent="0.25"/>
    <row r="12885" hidden="1" x14ac:dyDescent="0.25"/>
    <row r="12886" hidden="1" x14ac:dyDescent="0.25"/>
    <row r="12887" hidden="1" x14ac:dyDescent="0.25"/>
    <row r="12888" hidden="1" x14ac:dyDescent="0.25"/>
    <row r="12889" hidden="1" x14ac:dyDescent="0.25"/>
    <row r="12890" hidden="1" x14ac:dyDescent="0.25"/>
    <row r="12891" hidden="1" x14ac:dyDescent="0.25"/>
    <row r="12892" hidden="1" x14ac:dyDescent="0.25"/>
    <row r="12893" hidden="1" x14ac:dyDescent="0.25"/>
    <row r="12894" hidden="1" x14ac:dyDescent="0.25"/>
    <row r="12895" hidden="1" x14ac:dyDescent="0.25"/>
    <row r="12896" hidden="1" x14ac:dyDescent="0.25"/>
    <row r="12897" hidden="1" x14ac:dyDescent="0.25"/>
    <row r="12898" hidden="1" x14ac:dyDescent="0.25"/>
    <row r="12899" hidden="1" x14ac:dyDescent="0.25"/>
    <row r="12900" hidden="1" x14ac:dyDescent="0.25"/>
    <row r="12901" hidden="1" x14ac:dyDescent="0.25"/>
    <row r="12902" hidden="1" x14ac:dyDescent="0.25"/>
    <row r="12903" hidden="1" x14ac:dyDescent="0.25"/>
    <row r="12904" hidden="1" x14ac:dyDescent="0.25"/>
    <row r="12905" hidden="1" x14ac:dyDescent="0.25"/>
    <row r="12906" hidden="1" x14ac:dyDescent="0.25"/>
    <row r="12907" hidden="1" x14ac:dyDescent="0.25"/>
    <row r="12908" hidden="1" x14ac:dyDescent="0.25"/>
    <row r="12909" hidden="1" x14ac:dyDescent="0.25"/>
    <row r="12910" hidden="1" x14ac:dyDescent="0.25"/>
    <row r="12911" hidden="1" x14ac:dyDescent="0.25"/>
    <row r="12912" hidden="1" x14ac:dyDescent="0.25"/>
    <row r="12913" hidden="1" x14ac:dyDescent="0.25"/>
    <row r="12914" hidden="1" x14ac:dyDescent="0.25"/>
    <row r="12915" hidden="1" x14ac:dyDescent="0.25"/>
    <row r="12916" hidden="1" x14ac:dyDescent="0.25"/>
    <row r="12917" hidden="1" x14ac:dyDescent="0.25"/>
    <row r="12918" hidden="1" x14ac:dyDescent="0.25"/>
    <row r="12919" hidden="1" x14ac:dyDescent="0.25"/>
    <row r="12920" hidden="1" x14ac:dyDescent="0.25"/>
    <row r="12921" hidden="1" x14ac:dyDescent="0.25"/>
    <row r="12922" hidden="1" x14ac:dyDescent="0.25"/>
    <row r="12923" hidden="1" x14ac:dyDescent="0.25"/>
    <row r="12924" hidden="1" x14ac:dyDescent="0.25"/>
    <row r="12925" hidden="1" x14ac:dyDescent="0.25"/>
    <row r="12926" hidden="1" x14ac:dyDescent="0.25"/>
    <row r="12927" hidden="1" x14ac:dyDescent="0.25"/>
    <row r="12928" hidden="1" x14ac:dyDescent="0.25"/>
    <row r="12929" hidden="1" x14ac:dyDescent="0.25"/>
    <row r="12930" hidden="1" x14ac:dyDescent="0.25"/>
    <row r="12931" hidden="1" x14ac:dyDescent="0.25"/>
    <row r="12932" hidden="1" x14ac:dyDescent="0.25"/>
    <row r="12933" hidden="1" x14ac:dyDescent="0.25"/>
    <row r="12934" hidden="1" x14ac:dyDescent="0.25"/>
    <row r="12935" hidden="1" x14ac:dyDescent="0.25"/>
    <row r="12936" hidden="1" x14ac:dyDescent="0.25"/>
    <row r="12937" hidden="1" x14ac:dyDescent="0.25"/>
    <row r="12938" hidden="1" x14ac:dyDescent="0.25"/>
    <row r="12939" hidden="1" x14ac:dyDescent="0.25"/>
    <row r="12940" hidden="1" x14ac:dyDescent="0.25"/>
    <row r="12941" hidden="1" x14ac:dyDescent="0.25"/>
    <row r="12942" hidden="1" x14ac:dyDescent="0.25"/>
    <row r="12943" hidden="1" x14ac:dyDescent="0.25"/>
    <row r="12944" hidden="1" x14ac:dyDescent="0.25"/>
    <row r="12945" hidden="1" x14ac:dyDescent="0.25"/>
    <row r="12946" hidden="1" x14ac:dyDescent="0.25"/>
    <row r="12947" hidden="1" x14ac:dyDescent="0.25"/>
    <row r="12948" hidden="1" x14ac:dyDescent="0.25"/>
    <row r="12949" hidden="1" x14ac:dyDescent="0.25"/>
    <row r="12950" hidden="1" x14ac:dyDescent="0.25"/>
    <row r="12951" hidden="1" x14ac:dyDescent="0.25"/>
    <row r="12952" hidden="1" x14ac:dyDescent="0.25"/>
    <row r="12953" hidden="1" x14ac:dyDescent="0.25"/>
    <row r="12954" hidden="1" x14ac:dyDescent="0.25"/>
    <row r="12955" hidden="1" x14ac:dyDescent="0.25"/>
    <row r="12956" hidden="1" x14ac:dyDescent="0.25"/>
    <row r="12957" hidden="1" x14ac:dyDescent="0.25"/>
    <row r="12958" hidden="1" x14ac:dyDescent="0.25"/>
    <row r="12959" hidden="1" x14ac:dyDescent="0.25"/>
    <row r="12960" hidden="1" x14ac:dyDescent="0.25"/>
    <row r="12961" hidden="1" x14ac:dyDescent="0.25"/>
    <row r="12962" hidden="1" x14ac:dyDescent="0.25"/>
    <row r="12963" hidden="1" x14ac:dyDescent="0.25"/>
    <row r="12964" hidden="1" x14ac:dyDescent="0.25"/>
    <row r="12965" hidden="1" x14ac:dyDescent="0.25"/>
    <row r="12966" hidden="1" x14ac:dyDescent="0.25"/>
    <row r="12967" hidden="1" x14ac:dyDescent="0.25"/>
    <row r="12968" hidden="1" x14ac:dyDescent="0.25"/>
    <row r="12969" hidden="1" x14ac:dyDescent="0.25"/>
    <row r="12970" hidden="1" x14ac:dyDescent="0.25"/>
    <row r="12971" hidden="1" x14ac:dyDescent="0.25"/>
    <row r="12972" hidden="1" x14ac:dyDescent="0.25"/>
    <row r="12973" hidden="1" x14ac:dyDescent="0.25"/>
    <row r="12974" hidden="1" x14ac:dyDescent="0.25"/>
    <row r="12975" hidden="1" x14ac:dyDescent="0.25"/>
    <row r="12976" hidden="1" x14ac:dyDescent="0.25"/>
    <row r="12977" hidden="1" x14ac:dyDescent="0.25"/>
    <row r="12978" hidden="1" x14ac:dyDescent="0.25"/>
    <row r="12979" hidden="1" x14ac:dyDescent="0.25"/>
    <row r="12980" hidden="1" x14ac:dyDescent="0.25"/>
    <row r="12981" hidden="1" x14ac:dyDescent="0.25"/>
    <row r="12982" hidden="1" x14ac:dyDescent="0.25"/>
    <row r="12983" hidden="1" x14ac:dyDescent="0.25"/>
    <row r="12984" hidden="1" x14ac:dyDescent="0.25"/>
    <row r="12985" hidden="1" x14ac:dyDescent="0.25"/>
    <row r="12986" hidden="1" x14ac:dyDescent="0.25"/>
    <row r="12987" hidden="1" x14ac:dyDescent="0.25"/>
    <row r="12988" hidden="1" x14ac:dyDescent="0.25"/>
    <row r="12989" hidden="1" x14ac:dyDescent="0.25"/>
    <row r="12990" hidden="1" x14ac:dyDescent="0.25"/>
    <row r="12991" hidden="1" x14ac:dyDescent="0.25"/>
    <row r="12992" hidden="1" x14ac:dyDescent="0.25"/>
    <row r="12993" hidden="1" x14ac:dyDescent="0.25"/>
    <row r="12994" hidden="1" x14ac:dyDescent="0.25"/>
    <row r="12995" hidden="1" x14ac:dyDescent="0.25"/>
    <row r="12996" hidden="1" x14ac:dyDescent="0.25"/>
    <row r="12997" hidden="1" x14ac:dyDescent="0.25"/>
    <row r="12998" hidden="1" x14ac:dyDescent="0.25"/>
    <row r="12999" hidden="1" x14ac:dyDescent="0.25"/>
    <row r="13000" hidden="1" x14ac:dyDescent="0.25"/>
    <row r="13001" hidden="1" x14ac:dyDescent="0.25"/>
    <row r="13002" hidden="1" x14ac:dyDescent="0.25"/>
    <row r="13003" hidden="1" x14ac:dyDescent="0.25"/>
    <row r="13004" hidden="1" x14ac:dyDescent="0.25"/>
    <row r="13005" hidden="1" x14ac:dyDescent="0.25"/>
    <row r="13006" hidden="1" x14ac:dyDescent="0.25"/>
    <row r="13007" hidden="1" x14ac:dyDescent="0.25"/>
    <row r="13008" hidden="1" x14ac:dyDescent="0.25"/>
    <row r="13009" hidden="1" x14ac:dyDescent="0.25"/>
    <row r="13010" hidden="1" x14ac:dyDescent="0.25"/>
    <row r="13011" hidden="1" x14ac:dyDescent="0.25"/>
    <row r="13012" hidden="1" x14ac:dyDescent="0.25"/>
    <row r="13013" hidden="1" x14ac:dyDescent="0.25"/>
    <row r="13014" hidden="1" x14ac:dyDescent="0.25"/>
    <row r="13015" hidden="1" x14ac:dyDescent="0.25"/>
    <row r="13016" hidden="1" x14ac:dyDescent="0.25"/>
    <row r="13017" hidden="1" x14ac:dyDescent="0.25"/>
    <row r="13018" hidden="1" x14ac:dyDescent="0.25"/>
    <row r="13019" hidden="1" x14ac:dyDescent="0.25"/>
    <row r="13020" hidden="1" x14ac:dyDescent="0.25"/>
    <row r="13021" hidden="1" x14ac:dyDescent="0.25"/>
    <row r="13022" hidden="1" x14ac:dyDescent="0.25"/>
    <row r="13023" hidden="1" x14ac:dyDescent="0.25"/>
    <row r="13024" hidden="1" x14ac:dyDescent="0.25"/>
    <row r="13025" hidden="1" x14ac:dyDescent="0.25"/>
    <row r="13026" hidden="1" x14ac:dyDescent="0.25"/>
    <row r="13027" hidden="1" x14ac:dyDescent="0.25"/>
    <row r="13028" hidden="1" x14ac:dyDescent="0.25"/>
    <row r="13029" hidden="1" x14ac:dyDescent="0.25"/>
    <row r="13030" hidden="1" x14ac:dyDescent="0.25"/>
    <row r="13031" hidden="1" x14ac:dyDescent="0.25"/>
    <row r="13032" hidden="1" x14ac:dyDescent="0.25"/>
    <row r="13033" hidden="1" x14ac:dyDescent="0.25"/>
    <row r="13034" hidden="1" x14ac:dyDescent="0.25"/>
    <row r="13035" hidden="1" x14ac:dyDescent="0.25"/>
    <row r="13036" hidden="1" x14ac:dyDescent="0.25"/>
    <row r="13037" hidden="1" x14ac:dyDescent="0.25"/>
    <row r="13038" hidden="1" x14ac:dyDescent="0.25"/>
    <row r="13039" hidden="1" x14ac:dyDescent="0.25"/>
    <row r="13040" hidden="1" x14ac:dyDescent="0.25"/>
    <row r="13041" hidden="1" x14ac:dyDescent="0.25"/>
    <row r="13042" hidden="1" x14ac:dyDescent="0.25"/>
    <row r="13043" hidden="1" x14ac:dyDescent="0.25"/>
    <row r="13044" hidden="1" x14ac:dyDescent="0.25"/>
    <row r="13045" hidden="1" x14ac:dyDescent="0.25"/>
    <row r="13046" hidden="1" x14ac:dyDescent="0.25"/>
    <row r="13047" hidden="1" x14ac:dyDescent="0.25"/>
    <row r="13048" hidden="1" x14ac:dyDescent="0.25"/>
    <row r="13049" hidden="1" x14ac:dyDescent="0.25"/>
    <row r="13050" hidden="1" x14ac:dyDescent="0.25"/>
    <row r="13051" hidden="1" x14ac:dyDescent="0.25"/>
    <row r="13052" hidden="1" x14ac:dyDescent="0.25"/>
    <row r="13053" hidden="1" x14ac:dyDescent="0.25"/>
    <row r="13054" hidden="1" x14ac:dyDescent="0.25"/>
    <row r="13055" hidden="1" x14ac:dyDescent="0.25"/>
    <row r="13056" hidden="1" x14ac:dyDescent="0.25"/>
    <row r="13057" hidden="1" x14ac:dyDescent="0.25"/>
    <row r="13058" hidden="1" x14ac:dyDescent="0.25"/>
    <row r="13059" hidden="1" x14ac:dyDescent="0.25"/>
    <row r="13060" hidden="1" x14ac:dyDescent="0.25"/>
    <row r="13061" hidden="1" x14ac:dyDescent="0.25"/>
    <row r="13062" hidden="1" x14ac:dyDescent="0.25"/>
    <row r="13063" hidden="1" x14ac:dyDescent="0.25"/>
    <row r="13064" hidden="1" x14ac:dyDescent="0.25"/>
    <row r="13065" hidden="1" x14ac:dyDescent="0.25"/>
    <row r="13066" hidden="1" x14ac:dyDescent="0.25"/>
    <row r="13067" hidden="1" x14ac:dyDescent="0.25"/>
    <row r="13068" hidden="1" x14ac:dyDescent="0.25"/>
    <row r="13069" hidden="1" x14ac:dyDescent="0.25"/>
    <row r="13070" hidden="1" x14ac:dyDescent="0.25"/>
    <row r="13071" hidden="1" x14ac:dyDescent="0.25"/>
    <row r="13072" hidden="1" x14ac:dyDescent="0.25"/>
    <row r="13073" hidden="1" x14ac:dyDescent="0.25"/>
    <row r="13074" hidden="1" x14ac:dyDescent="0.25"/>
    <row r="13075" hidden="1" x14ac:dyDescent="0.25"/>
    <row r="13076" hidden="1" x14ac:dyDescent="0.25"/>
    <row r="13077" hidden="1" x14ac:dyDescent="0.25"/>
    <row r="13078" hidden="1" x14ac:dyDescent="0.25"/>
    <row r="13079" hidden="1" x14ac:dyDescent="0.25"/>
    <row r="13080" hidden="1" x14ac:dyDescent="0.25"/>
    <row r="13081" hidden="1" x14ac:dyDescent="0.25"/>
    <row r="13082" hidden="1" x14ac:dyDescent="0.25"/>
    <row r="13083" hidden="1" x14ac:dyDescent="0.25"/>
    <row r="13084" hidden="1" x14ac:dyDescent="0.25"/>
    <row r="13085" hidden="1" x14ac:dyDescent="0.25"/>
    <row r="13086" hidden="1" x14ac:dyDescent="0.25"/>
    <row r="13087" hidden="1" x14ac:dyDescent="0.25"/>
    <row r="13088" hidden="1" x14ac:dyDescent="0.25"/>
    <row r="13089" hidden="1" x14ac:dyDescent="0.25"/>
    <row r="13090" hidden="1" x14ac:dyDescent="0.25"/>
    <row r="13091" hidden="1" x14ac:dyDescent="0.25"/>
    <row r="13092" hidden="1" x14ac:dyDescent="0.25"/>
    <row r="13093" hidden="1" x14ac:dyDescent="0.25"/>
    <row r="13094" hidden="1" x14ac:dyDescent="0.25"/>
    <row r="13095" hidden="1" x14ac:dyDescent="0.25"/>
    <row r="13096" hidden="1" x14ac:dyDescent="0.25"/>
    <row r="13097" hidden="1" x14ac:dyDescent="0.25"/>
    <row r="13098" hidden="1" x14ac:dyDescent="0.25"/>
    <row r="13099" hidden="1" x14ac:dyDescent="0.25"/>
    <row r="13100" hidden="1" x14ac:dyDescent="0.25"/>
    <row r="13101" hidden="1" x14ac:dyDescent="0.25"/>
    <row r="13102" hidden="1" x14ac:dyDescent="0.25"/>
    <row r="13103" hidden="1" x14ac:dyDescent="0.25"/>
    <row r="13104" hidden="1" x14ac:dyDescent="0.25"/>
    <row r="13105" hidden="1" x14ac:dyDescent="0.25"/>
    <row r="13106" hidden="1" x14ac:dyDescent="0.25"/>
    <row r="13107" hidden="1" x14ac:dyDescent="0.25"/>
    <row r="13108" hidden="1" x14ac:dyDescent="0.25"/>
    <row r="13109" hidden="1" x14ac:dyDescent="0.25"/>
    <row r="13110" hidden="1" x14ac:dyDescent="0.25"/>
    <row r="13111" hidden="1" x14ac:dyDescent="0.25"/>
    <row r="13112" hidden="1" x14ac:dyDescent="0.25"/>
    <row r="13113" hidden="1" x14ac:dyDescent="0.25"/>
    <row r="13114" hidden="1" x14ac:dyDescent="0.25"/>
    <row r="13115" hidden="1" x14ac:dyDescent="0.25"/>
    <row r="13116" hidden="1" x14ac:dyDescent="0.25"/>
    <row r="13117" hidden="1" x14ac:dyDescent="0.25"/>
    <row r="13118" hidden="1" x14ac:dyDescent="0.25"/>
    <row r="13119" hidden="1" x14ac:dyDescent="0.25"/>
    <row r="13120" hidden="1" x14ac:dyDescent="0.25"/>
    <row r="13121" hidden="1" x14ac:dyDescent="0.25"/>
    <row r="13122" hidden="1" x14ac:dyDescent="0.25"/>
    <row r="13123" hidden="1" x14ac:dyDescent="0.25"/>
    <row r="13124" hidden="1" x14ac:dyDescent="0.25"/>
    <row r="13125" hidden="1" x14ac:dyDescent="0.25"/>
    <row r="13126" hidden="1" x14ac:dyDescent="0.25"/>
    <row r="13127" hidden="1" x14ac:dyDescent="0.25"/>
    <row r="13128" hidden="1" x14ac:dyDescent="0.25"/>
    <row r="13129" hidden="1" x14ac:dyDescent="0.25"/>
    <row r="13130" hidden="1" x14ac:dyDescent="0.25"/>
    <row r="13131" hidden="1" x14ac:dyDescent="0.25"/>
    <row r="13132" hidden="1" x14ac:dyDescent="0.25"/>
    <row r="13133" hidden="1" x14ac:dyDescent="0.25"/>
    <row r="13134" hidden="1" x14ac:dyDescent="0.25"/>
    <row r="13135" hidden="1" x14ac:dyDescent="0.25"/>
    <row r="13136" hidden="1" x14ac:dyDescent="0.25"/>
    <row r="13137" hidden="1" x14ac:dyDescent="0.25"/>
    <row r="13138" hidden="1" x14ac:dyDescent="0.25"/>
    <row r="13139" hidden="1" x14ac:dyDescent="0.25"/>
    <row r="13140" hidden="1" x14ac:dyDescent="0.25"/>
    <row r="13141" hidden="1" x14ac:dyDescent="0.25"/>
    <row r="13142" hidden="1" x14ac:dyDescent="0.25"/>
    <row r="13143" hidden="1" x14ac:dyDescent="0.25"/>
    <row r="13144" hidden="1" x14ac:dyDescent="0.25"/>
    <row r="13145" hidden="1" x14ac:dyDescent="0.25"/>
    <row r="13146" hidden="1" x14ac:dyDescent="0.25"/>
    <row r="13147" hidden="1" x14ac:dyDescent="0.25"/>
    <row r="13148" hidden="1" x14ac:dyDescent="0.25"/>
    <row r="13149" hidden="1" x14ac:dyDescent="0.25"/>
    <row r="13150" hidden="1" x14ac:dyDescent="0.25"/>
    <row r="13151" hidden="1" x14ac:dyDescent="0.25"/>
    <row r="13152" hidden="1" x14ac:dyDescent="0.25"/>
    <row r="13153" hidden="1" x14ac:dyDescent="0.25"/>
    <row r="13154" hidden="1" x14ac:dyDescent="0.25"/>
    <row r="13155" hidden="1" x14ac:dyDescent="0.25"/>
    <row r="13156" hidden="1" x14ac:dyDescent="0.25"/>
    <row r="13157" hidden="1" x14ac:dyDescent="0.25"/>
    <row r="13158" hidden="1" x14ac:dyDescent="0.25"/>
    <row r="13159" hidden="1" x14ac:dyDescent="0.25"/>
    <row r="13160" hidden="1" x14ac:dyDescent="0.25"/>
    <row r="13161" hidden="1" x14ac:dyDescent="0.25"/>
    <row r="13162" hidden="1" x14ac:dyDescent="0.25"/>
    <row r="13163" hidden="1" x14ac:dyDescent="0.25"/>
    <row r="13164" hidden="1" x14ac:dyDescent="0.25"/>
    <row r="13165" hidden="1" x14ac:dyDescent="0.25"/>
    <row r="13166" hidden="1" x14ac:dyDescent="0.25"/>
    <row r="13167" hidden="1" x14ac:dyDescent="0.25"/>
    <row r="13168" hidden="1" x14ac:dyDescent="0.25"/>
    <row r="13169" hidden="1" x14ac:dyDescent="0.25"/>
    <row r="13170" hidden="1" x14ac:dyDescent="0.25"/>
    <row r="13171" hidden="1" x14ac:dyDescent="0.25"/>
    <row r="13172" hidden="1" x14ac:dyDescent="0.25"/>
    <row r="13173" hidden="1" x14ac:dyDescent="0.25"/>
    <row r="13174" hidden="1" x14ac:dyDescent="0.25"/>
    <row r="13175" hidden="1" x14ac:dyDescent="0.25"/>
    <row r="13176" hidden="1" x14ac:dyDescent="0.25"/>
    <row r="13177" hidden="1" x14ac:dyDescent="0.25"/>
    <row r="13178" hidden="1" x14ac:dyDescent="0.25"/>
    <row r="13179" hidden="1" x14ac:dyDescent="0.25"/>
    <row r="13180" hidden="1" x14ac:dyDescent="0.25"/>
    <row r="13181" hidden="1" x14ac:dyDescent="0.25"/>
    <row r="13182" hidden="1" x14ac:dyDescent="0.25"/>
    <row r="13183" hidden="1" x14ac:dyDescent="0.25"/>
    <row r="13184" hidden="1" x14ac:dyDescent="0.25"/>
    <row r="13185" hidden="1" x14ac:dyDescent="0.25"/>
    <row r="13186" hidden="1" x14ac:dyDescent="0.25"/>
    <row r="13187" hidden="1" x14ac:dyDescent="0.25"/>
    <row r="13188" hidden="1" x14ac:dyDescent="0.25"/>
    <row r="13189" hidden="1" x14ac:dyDescent="0.25"/>
    <row r="13190" hidden="1" x14ac:dyDescent="0.25"/>
    <row r="13191" hidden="1" x14ac:dyDescent="0.25"/>
    <row r="13192" hidden="1" x14ac:dyDescent="0.25"/>
    <row r="13193" hidden="1" x14ac:dyDescent="0.25"/>
    <row r="13194" hidden="1" x14ac:dyDescent="0.25"/>
    <row r="13195" hidden="1" x14ac:dyDescent="0.25"/>
    <row r="13196" hidden="1" x14ac:dyDescent="0.25"/>
    <row r="13197" hidden="1" x14ac:dyDescent="0.25"/>
    <row r="13198" hidden="1" x14ac:dyDescent="0.25"/>
    <row r="13199" hidden="1" x14ac:dyDescent="0.25"/>
    <row r="13200" hidden="1" x14ac:dyDescent="0.25"/>
    <row r="13201" hidden="1" x14ac:dyDescent="0.25"/>
    <row r="13202" hidden="1" x14ac:dyDescent="0.25"/>
    <row r="13203" hidden="1" x14ac:dyDescent="0.25"/>
    <row r="13204" hidden="1" x14ac:dyDescent="0.25"/>
    <row r="13205" hidden="1" x14ac:dyDescent="0.25"/>
    <row r="13206" hidden="1" x14ac:dyDescent="0.25"/>
    <row r="13207" hidden="1" x14ac:dyDescent="0.25"/>
    <row r="13208" hidden="1" x14ac:dyDescent="0.25"/>
    <row r="13209" hidden="1" x14ac:dyDescent="0.25"/>
    <row r="13210" hidden="1" x14ac:dyDescent="0.25"/>
    <row r="13211" hidden="1" x14ac:dyDescent="0.25"/>
    <row r="13212" hidden="1" x14ac:dyDescent="0.25"/>
    <row r="13213" hidden="1" x14ac:dyDescent="0.25"/>
    <row r="13214" hidden="1" x14ac:dyDescent="0.25"/>
    <row r="13215" hidden="1" x14ac:dyDescent="0.25"/>
    <row r="13216" hidden="1" x14ac:dyDescent="0.25"/>
    <row r="13217" hidden="1" x14ac:dyDescent="0.25"/>
    <row r="13218" hidden="1" x14ac:dyDescent="0.25"/>
    <row r="13219" hidden="1" x14ac:dyDescent="0.25"/>
    <row r="13220" hidden="1" x14ac:dyDescent="0.25"/>
    <row r="13221" hidden="1" x14ac:dyDescent="0.25"/>
    <row r="13222" hidden="1" x14ac:dyDescent="0.25"/>
    <row r="13223" hidden="1" x14ac:dyDescent="0.25"/>
    <row r="13224" hidden="1" x14ac:dyDescent="0.25"/>
    <row r="13225" hidden="1" x14ac:dyDescent="0.25"/>
    <row r="13226" hidden="1" x14ac:dyDescent="0.25"/>
    <row r="13227" hidden="1" x14ac:dyDescent="0.25"/>
    <row r="13228" hidden="1" x14ac:dyDescent="0.25"/>
    <row r="13229" hidden="1" x14ac:dyDescent="0.25"/>
    <row r="13230" hidden="1" x14ac:dyDescent="0.25"/>
    <row r="13231" hidden="1" x14ac:dyDescent="0.25"/>
    <row r="13232" hidden="1" x14ac:dyDescent="0.25"/>
    <row r="13233" hidden="1" x14ac:dyDescent="0.25"/>
    <row r="13234" hidden="1" x14ac:dyDescent="0.25"/>
    <row r="13235" hidden="1" x14ac:dyDescent="0.25"/>
    <row r="13236" hidden="1" x14ac:dyDescent="0.25"/>
    <row r="13237" hidden="1" x14ac:dyDescent="0.25"/>
    <row r="13238" hidden="1" x14ac:dyDescent="0.25"/>
    <row r="13239" hidden="1" x14ac:dyDescent="0.25"/>
    <row r="13240" hidden="1" x14ac:dyDescent="0.25"/>
    <row r="13241" hidden="1" x14ac:dyDescent="0.25"/>
    <row r="13242" hidden="1" x14ac:dyDescent="0.25"/>
    <row r="13243" hidden="1" x14ac:dyDescent="0.25"/>
    <row r="13244" hidden="1" x14ac:dyDescent="0.25"/>
    <row r="13245" hidden="1" x14ac:dyDescent="0.25"/>
    <row r="13246" hidden="1" x14ac:dyDescent="0.25"/>
    <row r="13247" hidden="1" x14ac:dyDescent="0.25"/>
    <row r="13248" hidden="1" x14ac:dyDescent="0.25"/>
    <row r="13249" hidden="1" x14ac:dyDescent="0.25"/>
    <row r="13250" hidden="1" x14ac:dyDescent="0.25"/>
    <row r="13251" hidden="1" x14ac:dyDescent="0.25"/>
    <row r="13252" hidden="1" x14ac:dyDescent="0.25"/>
    <row r="13253" hidden="1" x14ac:dyDescent="0.25"/>
    <row r="13254" hidden="1" x14ac:dyDescent="0.25"/>
    <row r="13255" hidden="1" x14ac:dyDescent="0.25"/>
    <row r="13256" hidden="1" x14ac:dyDescent="0.25"/>
    <row r="13257" hidden="1" x14ac:dyDescent="0.25"/>
    <row r="13258" hidden="1" x14ac:dyDescent="0.25"/>
    <row r="13259" hidden="1" x14ac:dyDescent="0.25"/>
    <row r="13260" hidden="1" x14ac:dyDescent="0.25"/>
    <row r="13261" hidden="1" x14ac:dyDescent="0.25"/>
    <row r="13262" hidden="1" x14ac:dyDescent="0.25"/>
    <row r="13263" hidden="1" x14ac:dyDescent="0.25"/>
    <row r="13264" hidden="1" x14ac:dyDescent="0.25"/>
    <row r="13265" hidden="1" x14ac:dyDescent="0.25"/>
    <row r="13266" hidden="1" x14ac:dyDescent="0.25"/>
    <row r="13267" hidden="1" x14ac:dyDescent="0.25"/>
    <row r="13268" hidden="1" x14ac:dyDescent="0.25"/>
    <row r="13269" hidden="1" x14ac:dyDescent="0.25"/>
    <row r="13270" hidden="1" x14ac:dyDescent="0.25"/>
    <row r="13271" hidden="1" x14ac:dyDescent="0.25"/>
    <row r="13272" hidden="1" x14ac:dyDescent="0.25"/>
    <row r="13273" hidden="1" x14ac:dyDescent="0.25"/>
    <row r="13274" hidden="1" x14ac:dyDescent="0.25"/>
    <row r="13275" hidden="1" x14ac:dyDescent="0.25"/>
    <row r="13276" hidden="1" x14ac:dyDescent="0.25"/>
    <row r="13277" hidden="1" x14ac:dyDescent="0.25"/>
    <row r="13278" hidden="1" x14ac:dyDescent="0.25"/>
    <row r="13279" hidden="1" x14ac:dyDescent="0.25"/>
    <row r="13280" hidden="1" x14ac:dyDescent="0.25"/>
    <row r="13281" hidden="1" x14ac:dyDescent="0.25"/>
    <row r="13282" hidden="1" x14ac:dyDescent="0.25"/>
    <row r="13283" hidden="1" x14ac:dyDescent="0.25"/>
    <row r="13284" hidden="1" x14ac:dyDescent="0.25"/>
    <row r="13285" hidden="1" x14ac:dyDescent="0.25"/>
    <row r="13286" hidden="1" x14ac:dyDescent="0.25"/>
    <row r="13287" hidden="1" x14ac:dyDescent="0.25"/>
    <row r="13288" hidden="1" x14ac:dyDescent="0.25"/>
    <row r="13289" hidden="1" x14ac:dyDescent="0.25"/>
    <row r="13290" hidden="1" x14ac:dyDescent="0.25"/>
    <row r="13291" hidden="1" x14ac:dyDescent="0.25"/>
    <row r="13292" hidden="1" x14ac:dyDescent="0.25"/>
    <row r="13293" hidden="1" x14ac:dyDescent="0.25"/>
    <row r="13294" hidden="1" x14ac:dyDescent="0.25"/>
    <row r="13295" hidden="1" x14ac:dyDescent="0.25"/>
    <row r="13296" hidden="1" x14ac:dyDescent="0.25"/>
    <row r="13297" hidden="1" x14ac:dyDescent="0.25"/>
    <row r="13298" hidden="1" x14ac:dyDescent="0.25"/>
    <row r="13299" hidden="1" x14ac:dyDescent="0.25"/>
    <row r="13300" hidden="1" x14ac:dyDescent="0.25"/>
    <row r="13301" hidden="1" x14ac:dyDescent="0.25"/>
    <row r="13302" hidden="1" x14ac:dyDescent="0.25"/>
    <row r="13303" hidden="1" x14ac:dyDescent="0.25"/>
    <row r="13304" hidden="1" x14ac:dyDescent="0.25"/>
    <row r="13305" hidden="1" x14ac:dyDescent="0.25"/>
    <row r="13306" hidden="1" x14ac:dyDescent="0.25"/>
    <row r="13307" hidden="1" x14ac:dyDescent="0.25"/>
    <row r="13308" hidden="1" x14ac:dyDescent="0.25"/>
    <row r="13309" hidden="1" x14ac:dyDescent="0.25"/>
    <row r="13310" hidden="1" x14ac:dyDescent="0.25"/>
    <row r="13311" hidden="1" x14ac:dyDescent="0.25"/>
    <row r="13312" hidden="1" x14ac:dyDescent="0.25"/>
    <row r="13313" hidden="1" x14ac:dyDescent="0.25"/>
    <row r="13314" hidden="1" x14ac:dyDescent="0.25"/>
    <row r="13315" hidden="1" x14ac:dyDescent="0.25"/>
    <row r="13316" hidden="1" x14ac:dyDescent="0.25"/>
    <row r="13317" hidden="1" x14ac:dyDescent="0.25"/>
    <row r="13318" hidden="1" x14ac:dyDescent="0.25"/>
    <row r="13319" hidden="1" x14ac:dyDescent="0.25"/>
    <row r="13320" hidden="1" x14ac:dyDescent="0.25"/>
    <row r="13321" hidden="1" x14ac:dyDescent="0.25"/>
    <row r="13322" hidden="1" x14ac:dyDescent="0.25"/>
    <row r="13323" hidden="1" x14ac:dyDescent="0.25"/>
    <row r="13324" hidden="1" x14ac:dyDescent="0.25"/>
    <row r="13325" hidden="1" x14ac:dyDescent="0.25"/>
    <row r="13326" hidden="1" x14ac:dyDescent="0.25"/>
    <row r="13327" hidden="1" x14ac:dyDescent="0.25"/>
    <row r="13328" hidden="1" x14ac:dyDescent="0.25"/>
    <row r="13329" hidden="1" x14ac:dyDescent="0.25"/>
    <row r="13330" hidden="1" x14ac:dyDescent="0.25"/>
    <row r="13331" hidden="1" x14ac:dyDescent="0.25"/>
    <row r="13332" hidden="1" x14ac:dyDescent="0.25"/>
    <row r="13333" hidden="1" x14ac:dyDescent="0.25"/>
    <row r="13334" hidden="1" x14ac:dyDescent="0.25"/>
    <row r="13335" hidden="1" x14ac:dyDescent="0.25"/>
    <row r="13336" hidden="1" x14ac:dyDescent="0.25"/>
    <row r="13337" hidden="1" x14ac:dyDescent="0.25"/>
    <row r="13338" hidden="1" x14ac:dyDescent="0.25"/>
    <row r="13339" hidden="1" x14ac:dyDescent="0.25"/>
    <row r="13340" hidden="1" x14ac:dyDescent="0.25"/>
    <row r="13341" hidden="1" x14ac:dyDescent="0.25"/>
    <row r="13342" hidden="1" x14ac:dyDescent="0.25"/>
    <row r="13343" hidden="1" x14ac:dyDescent="0.25"/>
    <row r="13344" hidden="1" x14ac:dyDescent="0.25"/>
    <row r="13345" hidden="1" x14ac:dyDescent="0.25"/>
    <row r="13346" hidden="1" x14ac:dyDescent="0.25"/>
    <row r="13347" hidden="1" x14ac:dyDescent="0.25"/>
    <row r="13348" hidden="1" x14ac:dyDescent="0.25"/>
    <row r="13349" hidden="1" x14ac:dyDescent="0.25"/>
    <row r="13350" hidden="1" x14ac:dyDescent="0.25"/>
    <row r="13351" hidden="1" x14ac:dyDescent="0.25"/>
    <row r="13352" hidden="1" x14ac:dyDescent="0.25"/>
    <row r="13353" hidden="1" x14ac:dyDescent="0.25"/>
    <row r="13354" hidden="1" x14ac:dyDescent="0.25"/>
    <row r="13355" hidden="1" x14ac:dyDescent="0.25"/>
    <row r="13356" hidden="1" x14ac:dyDescent="0.25"/>
    <row r="13357" hidden="1" x14ac:dyDescent="0.25"/>
    <row r="13358" hidden="1" x14ac:dyDescent="0.25"/>
    <row r="13359" hidden="1" x14ac:dyDescent="0.25"/>
    <row r="13360" hidden="1" x14ac:dyDescent="0.25"/>
    <row r="13361" hidden="1" x14ac:dyDescent="0.25"/>
    <row r="13362" hidden="1" x14ac:dyDescent="0.25"/>
    <row r="13363" hidden="1" x14ac:dyDescent="0.25"/>
    <row r="13364" hidden="1" x14ac:dyDescent="0.25"/>
    <row r="13365" hidden="1" x14ac:dyDescent="0.25"/>
    <row r="13366" hidden="1" x14ac:dyDescent="0.25"/>
    <row r="13367" hidden="1" x14ac:dyDescent="0.25"/>
    <row r="13368" hidden="1" x14ac:dyDescent="0.25"/>
    <row r="13369" hidden="1" x14ac:dyDescent="0.25"/>
    <row r="13370" hidden="1" x14ac:dyDescent="0.25"/>
    <row r="13371" hidden="1" x14ac:dyDescent="0.25"/>
    <row r="13372" hidden="1" x14ac:dyDescent="0.25"/>
    <row r="13373" hidden="1" x14ac:dyDescent="0.25"/>
    <row r="13374" hidden="1" x14ac:dyDescent="0.25"/>
    <row r="13375" hidden="1" x14ac:dyDescent="0.25"/>
    <row r="13376" hidden="1" x14ac:dyDescent="0.25"/>
    <row r="13377" hidden="1" x14ac:dyDescent="0.25"/>
    <row r="13378" hidden="1" x14ac:dyDescent="0.25"/>
    <row r="13379" hidden="1" x14ac:dyDescent="0.25"/>
    <row r="13380" hidden="1" x14ac:dyDescent="0.25"/>
    <row r="13381" hidden="1" x14ac:dyDescent="0.25"/>
    <row r="13382" hidden="1" x14ac:dyDescent="0.25"/>
    <row r="13383" hidden="1" x14ac:dyDescent="0.25"/>
    <row r="13384" hidden="1" x14ac:dyDescent="0.25"/>
    <row r="13385" hidden="1" x14ac:dyDescent="0.25"/>
    <row r="13386" hidden="1" x14ac:dyDescent="0.25"/>
    <row r="13387" hidden="1" x14ac:dyDescent="0.25"/>
    <row r="13388" hidden="1" x14ac:dyDescent="0.25"/>
    <row r="13389" hidden="1" x14ac:dyDescent="0.25"/>
    <row r="13390" hidden="1" x14ac:dyDescent="0.25"/>
    <row r="13391" hidden="1" x14ac:dyDescent="0.25"/>
    <row r="13392" hidden="1" x14ac:dyDescent="0.25"/>
    <row r="13393" hidden="1" x14ac:dyDescent="0.25"/>
    <row r="13394" hidden="1" x14ac:dyDescent="0.25"/>
    <row r="13395" hidden="1" x14ac:dyDescent="0.25"/>
    <row r="13396" hidden="1" x14ac:dyDescent="0.25"/>
    <row r="13397" hidden="1" x14ac:dyDescent="0.25"/>
    <row r="13398" hidden="1" x14ac:dyDescent="0.25"/>
    <row r="13399" hidden="1" x14ac:dyDescent="0.25"/>
    <row r="13400" hidden="1" x14ac:dyDescent="0.25"/>
    <row r="13401" hidden="1" x14ac:dyDescent="0.25"/>
    <row r="13402" hidden="1" x14ac:dyDescent="0.25"/>
    <row r="13403" hidden="1" x14ac:dyDescent="0.25"/>
    <row r="13404" hidden="1" x14ac:dyDescent="0.25"/>
    <row r="13405" hidden="1" x14ac:dyDescent="0.25"/>
    <row r="13406" hidden="1" x14ac:dyDescent="0.25"/>
    <row r="13407" hidden="1" x14ac:dyDescent="0.25"/>
    <row r="13408" hidden="1" x14ac:dyDescent="0.25"/>
    <row r="13409" hidden="1" x14ac:dyDescent="0.25"/>
    <row r="13410" hidden="1" x14ac:dyDescent="0.25"/>
    <row r="13411" hidden="1" x14ac:dyDescent="0.25"/>
    <row r="13412" hidden="1" x14ac:dyDescent="0.25"/>
    <row r="13413" hidden="1" x14ac:dyDescent="0.25"/>
    <row r="13414" hidden="1" x14ac:dyDescent="0.25"/>
    <row r="13415" hidden="1" x14ac:dyDescent="0.25"/>
    <row r="13416" hidden="1" x14ac:dyDescent="0.25"/>
    <row r="13417" hidden="1" x14ac:dyDescent="0.25"/>
    <row r="13418" hidden="1" x14ac:dyDescent="0.25"/>
    <row r="13419" hidden="1" x14ac:dyDescent="0.25"/>
    <row r="13420" hidden="1" x14ac:dyDescent="0.25"/>
    <row r="13421" hidden="1" x14ac:dyDescent="0.25"/>
    <row r="13422" hidden="1" x14ac:dyDescent="0.25"/>
    <row r="13423" hidden="1" x14ac:dyDescent="0.25"/>
    <row r="13424" hidden="1" x14ac:dyDescent="0.25"/>
    <row r="13425" hidden="1" x14ac:dyDescent="0.25"/>
    <row r="13426" hidden="1" x14ac:dyDescent="0.25"/>
    <row r="13427" hidden="1" x14ac:dyDescent="0.25"/>
    <row r="13428" hidden="1" x14ac:dyDescent="0.25"/>
    <row r="13429" hidden="1" x14ac:dyDescent="0.25"/>
    <row r="13430" hidden="1" x14ac:dyDescent="0.25"/>
    <row r="13431" hidden="1" x14ac:dyDescent="0.25"/>
    <row r="13432" hidden="1" x14ac:dyDescent="0.25"/>
    <row r="13433" hidden="1" x14ac:dyDescent="0.25"/>
    <row r="13434" hidden="1" x14ac:dyDescent="0.25"/>
    <row r="13435" hidden="1" x14ac:dyDescent="0.25"/>
    <row r="13436" hidden="1" x14ac:dyDescent="0.25"/>
    <row r="13437" hidden="1" x14ac:dyDescent="0.25"/>
    <row r="13438" hidden="1" x14ac:dyDescent="0.25"/>
    <row r="13439" hidden="1" x14ac:dyDescent="0.25"/>
    <row r="13440" hidden="1" x14ac:dyDescent="0.25"/>
    <row r="13441" hidden="1" x14ac:dyDescent="0.25"/>
    <row r="13442" hidden="1" x14ac:dyDescent="0.25"/>
    <row r="13443" hidden="1" x14ac:dyDescent="0.25"/>
    <row r="13444" hidden="1" x14ac:dyDescent="0.25"/>
    <row r="13445" hidden="1" x14ac:dyDescent="0.25"/>
    <row r="13446" hidden="1" x14ac:dyDescent="0.25"/>
    <row r="13447" hidden="1" x14ac:dyDescent="0.25"/>
    <row r="13448" hidden="1" x14ac:dyDescent="0.25"/>
    <row r="13449" hidden="1" x14ac:dyDescent="0.25"/>
    <row r="13450" hidden="1" x14ac:dyDescent="0.25"/>
    <row r="13451" hidden="1" x14ac:dyDescent="0.25"/>
    <row r="13452" hidden="1" x14ac:dyDescent="0.25"/>
    <row r="13453" hidden="1" x14ac:dyDescent="0.25"/>
    <row r="13454" hidden="1" x14ac:dyDescent="0.25"/>
    <row r="13455" hidden="1" x14ac:dyDescent="0.25"/>
    <row r="13456" hidden="1" x14ac:dyDescent="0.25"/>
    <row r="13457" hidden="1" x14ac:dyDescent="0.25"/>
    <row r="13458" hidden="1" x14ac:dyDescent="0.25"/>
    <row r="13459" hidden="1" x14ac:dyDescent="0.25"/>
    <row r="13460" hidden="1" x14ac:dyDescent="0.25"/>
    <row r="13461" hidden="1" x14ac:dyDescent="0.25"/>
    <row r="13462" hidden="1" x14ac:dyDescent="0.25"/>
    <row r="13463" hidden="1" x14ac:dyDescent="0.25"/>
    <row r="13464" hidden="1" x14ac:dyDescent="0.25"/>
    <row r="13465" hidden="1" x14ac:dyDescent="0.25"/>
    <row r="13466" hidden="1" x14ac:dyDescent="0.25"/>
    <row r="13467" hidden="1" x14ac:dyDescent="0.25"/>
    <row r="13468" hidden="1" x14ac:dyDescent="0.25"/>
    <row r="13469" hidden="1" x14ac:dyDescent="0.25"/>
    <row r="13470" hidden="1" x14ac:dyDescent="0.25"/>
    <row r="13471" hidden="1" x14ac:dyDescent="0.25"/>
    <row r="13472" hidden="1" x14ac:dyDescent="0.25"/>
    <row r="13473" hidden="1" x14ac:dyDescent="0.25"/>
    <row r="13474" hidden="1" x14ac:dyDescent="0.25"/>
    <row r="13475" hidden="1" x14ac:dyDescent="0.25"/>
    <row r="13476" hidden="1" x14ac:dyDescent="0.25"/>
    <row r="13477" hidden="1" x14ac:dyDescent="0.25"/>
    <row r="13478" hidden="1" x14ac:dyDescent="0.25"/>
    <row r="13479" hidden="1" x14ac:dyDescent="0.25"/>
    <row r="13480" hidden="1" x14ac:dyDescent="0.25"/>
    <row r="13481" hidden="1" x14ac:dyDescent="0.25"/>
    <row r="13482" hidden="1" x14ac:dyDescent="0.25"/>
    <row r="13483" hidden="1" x14ac:dyDescent="0.25"/>
    <row r="13484" hidden="1" x14ac:dyDescent="0.25"/>
    <row r="13485" hidden="1" x14ac:dyDescent="0.25"/>
    <row r="13486" hidden="1" x14ac:dyDescent="0.25"/>
    <row r="13487" hidden="1" x14ac:dyDescent="0.25"/>
    <row r="13488" hidden="1" x14ac:dyDescent="0.25"/>
    <row r="13489" hidden="1" x14ac:dyDescent="0.25"/>
    <row r="13490" hidden="1" x14ac:dyDescent="0.25"/>
    <row r="13491" hidden="1" x14ac:dyDescent="0.25"/>
    <row r="13492" hidden="1" x14ac:dyDescent="0.25"/>
    <row r="13493" hidden="1" x14ac:dyDescent="0.25"/>
    <row r="13494" hidden="1" x14ac:dyDescent="0.25"/>
    <row r="13495" hidden="1" x14ac:dyDescent="0.25"/>
    <row r="13496" hidden="1" x14ac:dyDescent="0.25"/>
    <row r="13497" hidden="1" x14ac:dyDescent="0.25"/>
    <row r="13498" hidden="1" x14ac:dyDescent="0.25"/>
    <row r="13499" hidden="1" x14ac:dyDescent="0.25"/>
    <row r="13500" hidden="1" x14ac:dyDescent="0.25"/>
    <row r="13501" hidden="1" x14ac:dyDescent="0.25"/>
    <row r="13502" hidden="1" x14ac:dyDescent="0.25"/>
    <row r="13503" hidden="1" x14ac:dyDescent="0.25"/>
    <row r="13504" hidden="1" x14ac:dyDescent="0.25"/>
    <row r="13505" hidden="1" x14ac:dyDescent="0.25"/>
    <row r="13506" hidden="1" x14ac:dyDescent="0.25"/>
    <row r="13507" hidden="1" x14ac:dyDescent="0.25"/>
    <row r="13508" hidden="1" x14ac:dyDescent="0.25"/>
    <row r="13509" hidden="1" x14ac:dyDescent="0.25"/>
    <row r="13510" hidden="1" x14ac:dyDescent="0.25"/>
    <row r="13511" hidden="1" x14ac:dyDescent="0.25"/>
    <row r="13512" hidden="1" x14ac:dyDescent="0.25"/>
    <row r="13513" hidden="1" x14ac:dyDescent="0.25"/>
    <row r="13514" hidden="1" x14ac:dyDescent="0.25"/>
    <row r="13515" hidden="1" x14ac:dyDescent="0.25"/>
    <row r="13516" hidden="1" x14ac:dyDescent="0.25"/>
    <row r="13517" hidden="1" x14ac:dyDescent="0.25"/>
    <row r="13518" hidden="1" x14ac:dyDescent="0.25"/>
    <row r="13519" hidden="1" x14ac:dyDescent="0.25"/>
    <row r="13520" hidden="1" x14ac:dyDescent="0.25"/>
    <row r="13521" hidden="1" x14ac:dyDescent="0.25"/>
    <row r="13522" hidden="1" x14ac:dyDescent="0.25"/>
    <row r="13523" hidden="1" x14ac:dyDescent="0.25"/>
    <row r="13524" hidden="1" x14ac:dyDescent="0.25"/>
    <row r="13525" hidden="1" x14ac:dyDescent="0.25"/>
    <row r="13526" hidden="1" x14ac:dyDescent="0.25"/>
    <row r="13527" hidden="1" x14ac:dyDescent="0.25"/>
    <row r="13528" hidden="1" x14ac:dyDescent="0.25"/>
    <row r="13529" hidden="1" x14ac:dyDescent="0.25"/>
    <row r="13530" hidden="1" x14ac:dyDescent="0.25"/>
    <row r="13531" hidden="1" x14ac:dyDescent="0.25"/>
    <row r="13532" hidden="1" x14ac:dyDescent="0.25"/>
    <row r="13533" hidden="1" x14ac:dyDescent="0.25"/>
    <row r="13534" hidden="1" x14ac:dyDescent="0.25"/>
    <row r="13535" hidden="1" x14ac:dyDescent="0.25"/>
    <row r="13536" hidden="1" x14ac:dyDescent="0.25"/>
    <row r="13537" hidden="1" x14ac:dyDescent="0.25"/>
    <row r="13538" hidden="1" x14ac:dyDescent="0.25"/>
    <row r="13539" hidden="1" x14ac:dyDescent="0.25"/>
    <row r="13540" hidden="1" x14ac:dyDescent="0.25"/>
    <row r="13541" hidden="1" x14ac:dyDescent="0.25"/>
    <row r="13542" hidden="1" x14ac:dyDescent="0.25"/>
    <row r="13543" hidden="1" x14ac:dyDescent="0.25"/>
    <row r="13544" hidden="1" x14ac:dyDescent="0.25"/>
    <row r="13545" hidden="1" x14ac:dyDescent="0.25"/>
    <row r="13546" hidden="1" x14ac:dyDescent="0.25"/>
    <row r="13547" hidden="1" x14ac:dyDescent="0.25"/>
    <row r="13548" hidden="1" x14ac:dyDescent="0.25"/>
    <row r="13549" hidden="1" x14ac:dyDescent="0.25"/>
    <row r="13550" hidden="1" x14ac:dyDescent="0.25"/>
    <row r="13551" hidden="1" x14ac:dyDescent="0.25"/>
    <row r="13552" hidden="1" x14ac:dyDescent="0.25"/>
    <row r="13553" hidden="1" x14ac:dyDescent="0.25"/>
    <row r="13554" hidden="1" x14ac:dyDescent="0.25"/>
    <row r="13555" hidden="1" x14ac:dyDescent="0.25"/>
    <row r="13556" hidden="1" x14ac:dyDescent="0.25"/>
    <row r="13557" hidden="1" x14ac:dyDescent="0.25"/>
    <row r="13558" hidden="1" x14ac:dyDescent="0.25"/>
    <row r="13559" hidden="1" x14ac:dyDescent="0.25"/>
    <row r="13560" hidden="1" x14ac:dyDescent="0.25"/>
    <row r="13561" hidden="1" x14ac:dyDescent="0.25"/>
    <row r="13562" hidden="1" x14ac:dyDescent="0.25"/>
    <row r="13563" hidden="1" x14ac:dyDescent="0.25"/>
    <row r="13564" hidden="1" x14ac:dyDescent="0.25"/>
    <row r="13565" hidden="1" x14ac:dyDescent="0.25"/>
    <row r="13566" hidden="1" x14ac:dyDescent="0.25"/>
    <row r="13567" hidden="1" x14ac:dyDescent="0.25"/>
    <row r="13568" hidden="1" x14ac:dyDescent="0.25"/>
    <row r="13569" hidden="1" x14ac:dyDescent="0.25"/>
    <row r="13570" hidden="1" x14ac:dyDescent="0.25"/>
    <row r="13571" hidden="1" x14ac:dyDescent="0.25"/>
    <row r="13572" hidden="1" x14ac:dyDescent="0.25"/>
    <row r="13573" hidden="1" x14ac:dyDescent="0.25"/>
    <row r="13574" hidden="1" x14ac:dyDescent="0.25"/>
    <row r="13575" hidden="1" x14ac:dyDescent="0.25"/>
    <row r="13576" hidden="1" x14ac:dyDescent="0.25"/>
    <row r="13577" hidden="1" x14ac:dyDescent="0.25"/>
    <row r="13578" hidden="1" x14ac:dyDescent="0.25"/>
    <row r="13579" hidden="1" x14ac:dyDescent="0.25"/>
    <row r="13580" hidden="1" x14ac:dyDescent="0.25"/>
    <row r="13581" hidden="1" x14ac:dyDescent="0.25"/>
    <row r="13582" hidden="1" x14ac:dyDescent="0.25"/>
    <row r="13583" hidden="1" x14ac:dyDescent="0.25"/>
    <row r="13584" hidden="1" x14ac:dyDescent="0.25"/>
    <row r="13585" hidden="1" x14ac:dyDescent="0.25"/>
    <row r="13586" hidden="1" x14ac:dyDescent="0.25"/>
    <row r="13587" hidden="1" x14ac:dyDescent="0.25"/>
    <row r="13588" hidden="1" x14ac:dyDescent="0.25"/>
    <row r="13589" hidden="1" x14ac:dyDescent="0.25"/>
    <row r="13590" hidden="1" x14ac:dyDescent="0.25"/>
    <row r="13591" hidden="1" x14ac:dyDescent="0.25"/>
    <row r="13592" hidden="1" x14ac:dyDescent="0.25"/>
    <row r="13593" hidden="1" x14ac:dyDescent="0.25"/>
    <row r="13594" hidden="1" x14ac:dyDescent="0.25"/>
    <row r="13595" hidden="1" x14ac:dyDescent="0.25"/>
    <row r="13596" hidden="1" x14ac:dyDescent="0.25"/>
    <row r="13597" hidden="1" x14ac:dyDescent="0.25"/>
    <row r="13598" hidden="1" x14ac:dyDescent="0.25"/>
    <row r="13599" hidden="1" x14ac:dyDescent="0.25"/>
    <row r="13600" hidden="1" x14ac:dyDescent="0.25"/>
    <row r="13601" hidden="1" x14ac:dyDescent="0.25"/>
    <row r="13602" hidden="1" x14ac:dyDescent="0.25"/>
    <row r="13603" hidden="1" x14ac:dyDescent="0.25"/>
    <row r="13604" hidden="1" x14ac:dyDescent="0.25"/>
    <row r="13605" hidden="1" x14ac:dyDescent="0.25"/>
    <row r="13606" hidden="1" x14ac:dyDescent="0.25"/>
    <row r="13607" hidden="1" x14ac:dyDescent="0.25"/>
    <row r="13608" hidden="1" x14ac:dyDescent="0.25"/>
    <row r="13609" hidden="1" x14ac:dyDescent="0.25"/>
    <row r="13610" hidden="1" x14ac:dyDescent="0.25"/>
    <row r="13611" hidden="1" x14ac:dyDescent="0.25"/>
    <row r="13612" hidden="1" x14ac:dyDescent="0.25"/>
    <row r="13613" hidden="1" x14ac:dyDescent="0.25"/>
    <row r="13614" hidden="1" x14ac:dyDescent="0.25"/>
    <row r="13615" hidden="1" x14ac:dyDescent="0.25"/>
    <row r="13616" hidden="1" x14ac:dyDescent="0.25"/>
    <row r="13617" hidden="1" x14ac:dyDescent="0.25"/>
    <row r="13618" hidden="1" x14ac:dyDescent="0.25"/>
    <row r="13619" hidden="1" x14ac:dyDescent="0.25"/>
    <row r="13620" hidden="1" x14ac:dyDescent="0.25"/>
    <row r="13621" hidden="1" x14ac:dyDescent="0.25"/>
    <row r="13622" hidden="1" x14ac:dyDescent="0.25"/>
    <row r="13623" hidden="1" x14ac:dyDescent="0.25"/>
    <row r="13624" hidden="1" x14ac:dyDescent="0.25"/>
    <row r="13625" hidden="1" x14ac:dyDescent="0.25"/>
    <row r="13626" hidden="1" x14ac:dyDescent="0.25"/>
    <row r="13627" hidden="1" x14ac:dyDescent="0.25"/>
    <row r="13628" hidden="1" x14ac:dyDescent="0.25"/>
    <row r="13629" hidden="1" x14ac:dyDescent="0.25"/>
    <row r="13630" hidden="1" x14ac:dyDescent="0.25"/>
    <row r="13631" hidden="1" x14ac:dyDescent="0.25"/>
    <row r="13632" hidden="1" x14ac:dyDescent="0.25"/>
    <row r="13633" hidden="1" x14ac:dyDescent="0.25"/>
    <row r="13634" hidden="1" x14ac:dyDescent="0.25"/>
    <row r="13635" hidden="1" x14ac:dyDescent="0.25"/>
    <row r="13636" hidden="1" x14ac:dyDescent="0.25"/>
    <row r="13637" hidden="1" x14ac:dyDescent="0.25"/>
    <row r="13638" hidden="1" x14ac:dyDescent="0.25"/>
    <row r="13639" hidden="1" x14ac:dyDescent="0.25"/>
    <row r="13640" hidden="1" x14ac:dyDescent="0.25"/>
    <row r="13641" hidden="1" x14ac:dyDescent="0.25"/>
    <row r="13642" hidden="1" x14ac:dyDescent="0.25"/>
    <row r="13643" hidden="1" x14ac:dyDescent="0.25"/>
    <row r="13644" hidden="1" x14ac:dyDescent="0.25"/>
    <row r="13645" hidden="1" x14ac:dyDescent="0.25"/>
    <row r="13646" hidden="1" x14ac:dyDescent="0.25"/>
    <row r="13647" hidden="1" x14ac:dyDescent="0.25"/>
    <row r="13648" hidden="1" x14ac:dyDescent="0.25"/>
    <row r="13649" hidden="1" x14ac:dyDescent="0.25"/>
    <row r="13650" hidden="1" x14ac:dyDescent="0.25"/>
    <row r="13651" hidden="1" x14ac:dyDescent="0.25"/>
    <row r="13652" hidden="1" x14ac:dyDescent="0.25"/>
    <row r="13653" hidden="1" x14ac:dyDescent="0.25"/>
    <row r="13654" hidden="1" x14ac:dyDescent="0.25"/>
    <row r="13655" hidden="1" x14ac:dyDescent="0.25"/>
    <row r="13656" hidden="1" x14ac:dyDescent="0.25"/>
    <row r="13657" hidden="1" x14ac:dyDescent="0.25"/>
    <row r="13658" hidden="1" x14ac:dyDescent="0.25"/>
    <row r="13659" hidden="1" x14ac:dyDescent="0.25"/>
    <row r="13660" hidden="1" x14ac:dyDescent="0.25"/>
    <row r="13661" hidden="1" x14ac:dyDescent="0.25"/>
    <row r="13662" hidden="1" x14ac:dyDescent="0.25"/>
    <row r="13663" hidden="1" x14ac:dyDescent="0.25"/>
    <row r="13664" hidden="1" x14ac:dyDescent="0.25"/>
    <row r="13665" hidden="1" x14ac:dyDescent="0.25"/>
    <row r="13666" hidden="1" x14ac:dyDescent="0.25"/>
    <row r="13667" hidden="1" x14ac:dyDescent="0.25"/>
    <row r="13668" hidden="1" x14ac:dyDescent="0.25"/>
    <row r="13669" hidden="1" x14ac:dyDescent="0.25"/>
    <row r="13670" hidden="1" x14ac:dyDescent="0.25"/>
    <row r="13671" hidden="1" x14ac:dyDescent="0.25"/>
    <row r="13672" hidden="1" x14ac:dyDescent="0.25"/>
    <row r="13673" hidden="1" x14ac:dyDescent="0.25"/>
    <row r="13674" hidden="1" x14ac:dyDescent="0.25"/>
    <row r="13675" hidden="1" x14ac:dyDescent="0.25"/>
    <row r="13676" hidden="1" x14ac:dyDescent="0.25"/>
    <row r="13677" hidden="1" x14ac:dyDescent="0.25"/>
    <row r="13678" hidden="1" x14ac:dyDescent="0.25"/>
    <row r="13679" hidden="1" x14ac:dyDescent="0.25"/>
    <row r="13680" hidden="1" x14ac:dyDescent="0.25"/>
    <row r="13681" hidden="1" x14ac:dyDescent="0.25"/>
    <row r="13682" hidden="1" x14ac:dyDescent="0.25"/>
    <row r="13683" hidden="1" x14ac:dyDescent="0.25"/>
    <row r="13684" hidden="1" x14ac:dyDescent="0.25"/>
    <row r="13685" hidden="1" x14ac:dyDescent="0.25"/>
    <row r="13686" hidden="1" x14ac:dyDescent="0.25"/>
    <row r="13687" hidden="1" x14ac:dyDescent="0.25"/>
    <row r="13688" hidden="1" x14ac:dyDescent="0.25"/>
    <row r="13689" hidden="1" x14ac:dyDescent="0.25"/>
    <row r="13690" hidden="1" x14ac:dyDescent="0.25"/>
    <row r="13691" hidden="1" x14ac:dyDescent="0.25"/>
    <row r="13692" hidden="1" x14ac:dyDescent="0.25"/>
    <row r="13693" hidden="1" x14ac:dyDescent="0.25"/>
    <row r="13694" hidden="1" x14ac:dyDescent="0.25"/>
    <row r="13695" hidden="1" x14ac:dyDescent="0.25"/>
    <row r="13696" hidden="1" x14ac:dyDescent="0.25"/>
    <row r="13697" hidden="1" x14ac:dyDescent="0.25"/>
    <row r="13698" hidden="1" x14ac:dyDescent="0.25"/>
    <row r="13699" hidden="1" x14ac:dyDescent="0.25"/>
    <row r="13700" hidden="1" x14ac:dyDescent="0.25"/>
    <row r="13701" hidden="1" x14ac:dyDescent="0.25"/>
    <row r="13702" hidden="1" x14ac:dyDescent="0.25"/>
    <row r="13703" hidden="1" x14ac:dyDescent="0.25"/>
    <row r="13704" hidden="1" x14ac:dyDescent="0.25"/>
    <row r="13705" hidden="1" x14ac:dyDescent="0.25"/>
    <row r="13706" hidden="1" x14ac:dyDescent="0.25"/>
    <row r="13707" hidden="1" x14ac:dyDescent="0.25"/>
    <row r="13708" hidden="1" x14ac:dyDescent="0.25"/>
    <row r="13709" hidden="1" x14ac:dyDescent="0.25"/>
    <row r="13710" hidden="1" x14ac:dyDescent="0.25"/>
    <row r="13711" hidden="1" x14ac:dyDescent="0.25"/>
    <row r="13712" hidden="1" x14ac:dyDescent="0.25"/>
    <row r="13713" hidden="1" x14ac:dyDescent="0.25"/>
    <row r="13714" hidden="1" x14ac:dyDescent="0.25"/>
    <row r="13715" hidden="1" x14ac:dyDescent="0.25"/>
    <row r="13716" hidden="1" x14ac:dyDescent="0.25"/>
    <row r="13717" hidden="1" x14ac:dyDescent="0.25"/>
    <row r="13718" hidden="1" x14ac:dyDescent="0.25"/>
    <row r="13719" hidden="1" x14ac:dyDescent="0.25"/>
    <row r="13720" hidden="1" x14ac:dyDescent="0.25"/>
    <row r="13721" hidden="1" x14ac:dyDescent="0.25"/>
    <row r="13722" hidden="1" x14ac:dyDescent="0.25"/>
    <row r="13723" hidden="1" x14ac:dyDescent="0.25"/>
    <row r="13724" hidden="1" x14ac:dyDescent="0.25"/>
    <row r="13725" hidden="1" x14ac:dyDescent="0.25"/>
    <row r="13726" hidden="1" x14ac:dyDescent="0.25"/>
    <row r="13727" hidden="1" x14ac:dyDescent="0.25"/>
    <row r="13728" hidden="1" x14ac:dyDescent="0.25"/>
    <row r="13729" hidden="1" x14ac:dyDescent="0.25"/>
    <row r="13730" hidden="1" x14ac:dyDescent="0.25"/>
    <row r="13731" hidden="1" x14ac:dyDescent="0.25"/>
    <row r="13732" hidden="1" x14ac:dyDescent="0.25"/>
    <row r="13733" hidden="1" x14ac:dyDescent="0.25"/>
    <row r="13734" hidden="1" x14ac:dyDescent="0.25"/>
    <row r="13735" hidden="1" x14ac:dyDescent="0.25"/>
    <row r="13736" hidden="1" x14ac:dyDescent="0.25"/>
    <row r="13737" hidden="1" x14ac:dyDescent="0.25"/>
    <row r="13738" hidden="1" x14ac:dyDescent="0.25"/>
    <row r="13739" hidden="1" x14ac:dyDescent="0.25"/>
    <row r="13740" hidden="1" x14ac:dyDescent="0.25"/>
    <row r="13741" hidden="1" x14ac:dyDescent="0.25"/>
    <row r="13742" hidden="1" x14ac:dyDescent="0.25"/>
    <row r="13743" hidden="1" x14ac:dyDescent="0.25"/>
    <row r="13744" hidden="1" x14ac:dyDescent="0.25"/>
    <row r="13745" hidden="1" x14ac:dyDescent="0.25"/>
    <row r="13746" hidden="1" x14ac:dyDescent="0.25"/>
    <row r="13747" hidden="1" x14ac:dyDescent="0.25"/>
    <row r="13748" hidden="1" x14ac:dyDescent="0.25"/>
    <row r="13749" hidden="1" x14ac:dyDescent="0.25"/>
    <row r="13750" hidden="1" x14ac:dyDescent="0.25"/>
    <row r="13751" hidden="1" x14ac:dyDescent="0.25"/>
    <row r="13752" hidden="1" x14ac:dyDescent="0.25"/>
    <row r="13753" hidden="1" x14ac:dyDescent="0.25"/>
    <row r="13754" hidden="1" x14ac:dyDescent="0.25"/>
    <row r="13755" hidden="1" x14ac:dyDescent="0.25"/>
    <row r="13756" hidden="1" x14ac:dyDescent="0.25"/>
    <row r="13757" hidden="1" x14ac:dyDescent="0.25"/>
    <row r="13758" hidden="1" x14ac:dyDescent="0.25"/>
    <row r="13759" hidden="1" x14ac:dyDescent="0.25"/>
    <row r="13760" hidden="1" x14ac:dyDescent="0.25"/>
    <row r="13761" hidden="1" x14ac:dyDescent="0.25"/>
    <row r="13762" hidden="1" x14ac:dyDescent="0.25"/>
    <row r="13763" hidden="1" x14ac:dyDescent="0.25"/>
    <row r="13764" hidden="1" x14ac:dyDescent="0.25"/>
    <row r="13765" hidden="1" x14ac:dyDescent="0.25"/>
    <row r="13766" hidden="1" x14ac:dyDescent="0.25"/>
    <row r="13767" hidden="1" x14ac:dyDescent="0.25"/>
    <row r="13768" hidden="1" x14ac:dyDescent="0.25"/>
    <row r="13769" hidden="1" x14ac:dyDescent="0.25"/>
    <row r="13770" hidden="1" x14ac:dyDescent="0.25"/>
    <row r="13771" hidden="1" x14ac:dyDescent="0.25"/>
    <row r="13772" hidden="1" x14ac:dyDescent="0.25"/>
    <row r="13773" hidden="1" x14ac:dyDescent="0.25"/>
    <row r="13774" hidden="1" x14ac:dyDescent="0.25"/>
    <row r="13775" hidden="1" x14ac:dyDescent="0.25"/>
    <row r="13776" hidden="1" x14ac:dyDescent="0.25"/>
    <row r="13777" hidden="1" x14ac:dyDescent="0.25"/>
    <row r="13778" hidden="1" x14ac:dyDescent="0.25"/>
    <row r="13779" hidden="1" x14ac:dyDescent="0.25"/>
    <row r="13780" hidden="1" x14ac:dyDescent="0.25"/>
    <row r="13781" hidden="1" x14ac:dyDescent="0.25"/>
    <row r="13782" hidden="1" x14ac:dyDescent="0.25"/>
    <row r="13783" hidden="1" x14ac:dyDescent="0.25"/>
    <row r="13784" hidden="1" x14ac:dyDescent="0.25"/>
    <row r="13785" hidden="1" x14ac:dyDescent="0.25"/>
    <row r="13786" hidden="1" x14ac:dyDescent="0.25"/>
    <row r="13787" hidden="1" x14ac:dyDescent="0.25"/>
    <row r="13788" hidden="1" x14ac:dyDescent="0.25"/>
    <row r="13789" hidden="1" x14ac:dyDescent="0.25"/>
    <row r="13790" hidden="1" x14ac:dyDescent="0.25"/>
    <row r="13791" hidden="1" x14ac:dyDescent="0.25"/>
    <row r="13792" hidden="1" x14ac:dyDescent="0.25"/>
    <row r="13793" hidden="1" x14ac:dyDescent="0.25"/>
    <row r="13794" hidden="1" x14ac:dyDescent="0.25"/>
    <row r="13795" hidden="1" x14ac:dyDescent="0.25"/>
    <row r="13796" hidden="1" x14ac:dyDescent="0.25"/>
    <row r="13797" hidden="1" x14ac:dyDescent="0.25"/>
    <row r="13798" hidden="1" x14ac:dyDescent="0.25"/>
    <row r="13799" hidden="1" x14ac:dyDescent="0.25"/>
    <row r="13800" hidden="1" x14ac:dyDescent="0.25"/>
    <row r="13801" hidden="1" x14ac:dyDescent="0.25"/>
    <row r="13802" hidden="1" x14ac:dyDescent="0.25"/>
    <row r="13803" hidden="1" x14ac:dyDescent="0.25"/>
    <row r="13804" hidden="1" x14ac:dyDescent="0.25"/>
    <row r="13805" hidden="1" x14ac:dyDescent="0.25"/>
    <row r="13806" hidden="1" x14ac:dyDescent="0.25"/>
    <row r="13807" hidden="1" x14ac:dyDescent="0.25"/>
    <row r="13808" hidden="1" x14ac:dyDescent="0.25"/>
    <row r="13809" hidden="1" x14ac:dyDescent="0.25"/>
    <row r="13810" hidden="1" x14ac:dyDescent="0.25"/>
    <row r="13811" hidden="1" x14ac:dyDescent="0.25"/>
    <row r="13812" hidden="1" x14ac:dyDescent="0.25"/>
    <row r="13813" hidden="1" x14ac:dyDescent="0.25"/>
    <row r="13814" hidden="1" x14ac:dyDescent="0.25"/>
    <row r="13815" hidden="1" x14ac:dyDescent="0.25"/>
    <row r="13816" hidden="1" x14ac:dyDescent="0.25"/>
    <row r="13817" hidden="1" x14ac:dyDescent="0.25"/>
    <row r="13818" hidden="1" x14ac:dyDescent="0.25"/>
    <row r="13819" hidden="1" x14ac:dyDescent="0.25"/>
    <row r="13820" hidden="1" x14ac:dyDescent="0.25"/>
    <row r="13821" hidden="1" x14ac:dyDescent="0.25"/>
    <row r="13822" hidden="1" x14ac:dyDescent="0.25"/>
    <row r="13823" hidden="1" x14ac:dyDescent="0.25"/>
    <row r="13824" hidden="1" x14ac:dyDescent="0.25"/>
    <row r="13825" hidden="1" x14ac:dyDescent="0.25"/>
    <row r="13826" hidden="1" x14ac:dyDescent="0.25"/>
    <row r="13827" hidden="1" x14ac:dyDescent="0.25"/>
    <row r="13828" hidden="1" x14ac:dyDescent="0.25"/>
    <row r="13829" hidden="1" x14ac:dyDescent="0.25"/>
    <row r="13830" hidden="1" x14ac:dyDescent="0.25"/>
    <row r="13831" hidden="1" x14ac:dyDescent="0.25"/>
    <row r="13832" hidden="1" x14ac:dyDescent="0.25"/>
    <row r="13833" hidden="1" x14ac:dyDescent="0.25"/>
    <row r="13834" hidden="1" x14ac:dyDescent="0.25"/>
    <row r="13835" hidden="1" x14ac:dyDescent="0.25"/>
    <row r="13836" hidden="1" x14ac:dyDescent="0.25"/>
    <row r="13837" hidden="1" x14ac:dyDescent="0.25"/>
    <row r="13838" hidden="1" x14ac:dyDescent="0.25"/>
    <row r="13839" hidden="1" x14ac:dyDescent="0.25"/>
    <row r="13840" hidden="1" x14ac:dyDescent="0.25"/>
    <row r="13841" hidden="1" x14ac:dyDescent="0.25"/>
    <row r="13842" hidden="1" x14ac:dyDescent="0.25"/>
    <row r="13843" hidden="1" x14ac:dyDescent="0.25"/>
    <row r="13844" hidden="1" x14ac:dyDescent="0.25"/>
    <row r="13845" hidden="1" x14ac:dyDescent="0.25"/>
    <row r="13846" hidden="1" x14ac:dyDescent="0.25"/>
    <row r="13847" hidden="1" x14ac:dyDescent="0.25"/>
    <row r="13848" hidden="1" x14ac:dyDescent="0.25"/>
    <row r="13849" hidden="1" x14ac:dyDescent="0.25"/>
    <row r="13850" hidden="1" x14ac:dyDescent="0.25"/>
    <row r="13851" hidden="1" x14ac:dyDescent="0.25"/>
    <row r="13852" hidden="1" x14ac:dyDescent="0.25"/>
    <row r="13853" hidden="1" x14ac:dyDescent="0.25"/>
    <row r="13854" hidden="1" x14ac:dyDescent="0.25"/>
    <row r="13855" hidden="1" x14ac:dyDescent="0.25"/>
    <row r="13856" hidden="1" x14ac:dyDescent="0.25"/>
    <row r="13857" hidden="1" x14ac:dyDescent="0.25"/>
    <row r="13858" hidden="1" x14ac:dyDescent="0.25"/>
    <row r="13859" hidden="1" x14ac:dyDescent="0.25"/>
    <row r="13860" hidden="1" x14ac:dyDescent="0.25"/>
    <row r="13861" hidden="1" x14ac:dyDescent="0.25"/>
    <row r="13862" hidden="1" x14ac:dyDescent="0.25"/>
    <row r="13863" hidden="1" x14ac:dyDescent="0.25"/>
    <row r="13864" hidden="1" x14ac:dyDescent="0.25"/>
    <row r="13865" hidden="1" x14ac:dyDescent="0.25"/>
    <row r="13866" hidden="1" x14ac:dyDescent="0.25"/>
    <row r="13867" hidden="1" x14ac:dyDescent="0.25"/>
    <row r="13868" hidden="1" x14ac:dyDescent="0.25"/>
    <row r="13869" hidden="1" x14ac:dyDescent="0.25"/>
    <row r="13870" hidden="1" x14ac:dyDescent="0.25"/>
    <row r="13871" hidden="1" x14ac:dyDescent="0.25"/>
    <row r="13872" hidden="1" x14ac:dyDescent="0.25"/>
    <row r="13873" hidden="1" x14ac:dyDescent="0.25"/>
    <row r="13874" hidden="1" x14ac:dyDescent="0.25"/>
    <row r="13875" hidden="1" x14ac:dyDescent="0.25"/>
    <row r="13876" hidden="1" x14ac:dyDescent="0.25"/>
    <row r="13877" hidden="1" x14ac:dyDescent="0.25"/>
    <row r="13878" hidden="1" x14ac:dyDescent="0.25"/>
    <row r="13879" hidden="1" x14ac:dyDescent="0.25"/>
    <row r="13880" hidden="1" x14ac:dyDescent="0.25"/>
    <row r="13881" hidden="1" x14ac:dyDescent="0.25"/>
    <row r="13882" hidden="1" x14ac:dyDescent="0.25"/>
    <row r="13883" hidden="1" x14ac:dyDescent="0.25"/>
    <row r="13884" hidden="1" x14ac:dyDescent="0.25"/>
    <row r="13885" hidden="1" x14ac:dyDescent="0.25"/>
    <row r="13886" hidden="1" x14ac:dyDescent="0.25"/>
    <row r="13887" hidden="1" x14ac:dyDescent="0.25"/>
    <row r="13888" hidden="1" x14ac:dyDescent="0.25"/>
    <row r="13889" hidden="1" x14ac:dyDescent="0.25"/>
    <row r="13890" hidden="1" x14ac:dyDescent="0.25"/>
    <row r="13891" hidden="1" x14ac:dyDescent="0.25"/>
    <row r="13892" hidden="1" x14ac:dyDescent="0.25"/>
    <row r="13893" hidden="1" x14ac:dyDescent="0.25"/>
    <row r="13894" hidden="1" x14ac:dyDescent="0.25"/>
    <row r="13895" hidden="1" x14ac:dyDescent="0.25"/>
    <row r="13896" hidden="1" x14ac:dyDescent="0.25"/>
    <row r="13897" hidden="1" x14ac:dyDescent="0.25"/>
    <row r="13898" hidden="1" x14ac:dyDescent="0.25"/>
    <row r="13899" hidden="1" x14ac:dyDescent="0.25"/>
    <row r="13900" hidden="1" x14ac:dyDescent="0.25"/>
    <row r="13901" hidden="1" x14ac:dyDescent="0.25"/>
    <row r="13902" hidden="1" x14ac:dyDescent="0.25"/>
    <row r="13903" hidden="1" x14ac:dyDescent="0.25"/>
    <row r="13904" hidden="1" x14ac:dyDescent="0.25"/>
    <row r="13905" hidden="1" x14ac:dyDescent="0.25"/>
    <row r="13906" hidden="1" x14ac:dyDescent="0.25"/>
    <row r="13907" hidden="1" x14ac:dyDescent="0.25"/>
    <row r="13908" hidden="1" x14ac:dyDescent="0.25"/>
    <row r="13909" hidden="1" x14ac:dyDescent="0.25"/>
    <row r="13910" hidden="1" x14ac:dyDescent="0.25"/>
    <row r="13911" hidden="1" x14ac:dyDescent="0.25"/>
    <row r="13912" hidden="1" x14ac:dyDescent="0.25"/>
    <row r="13913" hidden="1" x14ac:dyDescent="0.25"/>
    <row r="13914" hidden="1" x14ac:dyDescent="0.25"/>
    <row r="13915" hidden="1" x14ac:dyDescent="0.25"/>
    <row r="13916" hidden="1" x14ac:dyDescent="0.25"/>
    <row r="13917" hidden="1" x14ac:dyDescent="0.25"/>
    <row r="13918" hidden="1" x14ac:dyDescent="0.25"/>
    <row r="13919" hidden="1" x14ac:dyDescent="0.25"/>
    <row r="13920" hidden="1" x14ac:dyDescent="0.25"/>
    <row r="13921" hidden="1" x14ac:dyDescent="0.25"/>
    <row r="13922" hidden="1" x14ac:dyDescent="0.25"/>
    <row r="13923" hidden="1" x14ac:dyDescent="0.25"/>
    <row r="13924" hidden="1" x14ac:dyDescent="0.25"/>
    <row r="13925" hidden="1" x14ac:dyDescent="0.25"/>
    <row r="13926" hidden="1" x14ac:dyDescent="0.25"/>
    <row r="13927" hidden="1" x14ac:dyDescent="0.25"/>
    <row r="13928" hidden="1" x14ac:dyDescent="0.25"/>
    <row r="13929" hidden="1" x14ac:dyDescent="0.25"/>
    <row r="13930" hidden="1" x14ac:dyDescent="0.25"/>
    <row r="13931" hidden="1" x14ac:dyDescent="0.25"/>
    <row r="13932" hidden="1" x14ac:dyDescent="0.25"/>
    <row r="13933" hidden="1" x14ac:dyDescent="0.25"/>
    <row r="13934" hidden="1" x14ac:dyDescent="0.25"/>
    <row r="13935" hidden="1" x14ac:dyDescent="0.25"/>
    <row r="13936" hidden="1" x14ac:dyDescent="0.25"/>
    <row r="13937" hidden="1" x14ac:dyDescent="0.25"/>
    <row r="13938" hidden="1" x14ac:dyDescent="0.25"/>
    <row r="13939" hidden="1" x14ac:dyDescent="0.25"/>
    <row r="13940" hidden="1" x14ac:dyDescent="0.25"/>
    <row r="13941" hidden="1" x14ac:dyDescent="0.25"/>
    <row r="13942" hidden="1" x14ac:dyDescent="0.25"/>
    <row r="13943" hidden="1" x14ac:dyDescent="0.25"/>
    <row r="13944" hidden="1" x14ac:dyDescent="0.25"/>
    <row r="13945" hidden="1" x14ac:dyDescent="0.25"/>
    <row r="13946" hidden="1" x14ac:dyDescent="0.25"/>
    <row r="13947" hidden="1" x14ac:dyDescent="0.25"/>
    <row r="13948" hidden="1" x14ac:dyDescent="0.25"/>
    <row r="13949" hidden="1" x14ac:dyDescent="0.25"/>
    <row r="13950" hidden="1" x14ac:dyDescent="0.25"/>
    <row r="13951" hidden="1" x14ac:dyDescent="0.25"/>
    <row r="13952" hidden="1" x14ac:dyDescent="0.25"/>
    <row r="13953" hidden="1" x14ac:dyDescent="0.25"/>
    <row r="13954" hidden="1" x14ac:dyDescent="0.25"/>
    <row r="13955" hidden="1" x14ac:dyDescent="0.25"/>
    <row r="13956" hidden="1" x14ac:dyDescent="0.25"/>
    <row r="13957" hidden="1" x14ac:dyDescent="0.25"/>
    <row r="13958" hidden="1" x14ac:dyDescent="0.25"/>
    <row r="13959" hidden="1" x14ac:dyDescent="0.25"/>
    <row r="13960" hidden="1" x14ac:dyDescent="0.25"/>
    <row r="13961" hidden="1" x14ac:dyDescent="0.25"/>
    <row r="13962" hidden="1" x14ac:dyDescent="0.25"/>
    <row r="13963" hidden="1" x14ac:dyDescent="0.25"/>
    <row r="13964" hidden="1" x14ac:dyDescent="0.25"/>
    <row r="13965" hidden="1" x14ac:dyDescent="0.25"/>
    <row r="13966" hidden="1" x14ac:dyDescent="0.25"/>
    <row r="13967" hidden="1" x14ac:dyDescent="0.25"/>
    <row r="13968" hidden="1" x14ac:dyDescent="0.25"/>
    <row r="13969" hidden="1" x14ac:dyDescent="0.25"/>
    <row r="13970" hidden="1" x14ac:dyDescent="0.25"/>
    <row r="13971" hidden="1" x14ac:dyDescent="0.25"/>
    <row r="13972" hidden="1" x14ac:dyDescent="0.25"/>
    <row r="13973" hidden="1" x14ac:dyDescent="0.25"/>
    <row r="13974" hidden="1" x14ac:dyDescent="0.25"/>
    <row r="13975" hidden="1" x14ac:dyDescent="0.25"/>
    <row r="13976" hidden="1" x14ac:dyDescent="0.25"/>
    <row r="13977" hidden="1" x14ac:dyDescent="0.25"/>
    <row r="13978" hidden="1" x14ac:dyDescent="0.25"/>
    <row r="13979" hidden="1" x14ac:dyDescent="0.25"/>
    <row r="13980" hidden="1" x14ac:dyDescent="0.25"/>
    <row r="13981" hidden="1" x14ac:dyDescent="0.25"/>
    <row r="13982" hidden="1" x14ac:dyDescent="0.25"/>
    <row r="13983" hidden="1" x14ac:dyDescent="0.25"/>
    <row r="13984" hidden="1" x14ac:dyDescent="0.25"/>
    <row r="13985" hidden="1" x14ac:dyDescent="0.25"/>
    <row r="13986" hidden="1" x14ac:dyDescent="0.25"/>
    <row r="13987" hidden="1" x14ac:dyDescent="0.25"/>
    <row r="13988" hidden="1" x14ac:dyDescent="0.25"/>
    <row r="13989" hidden="1" x14ac:dyDescent="0.25"/>
    <row r="13990" hidden="1" x14ac:dyDescent="0.25"/>
    <row r="13991" hidden="1" x14ac:dyDescent="0.25"/>
    <row r="13992" hidden="1" x14ac:dyDescent="0.25"/>
    <row r="13993" hidden="1" x14ac:dyDescent="0.25"/>
    <row r="13994" hidden="1" x14ac:dyDescent="0.25"/>
    <row r="13995" hidden="1" x14ac:dyDescent="0.25"/>
    <row r="13996" hidden="1" x14ac:dyDescent="0.25"/>
    <row r="13997" hidden="1" x14ac:dyDescent="0.25"/>
    <row r="13998" hidden="1" x14ac:dyDescent="0.25"/>
    <row r="13999" hidden="1" x14ac:dyDescent="0.25"/>
    <row r="14000" hidden="1" x14ac:dyDescent="0.25"/>
    <row r="14001" hidden="1" x14ac:dyDescent="0.25"/>
    <row r="14002" hidden="1" x14ac:dyDescent="0.25"/>
    <row r="14003" hidden="1" x14ac:dyDescent="0.25"/>
    <row r="14004" hidden="1" x14ac:dyDescent="0.25"/>
    <row r="14005" hidden="1" x14ac:dyDescent="0.25"/>
    <row r="14006" hidden="1" x14ac:dyDescent="0.25"/>
    <row r="14007" hidden="1" x14ac:dyDescent="0.25"/>
    <row r="14008" hidden="1" x14ac:dyDescent="0.25"/>
    <row r="14009" hidden="1" x14ac:dyDescent="0.25"/>
    <row r="14010" hidden="1" x14ac:dyDescent="0.25"/>
    <row r="14011" hidden="1" x14ac:dyDescent="0.25"/>
    <row r="14012" hidden="1" x14ac:dyDescent="0.25"/>
    <row r="14013" hidden="1" x14ac:dyDescent="0.25"/>
    <row r="14014" hidden="1" x14ac:dyDescent="0.25"/>
    <row r="14015" hidden="1" x14ac:dyDescent="0.25"/>
    <row r="14016" hidden="1" x14ac:dyDescent="0.25"/>
    <row r="14017" hidden="1" x14ac:dyDescent="0.25"/>
    <row r="14018" hidden="1" x14ac:dyDescent="0.25"/>
    <row r="14019" hidden="1" x14ac:dyDescent="0.25"/>
    <row r="14020" hidden="1" x14ac:dyDescent="0.25"/>
    <row r="14021" hidden="1" x14ac:dyDescent="0.25"/>
    <row r="14022" hidden="1" x14ac:dyDescent="0.25"/>
    <row r="14023" hidden="1" x14ac:dyDescent="0.25"/>
    <row r="14024" hidden="1" x14ac:dyDescent="0.25"/>
    <row r="14025" hidden="1" x14ac:dyDescent="0.25"/>
    <row r="14026" hidden="1" x14ac:dyDescent="0.25"/>
    <row r="14027" hidden="1" x14ac:dyDescent="0.25"/>
    <row r="14028" hidden="1" x14ac:dyDescent="0.25"/>
    <row r="14029" hidden="1" x14ac:dyDescent="0.25"/>
    <row r="14030" hidden="1" x14ac:dyDescent="0.25"/>
    <row r="14031" hidden="1" x14ac:dyDescent="0.25"/>
    <row r="14032" hidden="1" x14ac:dyDescent="0.25"/>
    <row r="14033" hidden="1" x14ac:dyDescent="0.25"/>
    <row r="14034" hidden="1" x14ac:dyDescent="0.25"/>
    <row r="14035" hidden="1" x14ac:dyDescent="0.25"/>
    <row r="14036" hidden="1" x14ac:dyDescent="0.25"/>
    <row r="14037" hidden="1" x14ac:dyDescent="0.25"/>
    <row r="14038" hidden="1" x14ac:dyDescent="0.25"/>
    <row r="14039" hidden="1" x14ac:dyDescent="0.25"/>
    <row r="14040" hidden="1" x14ac:dyDescent="0.25"/>
    <row r="14041" hidden="1" x14ac:dyDescent="0.25"/>
    <row r="14042" hidden="1" x14ac:dyDescent="0.25"/>
    <row r="14043" hidden="1" x14ac:dyDescent="0.25"/>
    <row r="14044" hidden="1" x14ac:dyDescent="0.25"/>
    <row r="14045" hidden="1" x14ac:dyDescent="0.25"/>
    <row r="14046" hidden="1" x14ac:dyDescent="0.25"/>
    <row r="14047" hidden="1" x14ac:dyDescent="0.25"/>
    <row r="14048" hidden="1" x14ac:dyDescent="0.25"/>
    <row r="14049" hidden="1" x14ac:dyDescent="0.25"/>
    <row r="14050" hidden="1" x14ac:dyDescent="0.25"/>
    <row r="14051" hidden="1" x14ac:dyDescent="0.25"/>
    <row r="14052" hidden="1" x14ac:dyDescent="0.25"/>
    <row r="14053" hidden="1" x14ac:dyDescent="0.25"/>
    <row r="14054" hidden="1" x14ac:dyDescent="0.25"/>
    <row r="14055" hidden="1" x14ac:dyDescent="0.25"/>
    <row r="14056" hidden="1" x14ac:dyDescent="0.25"/>
    <row r="14057" hidden="1" x14ac:dyDescent="0.25"/>
    <row r="14058" hidden="1" x14ac:dyDescent="0.25"/>
    <row r="14059" hidden="1" x14ac:dyDescent="0.25"/>
    <row r="14060" hidden="1" x14ac:dyDescent="0.25"/>
    <row r="14061" hidden="1" x14ac:dyDescent="0.25"/>
    <row r="14062" hidden="1" x14ac:dyDescent="0.25"/>
    <row r="14063" hidden="1" x14ac:dyDescent="0.25"/>
    <row r="14064" hidden="1" x14ac:dyDescent="0.25"/>
    <row r="14065" hidden="1" x14ac:dyDescent="0.25"/>
    <row r="14066" hidden="1" x14ac:dyDescent="0.25"/>
    <row r="14067" hidden="1" x14ac:dyDescent="0.25"/>
    <row r="14068" hidden="1" x14ac:dyDescent="0.25"/>
    <row r="14069" hidden="1" x14ac:dyDescent="0.25"/>
    <row r="14070" hidden="1" x14ac:dyDescent="0.25"/>
    <row r="14071" hidden="1" x14ac:dyDescent="0.25"/>
    <row r="14072" hidden="1" x14ac:dyDescent="0.25"/>
    <row r="14073" hidden="1" x14ac:dyDescent="0.25"/>
    <row r="14074" hidden="1" x14ac:dyDescent="0.25"/>
    <row r="14075" hidden="1" x14ac:dyDescent="0.25"/>
    <row r="14076" hidden="1" x14ac:dyDescent="0.25"/>
    <row r="14077" hidden="1" x14ac:dyDescent="0.25"/>
    <row r="14078" hidden="1" x14ac:dyDescent="0.25"/>
    <row r="14079" hidden="1" x14ac:dyDescent="0.25"/>
    <row r="14080" hidden="1" x14ac:dyDescent="0.25"/>
    <row r="14081" hidden="1" x14ac:dyDescent="0.25"/>
    <row r="14082" hidden="1" x14ac:dyDescent="0.25"/>
    <row r="14083" hidden="1" x14ac:dyDescent="0.25"/>
    <row r="14084" hidden="1" x14ac:dyDescent="0.25"/>
    <row r="14085" hidden="1" x14ac:dyDescent="0.25"/>
    <row r="14086" hidden="1" x14ac:dyDescent="0.25"/>
    <row r="14087" hidden="1" x14ac:dyDescent="0.25"/>
    <row r="14088" hidden="1" x14ac:dyDescent="0.25"/>
    <row r="14089" hidden="1" x14ac:dyDescent="0.25"/>
    <row r="14090" hidden="1" x14ac:dyDescent="0.25"/>
    <row r="14091" hidden="1" x14ac:dyDescent="0.25"/>
    <row r="14092" hidden="1" x14ac:dyDescent="0.25"/>
    <row r="14093" hidden="1" x14ac:dyDescent="0.25"/>
    <row r="14094" hidden="1" x14ac:dyDescent="0.25"/>
    <row r="14095" hidden="1" x14ac:dyDescent="0.25"/>
    <row r="14096" hidden="1" x14ac:dyDescent="0.25"/>
    <row r="14097" hidden="1" x14ac:dyDescent="0.25"/>
    <row r="14098" hidden="1" x14ac:dyDescent="0.25"/>
    <row r="14099" hidden="1" x14ac:dyDescent="0.25"/>
    <row r="14100" hidden="1" x14ac:dyDescent="0.25"/>
    <row r="14101" hidden="1" x14ac:dyDescent="0.25"/>
    <row r="14102" hidden="1" x14ac:dyDescent="0.25"/>
    <row r="14103" hidden="1" x14ac:dyDescent="0.25"/>
    <row r="14104" hidden="1" x14ac:dyDescent="0.25"/>
    <row r="14105" hidden="1" x14ac:dyDescent="0.25"/>
    <row r="14106" hidden="1" x14ac:dyDescent="0.25"/>
    <row r="14107" hidden="1" x14ac:dyDescent="0.25"/>
    <row r="14108" hidden="1" x14ac:dyDescent="0.25"/>
    <row r="14109" hidden="1" x14ac:dyDescent="0.25"/>
    <row r="14110" hidden="1" x14ac:dyDescent="0.25"/>
    <row r="14111" hidden="1" x14ac:dyDescent="0.25"/>
    <row r="14112" hidden="1" x14ac:dyDescent="0.25"/>
    <row r="14113" hidden="1" x14ac:dyDescent="0.25"/>
    <row r="14114" hidden="1" x14ac:dyDescent="0.25"/>
    <row r="14115" hidden="1" x14ac:dyDescent="0.25"/>
    <row r="14116" hidden="1" x14ac:dyDescent="0.25"/>
    <row r="14117" hidden="1" x14ac:dyDescent="0.25"/>
    <row r="14118" hidden="1" x14ac:dyDescent="0.25"/>
    <row r="14119" hidden="1" x14ac:dyDescent="0.25"/>
    <row r="14120" hidden="1" x14ac:dyDescent="0.25"/>
    <row r="14121" hidden="1" x14ac:dyDescent="0.25"/>
    <row r="14122" hidden="1" x14ac:dyDescent="0.25"/>
    <row r="14123" hidden="1" x14ac:dyDescent="0.25"/>
    <row r="14124" hidden="1" x14ac:dyDescent="0.25"/>
    <row r="14125" hidden="1" x14ac:dyDescent="0.25"/>
    <row r="14126" hidden="1" x14ac:dyDescent="0.25"/>
    <row r="14127" hidden="1" x14ac:dyDescent="0.25"/>
    <row r="14128" hidden="1" x14ac:dyDescent="0.25"/>
    <row r="14129" hidden="1" x14ac:dyDescent="0.25"/>
    <row r="14130" hidden="1" x14ac:dyDescent="0.25"/>
    <row r="14131" hidden="1" x14ac:dyDescent="0.25"/>
    <row r="14132" hidden="1" x14ac:dyDescent="0.25"/>
    <row r="14133" hidden="1" x14ac:dyDescent="0.25"/>
    <row r="14134" hidden="1" x14ac:dyDescent="0.25"/>
    <row r="14135" hidden="1" x14ac:dyDescent="0.25"/>
    <row r="14136" hidden="1" x14ac:dyDescent="0.25"/>
    <row r="14137" hidden="1" x14ac:dyDescent="0.25"/>
    <row r="14138" hidden="1" x14ac:dyDescent="0.25"/>
    <row r="14139" hidden="1" x14ac:dyDescent="0.25"/>
    <row r="14140" hidden="1" x14ac:dyDescent="0.25"/>
    <row r="14141" hidden="1" x14ac:dyDescent="0.25"/>
    <row r="14142" hidden="1" x14ac:dyDescent="0.25"/>
    <row r="14143" hidden="1" x14ac:dyDescent="0.25"/>
    <row r="14144" hidden="1" x14ac:dyDescent="0.25"/>
    <row r="14145" hidden="1" x14ac:dyDescent="0.25"/>
    <row r="14146" hidden="1" x14ac:dyDescent="0.25"/>
    <row r="14147" hidden="1" x14ac:dyDescent="0.25"/>
    <row r="14148" hidden="1" x14ac:dyDescent="0.25"/>
    <row r="14149" hidden="1" x14ac:dyDescent="0.25"/>
    <row r="14150" hidden="1" x14ac:dyDescent="0.25"/>
    <row r="14151" hidden="1" x14ac:dyDescent="0.25"/>
    <row r="14152" hidden="1" x14ac:dyDescent="0.25"/>
    <row r="14153" hidden="1" x14ac:dyDescent="0.25"/>
    <row r="14154" hidden="1" x14ac:dyDescent="0.25"/>
    <row r="14155" hidden="1" x14ac:dyDescent="0.25"/>
    <row r="14156" hidden="1" x14ac:dyDescent="0.25"/>
    <row r="14157" hidden="1" x14ac:dyDescent="0.25"/>
    <row r="14158" hidden="1" x14ac:dyDescent="0.25"/>
    <row r="14159" hidden="1" x14ac:dyDescent="0.25"/>
    <row r="14160" hidden="1" x14ac:dyDescent="0.25"/>
    <row r="14161" hidden="1" x14ac:dyDescent="0.25"/>
    <row r="14162" hidden="1" x14ac:dyDescent="0.25"/>
    <row r="14163" hidden="1" x14ac:dyDescent="0.25"/>
    <row r="14164" hidden="1" x14ac:dyDescent="0.25"/>
    <row r="14165" hidden="1" x14ac:dyDescent="0.25"/>
    <row r="14166" hidden="1" x14ac:dyDescent="0.25"/>
    <row r="14167" hidden="1" x14ac:dyDescent="0.25"/>
    <row r="14168" hidden="1" x14ac:dyDescent="0.25"/>
    <row r="14169" hidden="1" x14ac:dyDescent="0.25"/>
    <row r="14170" hidden="1" x14ac:dyDescent="0.25"/>
    <row r="14171" hidden="1" x14ac:dyDescent="0.25"/>
    <row r="14172" hidden="1" x14ac:dyDescent="0.25"/>
    <row r="14173" hidden="1" x14ac:dyDescent="0.25"/>
    <row r="14174" hidden="1" x14ac:dyDescent="0.25"/>
    <row r="14175" hidden="1" x14ac:dyDescent="0.25"/>
    <row r="14176" hidden="1" x14ac:dyDescent="0.25"/>
    <row r="14177" hidden="1" x14ac:dyDescent="0.25"/>
    <row r="14178" hidden="1" x14ac:dyDescent="0.25"/>
    <row r="14179" hidden="1" x14ac:dyDescent="0.25"/>
    <row r="14180" hidden="1" x14ac:dyDescent="0.25"/>
    <row r="14181" hidden="1" x14ac:dyDescent="0.25"/>
    <row r="14182" hidden="1" x14ac:dyDescent="0.25"/>
    <row r="14183" hidden="1" x14ac:dyDescent="0.25"/>
    <row r="14184" hidden="1" x14ac:dyDescent="0.25"/>
    <row r="14185" hidden="1" x14ac:dyDescent="0.25"/>
    <row r="14186" hidden="1" x14ac:dyDescent="0.25"/>
    <row r="14187" hidden="1" x14ac:dyDescent="0.25"/>
    <row r="14188" hidden="1" x14ac:dyDescent="0.25"/>
    <row r="14189" hidden="1" x14ac:dyDescent="0.25"/>
    <row r="14190" hidden="1" x14ac:dyDescent="0.25"/>
    <row r="14191" hidden="1" x14ac:dyDescent="0.25"/>
    <row r="14192" hidden="1" x14ac:dyDescent="0.25"/>
    <row r="14193" hidden="1" x14ac:dyDescent="0.25"/>
    <row r="14194" hidden="1" x14ac:dyDescent="0.25"/>
    <row r="14195" hidden="1" x14ac:dyDescent="0.25"/>
    <row r="14196" hidden="1" x14ac:dyDescent="0.25"/>
    <row r="14197" hidden="1" x14ac:dyDescent="0.25"/>
    <row r="14198" hidden="1" x14ac:dyDescent="0.25"/>
    <row r="14199" hidden="1" x14ac:dyDescent="0.25"/>
    <row r="14200" hidden="1" x14ac:dyDescent="0.25"/>
    <row r="14201" hidden="1" x14ac:dyDescent="0.25"/>
    <row r="14202" hidden="1" x14ac:dyDescent="0.25"/>
    <row r="14203" hidden="1" x14ac:dyDescent="0.25"/>
    <row r="14204" hidden="1" x14ac:dyDescent="0.25"/>
    <row r="14205" hidden="1" x14ac:dyDescent="0.25"/>
    <row r="14206" hidden="1" x14ac:dyDescent="0.25"/>
    <row r="14207" hidden="1" x14ac:dyDescent="0.25"/>
    <row r="14208" hidden="1" x14ac:dyDescent="0.25"/>
    <row r="14209" hidden="1" x14ac:dyDescent="0.25"/>
    <row r="14210" hidden="1" x14ac:dyDescent="0.25"/>
    <row r="14211" hidden="1" x14ac:dyDescent="0.25"/>
    <row r="14212" hidden="1" x14ac:dyDescent="0.25"/>
    <row r="14213" hidden="1" x14ac:dyDescent="0.25"/>
    <row r="14214" hidden="1" x14ac:dyDescent="0.25"/>
    <row r="14215" hidden="1" x14ac:dyDescent="0.25"/>
    <row r="14216" hidden="1" x14ac:dyDescent="0.25"/>
    <row r="14217" hidden="1" x14ac:dyDescent="0.25"/>
    <row r="14218" hidden="1" x14ac:dyDescent="0.25"/>
    <row r="14219" hidden="1" x14ac:dyDescent="0.25"/>
    <row r="14220" hidden="1" x14ac:dyDescent="0.25"/>
    <row r="14221" hidden="1" x14ac:dyDescent="0.25"/>
    <row r="14222" hidden="1" x14ac:dyDescent="0.25"/>
    <row r="14223" hidden="1" x14ac:dyDescent="0.25"/>
    <row r="14224" hidden="1" x14ac:dyDescent="0.25"/>
    <row r="14225" hidden="1" x14ac:dyDescent="0.25"/>
    <row r="14226" hidden="1" x14ac:dyDescent="0.25"/>
    <row r="14227" hidden="1" x14ac:dyDescent="0.25"/>
    <row r="14228" hidden="1" x14ac:dyDescent="0.25"/>
    <row r="14229" hidden="1" x14ac:dyDescent="0.25"/>
    <row r="14230" hidden="1" x14ac:dyDescent="0.25"/>
    <row r="14231" hidden="1" x14ac:dyDescent="0.25"/>
    <row r="14232" hidden="1" x14ac:dyDescent="0.25"/>
    <row r="14233" hidden="1" x14ac:dyDescent="0.25"/>
    <row r="14234" hidden="1" x14ac:dyDescent="0.25"/>
    <row r="14235" hidden="1" x14ac:dyDescent="0.25"/>
    <row r="14236" hidden="1" x14ac:dyDescent="0.25"/>
    <row r="14237" hidden="1" x14ac:dyDescent="0.25"/>
    <row r="14238" hidden="1" x14ac:dyDescent="0.25"/>
    <row r="14239" hidden="1" x14ac:dyDescent="0.25"/>
    <row r="14240" hidden="1" x14ac:dyDescent="0.25"/>
    <row r="14241" hidden="1" x14ac:dyDescent="0.25"/>
    <row r="14242" hidden="1" x14ac:dyDescent="0.25"/>
    <row r="14243" hidden="1" x14ac:dyDescent="0.25"/>
    <row r="14244" hidden="1" x14ac:dyDescent="0.25"/>
    <row r="14245" hidden="1" x14ac:dyDescent="0.25"/>
    <row r="14246" hidden="1" x14ac:dyDescent="0.25"/>
    <row r="14247" hidden="1" x14ac:dyDescent="0.25"/>
    <row r="14248" hidden="1" x14ac:dyDescent="0.25"/>
    <row r="14249" hidden="1" x14ac:dyDescent="0.25"/>
    <row r="14250" hidden="1" x14ac:dyDescent="0.25"/>
    <row r="14251" hidden="1" x14ac:dyDescent="0.25"/>
    <row r="14252" hidden="1" x14ac:dyDescent="0.25"/>
    <row r="14253" hidden="1" x14ac:dyDescent="0.25"/>
    <row r="14254" hidden="1" x14ac:dyDescent="0.25"/>
    <row r="14255" hidden="1" x14ac:dyDescent="0.25"/>
    <row r="14256" hidden="1" x14ac:dyDescent="0.25"/>
    <row r="14257" hidden="1" x14ac:dyDescent="0.25"/>
    <row r="14258" hidden="1" x14ac:dyDescent="0.25"/>
    <row r="14259" hidden="1" x14ac:dyDescent="0.25"/>
    <row r="14260" hidden="1" x14ac:dyDescent="0.25"/>
    <row r="14261" hidden="1" x14ac:dyDescent="0.25"/>
    <row r="14262" hidden="1" x14ac:dyDescent="0.25"/>
    <row r="14263" hidden="1" x14ac:dyDescent="0.25"/>
    <row r="14264" hidden="1" x14ac:dyDescent="0.25"/>
    <row r="14265" hidden="1" x14ac:dyDescent="0.25"/>
    <row r="14266" hidden="1" x14ac:dyDescent="0.25"/>
    <row r="14267" hidden="1" x14ac:dyDescent="0.25"/>
    <row r="14268" hidden="1" x14ac:dyDescent="0.25"/>
    <row r="14269" hidden="1" x14ac:dyDescent="0.25"/>
    <row r="14270" hidden="1" x14ac:dyDescent="0.25"/>
    <row r="14271" hidden="1" x14ac:dyDescent="0.25"/>
    <row r="14272" hidden="1" x14ac:dyDescent="0.25"/>
    <row r="14273" hidden="1" x14ac:dyDescent="0.25"/>
    <row r="14274" hidden="1" x14ac:dyDescent="0.25"/>
    <row r="14275" hidden="1" x14ac:dyDescent="0.25"/>
    <row r="14276" hidden="1" x14ac:dyDescent="0.25"/>
    <row r="14277" hidden="1" x14ac:dyDescent="0.25"/>
    <row r="14278" hidden="1" x14ac:dyDescent="0.25"/>
    <row r="14279" hidden="1" x14ac:dyDescent="0.25"/>
    <row r="14280" hidden="1" x14ac:dyDescent="0.25"/>
    <row r="14281" hidden="1" x14ac:dyDescent="0.25"/>
    <row r="14282" hidden="1" x14ac:dyDescent="0.25"/>
    <row r="14283" hidden="1" x14ac:dyDescent="0.25"/>
    <row r="14284" hidden="1" x14ac:dyDescent="0.25"/>
    <row r="14285" hidden="1" x14ac:dyDescent="0.25"/>
    <row r="14286" hidden="1" x14ac:dyDescent="0.25"/>
    <row r="14287" hidden="1" x14ac:dyDescent="0.25"/>
    <row r="14288" hidden="1" x14ac:dyDescent="0.25"/>
    <row r="14289" hidden="1" x14ac:dyDescent="0.25"/>
    <row r="14290" hidden="1" x14ac:dyDescent="0.25"/>
    <row r="14291" hidden="1" x14ac:dyDescent="0.25"/>
    <row r="14292" hidden="1" x14ac:dyDescent="0.25"/>
    <row r="14293" hidden="1" x14ac:dyDescent="0.25"/>
    <row r="14294" hidden="1" x14ac:dyDescent="0.25"/>
    <row r="14295" hidden="1" x14ac:dyDescent="0.25"/>
    <row r="14296" hidden="1" x14ac:dyDescent="0.25"/>
    <row r="14297" hidden="1" x14ac:dyDescent="0.25"/>
    <row r="14298" hidden="1" x14ac:dyDescent="0.25"/>
    <row r="14299" hidden="1" x14ac:dyDescent="0.25"/>
    <row r="14300" hidden="1" x14ac:dyDescent="0.25"/>
    <row r="14301" hidden="1" x14ac:dyDescent="0.25"/>
    <row r="14302" hidden="1" x14ac:dyDescent="0.25"/>
    <row r="14303" hidden="1" x14ac:dyDescent="0.25"/>
    <row r="14304" hidden="1" x14ac:dyDescent="0.25"/>
    <row r="14305" hidden="1" x14ac:dyDescent="0.25"/>
    <row r="14306" hidden="1" x14ac:dyDescent="0.25"/>
    <row r="14307" hidden="1" x14ac:dyDescent="0.25"/>
    <row r="14308" hidden="1" x14ac:dyDescent="0.25"/>
    <row r="14309" hidden="1" x14ac:dyDescent="0.25"/>
    <row r="14310" hidden="1" x14ac:dyDescent="0.25"/>
    <row r="14311" hidden="1" x14ac:dyDescent="0.25"/>
    <row r="14312" hidden="1" x14ac:dyDescent="0.25"/>
    <row r="14313" hidden="1" x14ac:dyDescent="0.25"/>
    <row r="14314" hidden="1" x14ac:dyDescent="0.25"/>
    <row r="14315" hidden="1" x14ac:dyDescent="0.25"/>
    <row r="14316" hidden="1" x14ac:dyDescent="0.25"/>
    <row r="14317" hidden="1" x14ac:dyDescent="0.25"/>
    <row r="14318" hidden="1" x14ac:dyDescent="0.25"/>
    <row r="14319" hidden="1" x14ac:dyDescent="0.25"/>
    <row r="14320" hidden="1" x14ac:dyDescent="0.25"/>
    <row r="14321" hidden="1" x14ac:dyDescent="0.25"/>
    <row r="14322" hidden="1" x14ac:dyDescent="0.25"/>
    <row r="14323" hidden="1" x14ac:dyDescent="0.25"/>
    <row r="14324" hidden="1" x14ac:dyDescent="0.25"/>
    <row r="14325" hidden="1" x14ac:dyDescent="0.25"/>
    <row r="14326" hidden="1" x14ac:dyDescent="0.25"/>
    <row r="14327" hidden="1" x14ac:dyDescent="0.25"/>
    <row r="14328" hidden="1" x14ac:dyDescent="0.25"/>
    <row r="14329" hidden="1" x14ac:dyDescent="0.25"/>
    <row r="14330" hidden="1" x14ac:dyDescent="0.25"/>
    <row r="14331" hidden="1" x14ac:dyDescent="0.25"/>
    <row r="14332" hidden="1" x14ac:dyDescent="0.25"/>
    <row r="14333" hidden="1" x14ac:dyDescent="0.25"/>
    <row r="14334" hidden="1" x14ac:dyDescent="0.25"/>
    <row r="14335" hidden="1" x14ac:dyDescent="0.25"/>
    <row r="14336" hidden="1" x14ac:dyDescent="0.25"/>
    <row r="14337" hidden="1" x14ac:dyDescent="0.25"/>
    <row r="14338" hidden="1" x14ac:dyDescent="0.25"/>
    <row r="14339" hidden="1" x14ac:dyDescent="0.25"/>
    <row r="14340" hidden="1" x14ac:dyDescent="0.25"/>
    <row r="14341" hidden="1" x14ac:dyDescent="0.25"/>
    <row r="14342" hidden="1" x14ac:dyDescent="0.25"/>
    <row r="14343" hidden="1" x14ac:dyDescent="0.25"/>
    <row r="14344" hidden="1" x14ac:dyDescent="0.25"/>
    <row r="14345" hidden="1" x14ac:dyDescent="0.25"/>
    <row r="14346" hidden="1" x14ac:dyDescent="0.25"/>
    <row r="14347" hidden="1" x14ac:dyDescent="0.25"/>
    <row r="14348" hidden="1" x14ac:dyDescent="0.25"/>
    <row r="14349" hidden="1" x14ac:dyDescent="0.25"/>
    <row r="14350" hidden="1" x14ac:dyDescent="0.25"/>
    <row r="14351" hidden="1" x14ac:dyDescent="0.25"/>
    <row r="14352" hidden="1" x14ac:dyDescent="0.25"/>
    <row r="14353" hidden="1" x14ac:dyDescent="0.25"/>
    <row r="14354" hidden="1" x14ac:dyDescent="0.25"/>
    <row r="14355" hidden="1" x14ac:dyDescent="0.25"/>
    <row r="14356" hidden="1" x14ac:dyDescent="0.25"/>
    <row r="14357" hidden="1" x14ac:dyDescent="0.25"/>
    <row r="14358" hidden="1" x14ac:dyDescent="0.25"/>
    <row r="14359" hidden="1" x14ac:dyDescent="0.25"/>
    <row r="14360" hidden="1" x14ac:dyDescent="0.25"/>
    <row r="14361" hidden="1" x14ac:dyDescent="0.25"/>
    <row r="14362" hidden="1" x14ac:dyDescent="0.25"/>
    <row r="14363" hidden="1" x14ac:dyDescent="0.25"/>
    <row r="14364" hidden="1" x14ac:dyDescent="0.25"/>
    <row r="14365" hidden="1" x14ac:dyDescent="0.25"/>
    <row r="14366" hidden="1" x14ac:dyDescent="0.25"/>
    <row r="14367" hidden="1" x14ac:dyDescent="0.25"/>
    <row r="14368" hidden="1" x14ac:dyDescent="0.25"/>
    <row r="14369" hidden="1" x14ac:dyDescent="0.25"/>
    <row r="14370" hidden="1" x14ac:dyDescent="0.25"/>
    <row r="14371" hidden="1" x14ac:dyDescent="0.25"/>
    <row r="14372" hidden="1" x14ac:dyDescent="0.25"/>
    <row r="14373" hidden="1" x14ac:dyDescent="0.25"/>
    <row r="14374" hidden="1" x14ac:dyDescent="0.25"/>
    <row r="14375" hidden="1" x14ac:dyDescent="0.25"/>
    <row r="14376" hidden="1" x14ac:dyDescent="0.25"/>
    <row r="14377" hidden="1" x14ac:dyDescent="0.25"/>
    <row r="14378" hidden="1" x14ac:dyDescent="0.25"/>
    <row r="14379" hidden="1" x14ac:dyDescent="0.25"/>
    <row r="14380" hidden="1" x14ac:dyDescent="0.25"/>
    <row r="14381" hidden="1" x14ac:dyDescent="0.25"/>
    <row r="14382" hidden="1" x14ac:dyDescent="0.25"/>
    <row r="14383" hidden="1" x14ac:dyDescent="0.25"/>
    <row r="14384" hidden="1" x14ac:dyDescent="0.25"/>
    <row r="14385" hidden="1" x14ac:dyDescent="0.25"/>
    <row r="14386" hidden="1" x14ac:dyDescent="0.25"/>
    <row r="14387" hidden="1" x14ac:dyDescent="0.25"/>
    <row r="14388" hidden="1" x14ac:dyDescent="0.25"/>
    <row r="14389" hidden="1" x14ac:dyDescent="0.25"/>
    <row r="14390" hidden="1" x14ac:dyDescent="0.25"/>
    <row r="14391" hidden="1" x14ac:dyDescent="0.25"/>
    <row r="14392" hidden="1" x14ac:dyDescent="0.25"/>
    <row r="14393" hidden="1" x14ac:dyDescent="0.25"/>
    <row r="14394" hidden="1" x14ac:dyDescent="0.25"/>
    <row r="14395" hidden="1" x14ac:dyDescent="0.25"/>
    <row r="14396" hidden="1" x14ac:dyDescent="0.25"/>
    <row r="14397" hidden="1" x14ac:dyDescent="0.25"/>
    <row r="14398" hidden="1" x14ac:dyDescent="0.25"/>
    <row r="14399" hidden="1" x14ac:dyDescent="0.25"/>
    <row r="14400" hidden="1" x14ac:dyDescent="0.25"/>
    <row r="14401" hidden="1" x14ac:dyDescent="0.25"/>
    <row r="14402" hidden="1" x14ac:dyDescent="0.25"/>
    <row r="14403" hidden="1" x14ac:dyDescent="0.25"/>
    <row r="14404" hidden="1" x14ac:dyDescent="0.25"/>
    <row r="14405" hidden="1" x14ac:dyDescent="0.25"/>
    <row r="14406" hidden="1" x14ac:dyDescent="0.25"/>
    <row r="14407" hidden="1" x14ac:dyDescent="0.25"/>
    <row r="14408" hidden="1" x14ac:dyDescent="0.25"/>
    <row r="14409" hidden="1" x14ac:dyDescent="0.25"/>
    <row r="14410" hidden="1" x14ac:dyDescent="0.25"/>
    <row r="14411" hidden="1" x14ac:dyDescent="0.25"/>
    <row r="14412" hidden="1" x14ac:dyDescent="0.25"/>
    <row r="14413" hidden="1" x14ac:dyDescent="0.25"/>
    <row r="14414" hidden="1" x14ac:dyDescent="0.25"/>
    <row r="14415" hidden="1" x14ac:dyDescent="0.25"/>
    <row r="14416" hidden="1" x14ac:dyDescent="0.25"/>
    <row r="14417" hidden="1" x14ac:dyDescent="0.25"/>
    <row r="14418" hidden="1" x14ac:dyDescent="0.25"/>
    <row r="14419" hidden="1" x14ac:dyDescent="0.25"/>
    <row r="14420" hidden="1" x14ac:dyDescent="0.25"/>
    <row r="14421" hidden="1" x14ac:dyDescent="0.25"/>
    <row r="14422" hidden="1" x14ac:dyDescent="0.25"/>
    <row r="14423" hidden="1" x14ac:dyDescent="0.25"/>
    <row r="14424" hidden="1" x14ac:dyDescent="0.25"/>
    <row r="14425" hidden="1" x14ac:dyDescent="0.25"/>
    <row r="14426" hidden="1" x14ac:dyDescent="0.25"/>
    <row r="14427" hidden="1" x14ac:dyDescent="0.25"/>
    <row r="14428" hidden="1" x14ac:dyDescent="0.25"/>
    <row r="14429" hidden="1" x14ac:dyDescent="0.25"/>
    <row r="14430" hidden="1" x14ac:dyDescent="0.25"/>
    <row r="14431" hidden="1" x14ac:dyDescent="0.25"/>
    <row r="14432" hidden="1" x14ac:dyDescent="0.25"/>
    <row r="14433" hidden="1" x14ac:dyDescent="0.25"/>
    <row r="14434" hidden="1" x14ac:dyDescent="0.25"/>
    <row r="14435" hidden="1" x14ac:dyDescent="0.25"/>
    <row r="14436" hidden="1" x14ac:dyDescent="0.25"/>
    <row r="14437" hidden="1" x14ac:dyDescent="0.25"/>
    <row r="14438" hidden="1" x14ac:dyDescent="0.25"/>
    <row r="14439" hidden="1" x14ac:dyDescent="0.25"/>
    <row r="14440" hidden="1" x14ac:dyDescent="0.25"/>
    <row r="14441" hidden="1" x14ac:dyDescent="0.25"/>
    <row r="14442" hidden="1" x14ac:dyDescent="0.25"/>
    <row r="14443" hidden="1" x14ac:dyDescent="0.25"/>
    <row r="14444" hidden="1" x14ac:dyDescent="0.25"/>
    <row r="14445" hidden="1" x14ac:dyDescent="0.25"/>
    <row r="14446" hidden="1" x14ac:dyDescent="0.25"/>
    <row r="14447" hidden="1" x14ac:dyDescent="0.25"/>
    <row r="14448" hidden="1" x14ac:dyDescent="0.25"/>
    <row r="14449" hidden="1" x14ac:dyDescent="0.25"/>
    <row r="14450" hidden="1" x14ac:dyDescent="0.25"/>
    <row r="14451" hidden="1" x14ac:dyDescent="0.25"/>
    <row r="14452" hidden="1" x14ac:dyDescent="0.25"/>
    <row r="14453" hidden="1" x14ac:dyDescent="0.25"/>
    <row r="14454" hidden="1" x14ac:dyDescent="0.25"/>
    <row r="14455" hidden="1" x14ac:dyDescent="0.25"/>
    <row r="14456" hidden="1" x14ac:dyDescent="0.25"/>
    <row r="14457" hidden="1" x14ac:dyDescent="0.25"/>
    <row r="14458" hidden="1" x14ac:dyDescent="0.25"/>
    <row r="14459" hidden="1" x14ac:dyDescent="0.25"/>
    <row r="14460" hidden="1" x14ac:dyDescent="0.25"/>
    <row r="14461" hidden="1" x14ac:dyDescent="0.25"/>
    <row r="14462" hidden="1" x14ac:dyDescent="0.25"/>
    <row r="14463" hidden="1" x14ac:dyDescent="0.25"/>
    <row r="14464" hidden="1" x14ac:dyDescent="0.25"/>
    <row r="14465" hidden="1" x14ac:dyDescent="0.25"/>
    <row r="14466" hidden="1" x14ac:dyDescent="0.25"/>
    <row r="14467" hidden="1" x14ac:dyDescent="0.25"/>
    <row r="14468" hidden="1" x14ac:dyDescent="0.25"/>
    <row r="14469" hidden="1" x14ac:dyDescent="0.25"/>
    <row r="14470" hidden="1" x14ac:dyDescent="0.25"/>
    <row r="14471" hidden="1" x14ac:dyDescent="0.25"/>
    <row r="14472" hidden="1" x14ac:dyDescent="0.25"/>
    <row r="14473" hidden="1" x14ac:dyDescent="0.25"/>
    <row r="14474" hidden="1" x14ac:dyDescent="0.25"/>
    <row r="14475" hidden="1" x14ac:dyDescent="0.25"/>
    <row r="14476" hidden="1" x14ac:dyDescent="0.25"/>
    <row r="14477" hidden="1" x14ac:dyDescent="0.25"/>
    <row r="14478" hidden="1" x14ac:dyDescent="0.25"/>
    <row r="14479" hidden="1" x14ac:dyDescent="0.25"/>
    <row r="14480" hidden="1" x14ac:dyDescent="0.25"/>
    <row r="14481" hidden="1" x14ac:dyDescent="0.25"/>
    <row r="14482" hidden="1" x14ac:dyDescent="0.25"/>
    <row r="14483" hidden="1" x14ac:dyDescent="0.25"/>
    <row r="14484" hidden="1" x14ac:dyDescent="0.25"/>
    <row r="14485" hidden="1" x14ac:dyDescent="0.25"/>
    <row r="14486" hidden="1" x14ac:dyDescent="0.25"/>
    <row r="14487" hidden="1" x14ac:dyDescent="0.25"/>
    <row r="14488" hidden="1" x14ac:dyDescent="0.25"/>
    <row r="14489" hidden="1" x14ac:dyDescent="0.25"/>
    <row r="14490" hidden="1" x14ac:dyDescent="0.25"/>
    <row r="14491" hidden="1" x14ac:dyDescent="0.25"/>
    <row r="14492" hidden="1" x14ac:dyDescent="0.25"/>
    <row r="14493" hidden="1" x14ac:dyDescent="0.25"/>
    <row r="14494" hidden="1" x14ac:dyDescent="0.25"/>
    <row r="14495" hidden="1" x14ac:dyDescent="0.25"/>
    <row r="14496" hidden="1" x14ac:dyDescent="0.25"/>
    <row r="14497" hidden="1" x14ac:dyDescent="0.25"/>
    <row r="14498" hidden="1" x14ac:dyDescent="0.25"/>
    <row r="14499" hidden="1" x14ac:dyDescent="0.25"/>
    <row r="14500" hidden="1" x14ac:dyDescent="0.25"/>
    <row r="14501" hidden="1" x14ac:dyDescent="0.25"/>
    <row r="14502" hidden="1" x14ac:dyDescent="0.25"/>
    <row r="14503" hidden="1" x14ac:dyDescent="0.25"/>
    <row r="14504" hidden="1" x14ac:dyDescent="0.25"/>
    <row r="14505" hidden="1" x14ac:dyDescent="0.25"/>
    <row r="14506" hidden="1" x14ac:dyDescent="0.25"/>
    <row r="14507" hidden="1" x14ac:dyDescent="0.25"/>
    <row r="14508" hidden="1" x14ac:dyDescent="0.25"/>
    <row r="14509" hidden="1" x14ac:dyDescent="0.25"/>
    <row r="14510" hidden="1" x14ac:dyDescent="0.25"/>
    <row r="14511" hidden="1" x14ac:dyDescent="0.25"/>
    <row r="14512" hidden="1" x14ac:dyDescent="0.25"/>
    <row r="14513" hidden="1" x14ac:dyDescent="0.25"/>
    <row r="14514" hidden="1" x14ac:dyDescent="0.25"/>
    <row r="14515" hidden="1" x14ac:dyDescent="0.25"/>
    <row r="14516" hidden="1" x14ac:dyDescent="0.25"/>
    <row r="14517" hidden="1" x14ac:dyDescent="0.25"/>
    <row r="14518" hidden="1" x14ac:dyDescent="0.25"/>
    <row r="14519" hidden="1" x14ac:dyDescent="0.25"/>
    <row r="14520" hidden="1" x14ac:dyDescent="0.25"/>
    <row r="14521" hidden="1" x14ac:dyDescent="0.25"/>
    <row r="14522" hidden="1" x14ac:dyDescent="0.25"/>
    <row r="14523" hidden="1" x14ac:dyDescent="0.25"/>
    <row r="14524" hidden="1" x14ac:dyDescent="0.25"/>
    <row r="14525" hidden="1" x14ac:dyDescent="0.25"/>
    <row r="14526" hidden="1" x14ac:dyDescent="0.25"/>
    <row r="14527" hidden="1" x14ac:dyDescent="0.25"/>
    <row r="14528" hidden="1" x14ac:dyDescent="0.25"/>
    <row r="14529" hidden="1" x14ac:dyDescent="0.25"/>
    <row r="14530" hidden="1" x14ac:dyDescent="0.25"/>
    <row r="14531" hidden="1" x14ac:dyDescent="0.25"/>
    <row r="14532" hidden="1" x14ac:dyDescent="0.25"/>
    <row r="14533" hidden="1" x14ac:dyDescent="0.25"/>
    <row r="14534" hidden="1" x14ac:dyDescent="0.25"/>
    <row r="14535" hidden="1" x14ac:dyDescent="0.25"/>
    <row r="14536" hidden="1" x14ac:dyDescent="0.25"/>
    <row r="14537" hidden="1" x14ac:dyDescent="0.25"/>
    <row r="14538" hidden="1" x14ac:dyDescent="0.25"/>
    <row r="14539" hidden="1" x14ac:dyDescent="0.25"/>
    <row r="14540" hidden="1" x14ac:dyDescent="0.25"/>
    <row r="14541" hidden="1" x14ac:dyDescent="0.25"/>
    <row r="14542" hidden="1" x14ac:dyDescent="0.25"/>
    <row r="14543" hidden="1" x14ac:dyDescent="0.25"/>
    <row r="14544" hidden="1" x14ac:dyDescent="0.25"/>
    <row r="14545" hidden="1" x14ac:dyDescent="0.25"/>
    <row r="14546" hidden="1" x14ac:dyDescent="0.25"/>
    <row r="14547" hidden="1" x14ac:dyDescent="0.25"/>
    <row r="14548" hidden="1" x14ac:dyDescent="0.25"/>
    <row r="14549" hidden="1" x14ac:dyDescent="0.25"/>
    <row r="14550" hidden="1" x14ac:dyDescent="0.25"/>
    <row r="14551" hidden="1" x14ac:dyDescent="0.25"/>
    <row r="14552" hidden="1" x14ac:dyDescent="0.25"/>
    <row r="14553" hidden="1" x14ac:dyDescent="0.25"/>
    <row r="14554" hidden="1" x14ac:dyDescent="0.25"/>
    <row r="14555" hidden="1" x14ac:dyDescent="0.25"/>
    <row r="14556" hidden="1" x14ac:dyDescent="0.25"/>
    <row r="14557" hidden="1" x14ac:dyDescent="0.25"/>
    <row r="14558" hidden="1" x14ac:dyDescent="0.25"/>
    <row r="14559" hidden="1" x14ac:dyDescent="0.25"/>
    <row r="14560" hidden="1" x14ac:dyDescent="0.25"/>
    <row r="14561" hidden="1" x14ac:dyDescent="0.25"/>
    <row r="14562" hidden="1" x14ac:dyDescent="0.25"/>
    <row r="14563" hidden="1" x14ac:dyDescent="0.25"/>
    <row r="14564" hidden="1" x14ac:dyDescent="0.25"/>
    <row r="14565" hidden="1" x14ac:dyDescent="0.25"/>
    <row r="14566" hidden="1" x14ac:dyDescent="0.25"/>
    <row r="14567" hidden="1" x14ac:dyDescent="0.25"/>
    <row r="14568" hidden="1" x14ac:dyDescent="0.25"/>
    <row r="14569" hidden="1" x14ac:dyDescent="0.25"/>
    <row r="14570" hidden="1" x14ac:dyDescent="0.25"/>
    <row r="14571" hidden="1" x14ac:dyDescent="0.25"/>
    <row r="14572" hidden="1" x14ac:dyDescent="0.25"/>
    <row r="14573" hidden="1" x14ac:dyDescent="0.25"/>
    <row r="14574" hidden="1" x14ac:dyDescent="0.25"/>
    <row r="14575" hidden="1" x14ac:dyDescent="0.25"/>
    <row r="14576" hidden="1" x14ac:dyDescent="0.25"/>
    <row r="14577" hidden="1" x14ac:dyDescent="0.25"/>
    <row r="14578" hidden="1" x14ac:dyDescent="0.25"/>
    <row r="14579" hidden="1" x14ac:dyDescent="0.25"/>
    <row r="14580" hidden="1" x14ac:dyDescent="0.25"/>
    <row r="14581" hidden="1" x14ac:dyDescent="0.25"/>
    <row r="14582" hidden="1" x14ac:dyDescent="0.25"/>
    <row r="14583" hidden="1" x14ac:dyDescent="0.25"/>
    <row r="14584" hidden="1" x14ac:dyDescent="0.25"/>
    <row r="14585" hidden="1" x14ac:dyDescent="0.25"/>
    <row r="14586" hidden="1" x14ac:dyDescent="0.25"/>
    <row r="14587" hidden="1" x14ac:dyDescent="0.25"/>
    <row r="14588" hidden="1" x14ac:dyDescent="0.25"/>
    <row r="14589" hidden="1" x14ac:dyDescent="0.25"/>
    <row r="14590" hidden="1" x14ac:dyDescent="0.25"/>
    <row r="14591" hidden="1" x14ac:dyDescent="0.25"/>
    <row r="14592" hidden="1" x14ac:dyDescent="0.25"/>
    <row r="14593" hidden="1" x14ac:dyDescent="0.25"/>
    <row r="14594" hidden="1" x14ac:dyDescent="0.25"/>
    <row r="14595" hidden="1" x14ac:dyDescent="0.25"/>
    <row r="14596" hidden="1" x14ac:dyDescent="0.25"/>
    <row r="14597" hidden="1" x14ac:dyDescent="0.25"/>
    <row r="14598" hidden="1" x14ac:dyDescent="0.25"/>
    <row r="14599" hidden="1" x14ac:dyDescent="0.25"/>
    <row r="14600" hidden="1" x14ac:dyDescent="0.25"/>
    <row r="14601" hidden="1" x14ac:dyDescent="0.25"/>
    <row r="14602" hidden="1" x14ac:dyDescent="0.25"/>
    <row r="14603" hidden="1" x14ac:dyDescent="0.25"/>
    <row r="14604" hidden="1" x14ac:dyDescent="0.25"/>
    <row r="14605" hidden="1" x14ac:dyDescent="0.25"/>
    <row r="14606" hidden="1" x14ac:dyDescent="0.25"/>
    <row r="14607" hidden="1" x14ac:dyDescent="0.25"/>
    <row r="14608" hidden="1" x14ac:dyDescent="0.25"/>
    <row r="14609" hidden="1" x14ac:dyDescent="0.25"/>
    <row r="14610" hidden="1" x14ac:dyDescent="0.25"/>
    <row r="14611" hidden="1" x14ac:dyDescent="0.25"/>
    <row r="14612" hidden="1" x14ac:dyDescent="0.25"/>
    <row r="14613" hidden="1" x14ac:dyDescent="0.25"/>
    <row r="14614" hidden="1" x14ac:dyDescent="0.25"/>
    <row r="14615" hidden="1" x14ac:dyDescent="0.25"/>
    <row r="14616" hidden="1" x14ac:dyDescent="0.25"/>
    <row r="14617" hidden="1" x14ac:dyDescent="0.25"/>
    <row r="14618" hidden="1" x14ac:dyDescent="0.25"/>
    <row r="14619" hidden="1" x14ac:dyDescent="0.25"/>
    <row r="14620" hidden="1" x14ac:dyDescent="0.25"/>
    <row r="14621" hidden="1" x14ac:dyDescent="0.25"/>
    <row r="14622" hidden="1" x14ac:dyDescent="0.25"/>
    <row r="14623" hidden="1" x14ac:dyDescent="0.25"/>
    <row r="14624" hidden="1" x14ac:dyDescent="0.25"/>
    <row r="14625" hidden="1" x14ac:dyDescent="0.25"/>
    <row r="14626" hidden="1" x14ac:dyDescent="0.25"/>
    <row r="14627" hidden="1" x14ac:dyDescent="0.25"/>
    <row r="14628" hidden="1" x14ac:dyDescent="0.25"/>
    <row r="14629" hidden="1" x14ac:dyDescent="0.25"/>
    <row r="14630" hidden="1" x14ac:dyDescent="0.25"/>
    <row r="14631" hidden="1" x14ac:dyDescent="0.25"/>
    <row r="14632" hidden="1" x14ac:dyDescent="0.25"/>
    <row r="14633" hidden="1" x14ac:dyDescent="0.25"/>
    <row r="14634" hidden="1" x14ac:dyDescent="0.25"/>
    <row r="14635" hidden="1" x14ac:dyDescent="0.25"/>
    <row r="14636" hidden="1" x14ac:dyDescent="0.25"/>
    <row r="14637" hidden="1" x14ac:dyDescent="0.25"/>
    <row r="14638" hidden="1" x14ac:dyDescent="0.25"/>
    <row r="14639" hidden="1" x14ac:dyDescent="0.25"/>
    <row r="14640" hidden="1" x14ac:dyDescent="0.25"/>
    <row r="14641" hidden="1" x14ac:dyDescent="0.25"/>
    <row r="14642" hidden="1" x14ac:dyDescent="0.25"/>
    <row r="14643" hidden="1" x14ac:dyDescent="0.25"/>
    <row r="14644" hidden="1" x14ac:dyDescent="0.25"/>
    <row r="14645" hidden="1" x14ac:dyDescent="0.25"/>
    <row r="14646" hidden="1" x14ac:dyDescent="0.25"/>
    <row r="14647" hidden="1" x14ac:dyDescent="0.25"/>
    <row r="14648" hidden="1" x14ac:dyDescent="0.25"/>
    <row r="14649" hidden="1" x14ac:dyDescent="0.25"/>
    <row r="14650" hidden="1" x14ac:dyDescent="0.25"/>
    <row r="14651" hidden="1" x14ac:dyDescent="0.25"/>
    <row r="14652" hidden="1" x14ac:dyDescent="0.25"/>
    <row r="14653" hidden="1" x14ac:dyDescent="0.25"/>
    <row r="14654" hidden="1" x14ac:dyDescent="0.25"/>
    <row r="14655" hidden="1" x14ac:dyDescent="0.25"/>
    <row r="14656" hidden="1" x14ac:dyDescent="0.25"/>
    <row r="14657" hidden="1" x14ac:dyDescent="0.25"/>
    <row r="14658" hidden="1" x14ac:dyDescent="0.25"/>
    <row r="14659" hidden="1" x14ac:dyDescent="0.25"/>
    <row r="14660" hidden="1" x14ac:dyDescent="0.25"/>
    <row r="14661" hidden="1" x14ac:dyDescent="0.25"/>
    <row r="14662" hidden="1" x14ac:dyDescent="0.25"/>
    <row r="14663" hidden="1" x14ac:dyDescent="0.25"/>
    <row r="14664" hidden="1" x14ac:dyDescent="0.25"/>
    <row r="14665" hidden="1" x14ac:dyDescent="0.25"/>
    <row r="14666" hidden="1" x14ac:dyDescent="0.25"/>
    <row r="14667" hidden="1" x14ac:dyDescent="0.25"/>
    <row r="14668" hidden="1" x14ac:dyDescent="0.25"/>
    <row r="14669" hidden="1" x14ac:dyDescent="0.25"/>
    <row r="14670" hidden="1" x14ac:dyDescent="0.25"/>
    <row r="14671" hidden="1" x14ac:dyDescent="0.25"/>
    <row r="14672" hidden="1" x14ac:dyDescent="0.25"/>
    <row r="14673" hidden="1" x14ac:dyDescent="0.25"/>
    <row r="14674" hidden="1" x14ac:dyDescent="0.25"/>
    <row r="14675" hidden="1" x14ac:dyDescent="0.25"/>
    <row r="14676" hidden="1" x14ac:dyDescent="0.25"/>
    <row r="14677" hidden="1" x14ac:dyDescent="0.25"/>
    <row r="14678" hidden="1" x14ac:dyDescent="0.25"/>
    <row r="14679" hidden="1" x14ac:dyDescent="0.25"/>
    <row r="14680" hidden="1" x14ac:dyDescent="0.25"/>
    <row r="14681" hidden="1" x14ac:dyDescent="0.25"/>
    <row r="14682" hidden="1" x14ac:dyDescent="0.25"/>
    <row r="14683" hidden="1" x14ac:dyDescent="0.25"/>
    <row r="14684" hidden="1" x14ac:dyDescent="0.25"/>
    <row r="14685" hidden="1" x14ac:dyDescent="0.25"/>
    <row r="14686" hidden="1" x14ac:dyDescent="0.25"/>
    <row r="14687" hidden="1" x14ac:dyDescent="0.25"/>
    <row r="14688" hidden="1" x14ac:dyDescent="0.25"/>
    <row r="14689" hidden="1" x14ac:dyDescent="0.25"/>
    <row r="14690" hidden="1" x14ac:dyDescent="0.25"/>
    <row r="14691" hidden="1" x14ac:dyDescent="0.25"/>
    <row r="14692" hidden="1" x14ac:dyDescent="0.25"/>
    <row r="14693" hidden="1" x14ac:dyDescent="0.25"/>
    <row r="14694" hidden="1" x14ac:dyDescent="0.25"/>
    <row r="14695" hidden="1" x14ac:dyDescent="0.25"/>
    <row r="14696" hidden="1" x14ac:dyDescent="0.25"/>
    <row r="14697" hidden="1" x14ac:dyDescent="0.25"/>
    <row r="14698" hidden="1" x14ac:dyDescent="0.25"/>
    <row r="14699" hidden="1" x14ac:dyDescent="0.25"/>
    <row r="14700" hidden="1" x14ac:dyDescent="0.25"/>
    <row r="14701" hidden="1" x14ac:dyDescent="0.25"/>
    <row r="14702" hidden="1" x14ac:dyDescent="0.25"/>
    <row r="14703" hidden="1" x14ac:dyDescent="0.25"/>
    <row r="14704" hidden="1" x14ac:dyDescent="0.25"/>
    <row r="14705" hidden="1" x14ac:dyDescent="0.25"/>
    <row r="14706" hidden="1" x14ac:dyDescent="0.25"/>
    <row r="14707" hidden="1" x14ac:dyDescent="0.25"/>
    <row r="14708" hidden="1" x14ac:dyDescent="0.25"/>
    <row r="14709" hidden="1" x14ac:dyDescent="0.25"/>
    <row r="14710" hidden="1" x14ac:dyDescent="0.25"/>
    <row r="14711" hidden="1" x14ac:dyDescent="0.25"/>
    <row r="14712" hidden="1" x14ac:dyDescent="0.25"/>
    <row r="14713" hidden="1" x14ac:dyDescent="0.25"/>
    <row r="14714" hidden="1" x14ac:dyDescent="0.25"/>
    <row r="14715" hidden="1" x14ac:dyDescent="0.25"/>
    <row r="14716" hidden="1" x14ac:dyDescent="0.25"/>
    <row r="14717" hidden="1" x14ac:dyDescent="0.25"/>
    <row r="14718" hidden="1" x14ac:dyDescent="0.25"/>
    <row r="14719" hidden="1" x14ac:dyDescent="0.25"/>
    <row r="14720" hidden="1" x14ac:dyDescent="0.25"/>
    <row r="14721" hidden="1" x14ac:dyDescent="0.25"/>
    <row r="14722" hidden="1" x14ac:dyDescent="0.25"/>
    <row r="14723" hidden="1" x14ac:dyDescent="0.25"/>
    <row r="14724" hidden="1" x14ac:dyDescent="0.25"/>
    <row r="14725" hidden="1" x14ac:dyDescent="0.25"/>
    <row r="14726" hidden="1" x14ac:dyDescent="0.25"/>
    <row r="14727" hidden="1" x14ac:dyDescent="0.25"/>
    <row r="14728" hidden="1" x14ac:dyDescent="0.25"/>
    <row r="14729" hidden="1" x14ac:dyDescent="0.25"/>
    <row r="14730" hidden="1" x14ac:dyDescent="0.25"/>
    <row r="14731" hidden="1" x14ac:dyDescent="0.25"/>
    <row r="14732" hidden="1" x14ac:dyDescent="0.25"/>
    <row r="14733" hidden="1" x14ac:dyDescent="0.25"/>
    <row r="14734" hidden="1" x14ac:dyDescent="0.25"/>
    <row r="14735" hidden="1" x14ac:dyDescent="0.25"/>
    <row r="14736" hidden="1" x14ac:dyDescent="0.25"/>
    <row r="14737" hidden="1" x14ac:dyDescent="0.25"/>
    <row r="14738" hidden="1" x14ac:dyDescent="0.25"/>
    <row r="14739" hidden="1" x14ac:dyDescent="0.25"/>
    <row r="14740" hidden="1" x14ac:dyDescent="0.25"/>
    <row r="14741" hidden="1" x14ac:dyDescent="0.25"/>
    <row r="14742" hidden="1" x14ac:dyDescent="0.25"/>
    <row r="14743" hidden="1" x14ac:dyDescent="0.25"/>
    <row r="14744" hidden="1" x14ac:dyDescent="0.25"/>
    <row r="14745" hidden="1" x14ac:dyDescent="0.25"/>
    <row r="14746" hidden="1" x14ac:dyDescent="0.25"/>
    <row r="14747" hidden="1" x14ac:dyDescent="0.25"/>
    <row r="14748" hidden="1" x14ac:dyDescent="0.25"/>
    <row r="14749" hidden="1" x14ac:dyDescent="0.25"/>
    <row r="14750" hidden="1" x14ac:dyDescent="0.25"/>
    <row r="14751" hidden="1" x14ac:dyDescent="0.25"/>
    <row r="14752" hidden="1" x14ac:dyDescent="0.25"/>
    <row r="14753" hidden="1" x14ac:dyDescent="0.25"/>
    <row r="14754" hidden="1" x14ac:dyDescent="0.25"/>
    <row r="14755" hidden="1" x14ac:dyDescent="0.25"/>
    <row r="14756" hidden="1" x14ac:dyDescent="0.25"/>
    <row r="14757" hidden="1" x14ac:dyDescent="0.25"/>
    <row r="14758" hidden="1" x14ac:dyDescent="0.25"/>
    <row r="14759" hidden="1" x14ac:dyDescent="0.25"/>
    <row r="14760" hidden="1" x14ac:dyDescent="0.25"/>
    <row r="14761" hidden="1" x14ac:dyDescent="0.25"/>
    <row r="14762" hidden="1" x14ac:dyDescent="0.25"/>
    <row r="14763" hidden="1" x14ac:dyDescent="0.25"/>
    <row r="14764" hidden="1" x14ac:dyDescent="0.25"/>
    <row r="14765" hidden="1" x14ac:dyDescent="0.25"/>
    <row r="14766" hidden="1" x14ac:dyDescent="0.25"/>
    <row r="14767" hidden="1" x14ac:dyDescent="0.25"/>
    <row r="14768" hidden="1" x14ac:dyDescent="0.25"/>
    <row r="14769" hidden="1" x14ac:dyDescent="0.25"/>
    <row r="14770" hidden="1" x14ac:dyDescent="0.25"/>
    <row r="14771" hidden="1" x14ac:dyDescent="0.25"/>
    <row r="14772" hidden="1" x14ac:dyDescent="0.25"/>
    <row r="14773" hidden="1" x14ac:dyDescent="0.25"/>
    <row r="14774" hidden="1" x14ac:dyDescent="0.25"/>
    <row r="14775" hidden="1" x14ac:dyDescent="0.25"/>
    <row r="14776" hidden="1" x14ac:dyDescent="0.25"/>
    <row r="14777" hidden="1" x14ac:dyDescent="0.25"/>
    <row r="14778" hidden="1" x14ac:dyDescent="0.25"/>
    <row r="14779" hidden="1" x14ac:dyDescent="0.25"/>
    <row r="14780" hidden="1" x14ac:dyDescent="0.25"/>
    <row r="14781" hidden="1" x14ac:dyDescent="0.25"/>
    <row r="14782" hidden="1" x14ac:dyDescent="0.25"/>
    <row r="14783" hidden="1" x14ac:dyDescent="0.25"/>
    <row r="14784" hidden="1" x14ac:dyDescent="0.25"/>
    <row r="14785" hidden="1" x14ac:dyDescent="0.25"/>
    <row r="14786" hidden="1" x14ac:dyDescent="0.25"/>
    <row r="14787" hidden="1" x14ac:dyDescent="0.25"/>
    <row r="14788" hidden="1" x14ac:dyDescent="0.25"/>
    <row r="14789" hidden="1" x14ac:dyDescent="0.25"/>
    <row r="14790" hidden="1" x14ac:dyDescent="0.25"/>
    <row r="14791" hidden="1" x14ac:dyDescent="0.25"/>
    <row r="14792" hidden="1" x14ac:dyDescent="0.25"/>
    <row r="14793" hidden="1" x14ac:dyDescent="0.25"/>
    <row r="14794" hidden="1" x14ac:dyDescent="0.25"/>
    <row r="14795" hidden="1" x14ac:dyDescent="0.25"/>
    <row r="14796" hidden="1" x14ac:dyDescent="0.25"/>
    <row r="14797" hidden="1" x14ac:dyDescent="0.25"/>
    <row r="14798" hidden="1" x14ac:dyDescent="0.25"/>
    <row r="14799" hidden="1" x14ac:dyDescent="0.25"/>
    <row r="14800" hidden="1" x14ac:dyDescent="0.25"/>
    <row r="14801" hidden="1" x14ac:dyDescent="0.25"/>
    <row r="14802" hidden="1" x14ac:dyDescent="0.25"/>
    <row r="14803" hidden="1" x14ac:dyDescent="0.25"/>
    <row r="14804" hidden="1" x14ac:dyDescent="0.25"/>
    <row r="14805" hidden="1" x14ac:dyDescent="0.25"/>
    <row r="14806" hidden="1" x14ac:dyDescent="0.25"/>
    <row r="14807" hidden="1" x14ac:dyDescent="0.25"/>
    <row r="14808" hidden="1" x14ac:dyDescent="0.25"/>
    <row r="14809" hidden="1" x14ac:dyDescent="0.25"/>
    <row r="14810" hidden="1" x14ac:dyDescent="0.25"/>
    <row r="14811" hidden="1" x14ac:dyDescent="0.25"/>
    <row r="14812" hidden="1" x14ac:dyDescent="0.25"/>
    <row r="14813" hidden="1" x14ac:dyDescent="0.25"/>
    <row r="14814" hidden="1" x14ac:dyDescent="0.25"/>
    <row r="14815" hidden="1" x14ac:dyDescent="0.25"/>
    <row r="14816" hidden="1" x14ac:dyDescent="0.25"/>
    <row r="14817" hidden="1" x14ac:dyDescent="0.25"/>
    <row r="14818" hidden="1" x14ac:dyDescent="0.25"/>
    <row r="14819" hidden="1" x14ac:dyDescent="0.25"/>
    <row r="14820" hidden="1" x14ac:dyDescent="0.25"/>
    <row r="14821" hidden="1" x14ac:dyDescent="0.25"/>
    <row r="14822" hidden="1" x14ac:dyDescent="0.25"/>
    <row r="14823" hidden="1" x14ac:dyDescent="0.25"/>
    <row r="14824" hidden="1" x14ac:dyDescent="0.25"/>
    <row r="14825" hidden="1" x14ac:dyDescent="0.25"/>
    <row r="14826" hidden="1" x14ac:dyDescent="0.25"/>
    <row r="14827" hidden="1" x14ac:dyDescent="0.25"/>
    <row r="14828" hidden="1" x14ac:dyDescent="0.25"/>
    <row r="14829" hidden="1" x14ac:dyDescent="0.25"/>
    <row r="14830" hidden="1" x14ac:dyDescent="0.25"/>
    <row r="14831" hidden="1" x14ac:dyDescent="0.25"/>
    <row r="14832" hidden="1" x14ac:dyDescent="0.25"/>
    <row r="14833" hidden="1" x14ac:dyDescent="0.25"/>
    <row r="14834" hidden="1" x14ac:dyDescent="0.25"/>
    <row r="14835" hidden="1" x14ac:dyDescent="0.25"/>
    <row r="14836" hidden="1" x14ac:dyDescent="0.25"/>
    <row r="14837" hidden="1" x14ac:dyDescent="0.25"/>
    <row r="14838" hidden="1" x14ac:dyDescent="0.25"/>
    <row r="14839" hidden="1" x14ac:dyDescent="0.25"/>
    <row r="14840" hidden="1" x14ac:dyDescent="0.25"/>
    <row r="14841" hidden="1" x14ac:dyDescent="0.25"/>
    <row r="14842" hidden="1" x14ac:dyDescent="0.25"/>
    <row r="14843" hidden="1" x14ac:dyDescent="0.25"/>
    <row r="14844" hidden="1" x14ac:dyDescent="0.25"/>
    <row r="14845" hidden="1" x14ac:dyDescent="0.25"/>
    <row r="14846" hidden="1" x14ac:dyDescent="0.25"/>
    <row r="14847" hidden="1" x14ac:dyDescent="0.25"/>
    <row r="14848" hidden="1" x14ac:dyDescent="0.25"/>
    <row r="14849" hidden="1" x14ac:dyDescent="0.25"/>
    <row r="14850" hidden="1" x14ac:dyDescent="0.25"/>
    <row r="14851" hidden="1" x14ac:dyDescent="0.25"/>
    <row r="14852" hidden="1" x14ac:dyDescent="0.25"/>
    <row r="14853" hidden="1" x14ac:dyDescent="0.25"/>
    <row r="14854" hidden="1" x14ac:dyDescent="0.25"/>
    <row r="14855" hidden="1" x14ac:dyDescent="0.25"/>
    <row r="14856" hidden="1" x14ac:dyDescent="0.25"/>
    <row r="14857" hidden="1" x14ac:dyDescent="0.25"/>
    <row r="14858" hidden="1" x14ac:dyDescent="0.25"/>
    <row r="14859" hidden="1" x14ac:dyDescent="0.25"/>
    <row r="14860" hidden="1" x14ac:dyDescent="0.25"/>
    <row r="14861" hidden="1" x14ac:dyDescent="0.25"/>
    <row r="14862" hidden="1" x14ac:dyDescent="0.25"/>
    <row r="14863" hidden="1" x14ac:dyDescent="0.25"/>
    <row r="14864" hidden="1" x14ac:dyDescent="0.25"/>
    <row r="14865" hidden="1" x14ac:dyDescent="0.25"/>
    <row r="14866" hidden="1" x14ac:dyDescent="0.25"/>
    <row r="14867" hidden="1" x14ac:dyDescent="0.25"/>
    <row r="14868" hidden="1" x14ac:dyDescent="0.25"/>
    <row r="14869" hidden="1" x14ac:dyDescent="0.25"/>
    <row r="14870" hidden="1" x14ac:dyDescent="0.25"/>
    <row r="14871" hidden="1" x14ac:dyDescent="0.25"/>
    <row r="14872" hidden="1" x14ac:dyDescent="0.25"/>
    <row r="14873" hidden="1" x14ac:dyDescent="0.25"/>
    <row r="14874" hidden="1" x14ac:dyDescent="0.25"/>
    <row r="14875" hidden="1" x14ac:dyDescent="0.25"/>
    <row r="14876" hidden="1" x14ac:dyDescent="0.25"/>
    <row r="14877" hidden="1" x14ac:dyDescent="0.25"/>
    <row r="14878" hidden="1" x14ac:dyDescent="0.25"/>
    <row r="14879" hidden="1" x14ac:dyDescent="0.25"/>
    <row r="14880" hidden="1" x14ac:dyDescent="0.25"/>
    <row r="14881" hidden="1" x14ac:dyDescent="0.25"/>
    <row r="14882" hidden="1" x14ac:dyDescent="0.25"/>
    <row r="14883" hidden="1" x14ac:dyDescent="0.25"/>
    <row r="14884" hidden="1" x14ac:dyDescent="0.25"/>
    <row r="14885" hidden="1" x14ac:dyDescent="0.25"/>
    <row r="14886" hidden="1" x14ac:dyDescent="0.25"/>
    <row r="14887" hidden="1" x14ac:dyDescent="0.25"/>
    <row r="14888" hidden="1" x14ac:dyDescent="0.25"/>
    <row r="14889" hidden="1" x14ac:dyDescent="0.25"/>
    <row r="14890" hidden="1" x14ac:dyDescent="0.25"/>
    <row r="14891" hidden="1" x14ac:dyDescent="0.25"/>
    <row r="14892" hidden="1" x14ac:dyDescent="0.25"/>
    <row r="14893" hidden="1" x14ac:dyDescent="0.25"/>
    <row r="14894" hidden="1" x14ac:dyDescent="0.25"/>
    <row r="14895" hidden="1" x14ac:dyDescent="0.25"/>
    <row r="14896" hidden="1" x14ac:dyDescent="0.25"/>
    <row r="14897" hidden="1" x14ac:dyDescent="0.25"/>
    <row r="14898" hidden="1" x14ac:dyDescent="0.25"/>
    <row r="14899" hidden="1" x14ac:dyDescent="0.25"/>
    <row r="14900" hidden="1" x14ac:dyDescent="0.25"/>
    <row r="14901" hidden="1" x14ac:dyDescent="0.25"/>
    <row r="14902" hidden="1" x14ac:dyDescent="0.25"/>
    <row r="14903" hidden="1" x14ac:dyDescent="0.25"/>
    <row r="14904" hidden="1" x14ac:dyDescent="0.25"/>
    <row r="14905" hidden="1" x14ac:dyDescent="0.25"/>
    <row r="14906" hidden="1" x14ac:dyDescent="0.25"/>
    <row r="14907" hidden="1" x14ac:dyDescent="0.25"/>
    <row r="14908" hidden="1" x14ac:dyDescent="0.25"/>
    <row r="14909" hidden="1" x14ac:dyDescent="0.25"/>
    <row r="14910" hidden="1" x14ac:dyDescent="0.25"/>
    <row r="14911" hidden="1" x14ac:dyDescent="0.25"/>
    <row r="14912" hidden="1" x14ac:dyDescent="0.25"/>
    <row r="14913" hidden="1" x14ac:dyDescent="0.25"/>
    <row r="14914" hidden="1" x14ac:dyDescent="0.25"/>
    <row r="14915" hidden="1" x14ac:dyDescent="0.25"/>
    <row r="14916" hidden="1" x14ac:dyDescent="0.25"/>
    <row r="14917" hidden="1" x14ac:dyDescent="0.25"/>
    <row r="14918" hidden="1" x14ac:dyDescent="0.25"/>
    <row r="14919" hidden="1" x14ac:dyDescent="0.25"/>
    <row r="14920" hidden="1" x14ac:dyDescent="0.25"/>
    <row r="14921" hidden="1" x14ac:dyDescent="0.25"/>
    <row r="14922" hidden="1" x14ac:dyDescent="0.25"/>
    <row r="14923" hidden="1" x14ac:dyDescent="0.25"/>
    <row r="14924" hidden="1" x14ac:dyDescent="0.25"/>
    <row r="14925" hidden="1" x14ac:dyDescent="0.25"/>
    <row r="14926" hidden="1" x14ac:dyDescent="0.25"/>
    <row r="14927" hidden="1" x14ac:dyDescent="0.25"/>
    <row r="14928" hidden="1" x14ac:dyDescent="0.25"/>
    <row r="14929" hidden="1" x14ac:dyDescent="0.25"/>
    <row r="14930" hidden="1" x14ac:dyDescent="0.25"/>
    <row r="14931" hidden="1" x14ac:dyDescent="0.25"/>
    <row r="14932" hidden="1" x14ac:dyDescent="0.25"/>
    <row r="14933" hidden="1" x14ac:dyDescent="0.25"/>
    <row r="14934" hidden="1" x14ac:dyDescent="0.25"/>
    <row r="14935" hidden="1" x14ac:dyDescent="0.25"/>
    <row r="14936" hidden="1" x14ac:dyDescent="0.25"/>
    <row r="14937" hidden="1" x14ac:dyDescent="0.25"/>
    <row r="14938" hidden="1" x14ac:dyDescent="0.25"/>
    <row r="14939" hidden="1" x14ac:dyDescent="0.25"/>
    <row r="14940" hidden="1" x14ac:dyDescent="0.25"/>
    <row r="14941" hidden="1" x14ac:dyDescent="0.25"/>
    <row r="14942" hidden="1" x14ac:dyDescent="0.25"/>
    <row r="14943" hidden="1" x14ac:dyDescent="0.25"/>
    <row r="14944" hidden="1" x14ac:dyDescent="0.25"/>
    <row r="14945" hidden="1" x14ac:dyDescent="0.25"/>
    <row r="14946" hidden="1" x14ac:dyDescent="0.25"/>
    <row r="14947" hidden="1" x14ac:dyDescent="0.25"/>
    <row r="14948" hidden="1" x14ac:dyDescent="0.25"/>
    <row r="14949" hidden="1" x14ac:dyDescent="0.25"/>
    <row r="14950" hidden="1" x14ac:dyDescent="0.25"/>
    <row r="14951" hidden="1" x14ac:dyDescent="0.25"/>
    <row r="14952" hidden="1" x14ac:dyDescent="0.25"/>
    <row r="14953" hidden="1" x14ac:dyDescent="0.25"/>
    <row r="14954" hidden="1" x14ac:dyDescent="0.25"/>
    <row r="14955" hidden="1" x14ac:dyDescent="0.25"/>
    <row r="14956" hidden="1" x14ac:dyDescent="0.25"/>
    <row r="14957" hidden="1" x14ac:dyDescent="0.25"/>
    <row r="14958" hidden="1" x14ac:dyDescent="0.25"/>
    <row r="14959" hidden="1" x14ac:dyDescent="0.25"/>
    <row r="14960" hidden="1" x14ac:dyDescent="0.25"/>
    <row r="14961" hidden="1" x14ac:dyDescent="0.25"/>
    <row r="14962" hidden="1" x14ac:dyDescent="0.25"/>
    <row r="14963" hidden="1" x14ac:dyDescent="0.25"/>
    <row r="14964" hidden="1" x14ac:dyDescent="0.25"/>
    <row r="14965" hidden="1" x14ac:dyDescent="0.25"/>
    <row r="14966" hidden="1" x14ac:dyDescent="0.25"/>
    <row r="14967" hidden="1" x14ac:dyDescent="0.25"/>
    <row r="14968" hidden="1" x14ac:dyDescent="0.25"/>
    <row r="14969" hidden="1" x14ac:dyDescent="0.25"/>
    <row r="14970" hidden="1" x14ac:dyDescent="0.25"/>
    <row r="14971" hidden="1" x14ac:dyDescent="0.25"/>
    <row r="14972" hidden="1" x14ac:dyDescent="0.25"/>
    <row r="14973" hidden="1" x14ac:dyDescent="0.25"/>
    <row r="14974" hidden="1" x14ac:dyDescent="0.25"/>
    <row r="14975" hidden="1" x14ac:dyDescent="0.25"/>
    <row r="14976" hidden="1" x14ac:dyDescent="0.25"/>
    <row r="14977" hidden="1" x14ac:dyDescent="0.25"/>
    <row r="14978" hidden="1" x14ac:dyDescent="0.25"/>
    <row r="14979" hidden="1" x14ac:dyDescent="0.25"/>
    <row r="14980" hidden="1" x14ac:dyDescent="0.25"/>
    <row r="14981" hidden="1" x14ac:dyDescent="0.25"/>
    <row r="14982" hidden="1" x14ac:dyDescent="0.25"/>
    <row r="14983" hidden="1" x14ac:dyDescent="0.25"/>
    <row r="14984" hidden="1" x14ac:dyDescent="0.25"/>
    <row r="14985" hidden="1" x14ac:dyDescent="0.25"/>
    <row r="14986" hidden="1" x14ac:dyDescent="0.25"/>
    <row r="14987" hidden="1" x14ac:dyDescent="0.25"/>
    <row r="14988" hidden="1" x14ac:dyDescent="0.25"/>
    <row r="14989" hidden="1" x14ac:dyDescent="0.25"/>
    <row r="14990" hidden="1" x14ac:dyDescent="0.25"/>
    <row r="14991" hidden="1" x14ac:dyDescent="0.25"/>
    <row r="14992" hidden="1" x14ac:dyDescent="0.25"/>
    <row r="14993" hidden="1" x14ac:dyDescent="0.25"/>
    <row r="14994" hidden="1" x14ac:dyDescent="0.25"/>
    <row r="14995" hidden="1" x14ac:dyDescent="0.25"/>
    <row r="14996" hidden="1" x14ac:dyDescent="0.25"/>
    <row r="14997" hidden="1" x14ac:dyDescent="0.25"/>
    <row r="14998" hidden="1" x14ac:dyDescent="0.25"/>
    <row r="14999" hidden="1" x14ac:dyDescent="0.25"/>
    <row r="15000" hidden="1" x14ac:dyDescent="0.25"/>
    <row r="15001" hidden="1" x14ac:dyDescent="0.25"/>
    <row r="15002" hidden="1" x14ac:dyDescent="0.25"/>
    <row r="15003" hidden="1" x14ac:dyDescent="0.25"/>
    <row r="15004" hidden="1" x14ac:dyDescent="0.25"/>
    <row r="15005" hidden="1" x14ac:dyDescent="0.25"/>
    <row r="15006" hidden="1" x14ac:dyDescent="0.25"/>
    <row r="15007" hidden="1" x14ac:dyDescent="0.25"/>
    <row r="15008" hidden="1" x14ac:dyDescent="0.25"/>
    <row r="15009" hidden="1" x14ac:dyDescent="0.25"/>
    <row r="15010" hidden="1" x14ac:dyDescent="0.25"/>
    <row r="15011" hidden="1" x14ac:dyDescent="0.25"/>
    <row r="15012" hidden="1" x14ac:dyDescent="0.25"/>
    <row r="15013" hidden="1" x14ac:dyDescent="0.25"/>
    <row r="15014" hidden="1" x14ac:dyDescent="0.25"/>
    <row r="15015" hidden="1" x14ac:dyDescent="0.25"/>
    <row r="15016" hidden="1" x14ac:dyDescent="0.25"/>
    <row r="15017" hidden="1" x14ac:dyDescent="0.25"/>
    <row r="15018" hidden="1" x14ac:dyDescent="0.25"/>
    <row r="15019" hidden="1" x14ac:dyDescent="0.25"/>
    <row r="15020" hidden="1" x14ac:dyDescent="0.25"/>
    <row r="15021" hidden="1" x14ac:dyDescent="0.25"/>
    <row r="15022" hidden="1" x14ac:dyDescent="0.25"/>
    <row r="15023" hidden="1" x14ac:dyDescent="0.25"/>
    <row r="15024" hidden="1" x14ac:dyDescent="0.25"/>
    <row r="15025" hidden="1" x14ac:dyDescent="0.25"/>
    <row r="15026" hidden="1" x14ac:dyDescent="0.25"/>
    <row r="15027" hidden="1" x14ac:dyDescent="0.25"/>
    <row r="15028" hidden="1" x14ac:dyDescent="0.25"/>
    <row r="15029" hidden="1" x14ac:dyDescent="0.25"/>
    <row r="15030" hidden="1" x14ac:dyDescent="0.25"/>
    <row r="15031" hidden="1" x14ac:dyDescent="0.25"/>
    <row r="15032" hidden="1" x14ac:dyDescent="0.25"/>
    <row r="15033" hidden="1" x14ac:dyDescent="0.25"/>
    <row r="15034" hidden="1" x14ac:dyDescent="0.25"/>
    <row r="15035" hidden="1" x14ac:dyDescent="0.25"/>
    <row r="15036" hidden="1" x14ac:dyDescent="0.25"/>
    <row r="15037" hidden="1" x14ac:dyDescent="0.25"/>
    <row r="15038" hidden="1" x14ac:dyDescent="0.25"/>
    <row r="15039" hidden="1" x14ac:dyDescent="0.25"/>
    <row r="15040" hidden="1" x14ac:dyDescent="0.25"/>
    <row r="15041" hidden="1" x14ac:dyDescent="0.25"/>
    <row r="15042" hidden="1" x14ac:dyDescent="0.25"/>
    <row r="15043" hidden="1" x14ac:dyDescent="0.25"/>
    <row r="15044" hidden="1" x14ac:dyDescent="0.25"/>
    <row r="15045" hidden="1" x14ac:dyDescent="0.25"/>
    <row r="15046" hidden="1" x14ac:dyDescent="0.25"/>
    <row r="15047" hidden="1" x14ac:dyDescent="0.25"/>
    <row r="15048" hidden="1" x14ac:dyDescent="0.25"/>
    <row r="15049" hidden="1" x14ac:dyDescent="0.25"/>
    <row r="15050" hidden="1" x14ac:dyDescent="0.25"/>
    <row r="15051" hidden="1" x14ac:dyDescent="0.25"/>
    <row r="15052" hidden="1" x14ac:dyDescent="0.25"/>
    <row r="15053" hidden="1" x14ac:dyDescent="0.25"/>
    <row r="15054" hidden="1" x14ac:dyDescent="0.25"/>
    <row r="15055" hidden="1" x14ac:dyDescent="0.25"/>
    <row r="15056" hidden="1" x14ac:dyDescent="0.25"/>
    <row r="15057" hidden="1" x14ac:dyDescent="0.25"/>
    <row r="15058" hidden="1" x14ac:dyDescent="0.25"/>
    <row r="15059" hidden="1" x14ac:dyDescent="0.25"/>
    <row r="15060" hidden="1" x14ac:dyDescent="0.25"/>
    <row r="15061" hidden="1" x14ac:dyDescent="0.25"/>
    <row r="15062" hidden="1" x14ac:dyDescent="0.25"/>
    <row r="15063" hidden="1" x14ac:dyDescent="0.25"/>
    <row r="15064" hidden="1" x14ac:dyDescent="0.25"/>
    <row r="15065" hidden="1" x14ac:dyDescent="0.25"/>
    <row r="15066" hidden="1" x14ac:dyDescent="0.25"/>
    <row r="15067" hidden="1" x14ac:dyDescent="0.25"/>
    <row r="15068" hidden="1" x14ac:dyDescent="0.25"/>
    <row r="15069" hidden="1" x14ac:dyDescent="0.25"/>
    <row r="15070" hidden="1" x14ac:dyDescent="0.25"/>
    <row r="15071" hidden="1" x14ac:dyDescent="0.25"/>
    <row r="15072" hidden="1" x14ac:dyDescent="0.25"/>
    <row r="15073" hidden="1" x14ac:dyDescent="0.25"/>
    <row r="15074" hidden="1" x14ac:dyDescent="0.25"/>
    <row r="15075" hidden="1" x14ac:dyDescent="0.25"/>
    <row r="15076" hidden="1" x14ac:dyDescent="0.25"/>
    <row r="15077" hidden="1" x14ac:dyDescent="0.25"/>
    <row r="15078" hidden="1" x14ac:dyDescent="0.25"/>
    <row r="15079" hidden="1" x14ac:dyDescent="0.25"/>
    <row r="15080" hidden="1" x14ac:dyDescent="0.25"/>
    <row r="15081" hidden="1" x14ac:dyDescent="0.25"/>
    <row r="15082" hidden="1" x14ac:dyDescent="0.25"/>
    <row r="15083" hidden="1" x14ac:dyDescent="0.25"/>
    <row r="15084" hidden="1" x14ac:dyDescent="0.25"/>
    <row r="15085" hidden="1" x14ac:dyDescent="0.25"/>
    <row r="15086" hidden="1" x14ac:dyDescent="0.25"/>
    <row r="15087" hidden="1" x14ac:dyDescent="0.25"/>
    <row r="15088" hidden="1" x14ac:dyDescent="0.25"/>
    <row r="15089" hidden="1" x14ac:dyDescent="0.25"/>
    <row r="15090" hidden="1" x14ac:dyDescent="0.25"/>
    <row r="15091" hidden="1" x14ac:dyDescent="0.25"/>
    <row r="15092" hidden="1" x14ac:dyDescent="0.25"/>
    <row r="15093" hidden="1" x14ac:dyDescent="0.25"/>
    <row r="15094" hidden="1" x14ac:dyDescent="0.25"/>
    <row r="15095" hidden="1" x14ac:dyDescent="0.25"/>
    <row r="15096" hidden="1" x14ac:dyDescent="0.25"/>
    <row r="15097" hidden="1" x14ac:dyDescent="0.25"/>
    <row r="15098" hidden="1" x14ac:dyDescent="0.25"/>
    <row r="15099" hidden="1" x14ac:dyDescent="0.25"/>
    <row r="15100" hidden="1" x14ac:dyDescent="0.25"/>
    <row r="15101" hidden="1" x14ac:dyDescent="0.25"/>
    <row r="15102" hidden="1" x14ac:dyDescent="0.25"/>
    <row r="15103" hidden="1" x14ac:dyDescent="0.25"/>
    <row r="15104" hidden="1" x14ac:dyDescent="0.25"/>
    <row r="15105" hidden="1" x14ac:dyDescent="0.25"/>
    <row r="15106" hidden="1" x14ac:dyDescent="0.25"/>
    <row r="15107" hidden="1" x14ac:dyDescent="0.25"/>
    <row r="15108" hidden="1" x14ac:dyDescent="0.25"/>
    <row r="15109" hidden="1" x14ac:dyDescent="0.25"/>
    <row r="15110" hidden="1" x14ac:dyDescent="0.25"/>
    <row r="15111" hidden="1" x14ac:dyDescent="0.25"/>
    <row r="15112" hidden="1" x14ac:dyDescent="0.25"/>
    <row r="15113" hidden="1" x14ac:dyDescent="0.25"/>
    <row r="15114" hidden="1" x14ac:dyDescent="0.25"/>
    <row r="15115" hidden="1" x14ac:dyDescent="0.25"/>
    <row r="15116" hidden="1" x14ac:dyDescent="0.25"/>
    <row r="15117" hidden="1" x14ac:dyDescent="0.25"/>
    <row r="15118" hidden="1" x14ac:dyDescent="0.25"/>
    <row r="15119" hidden="1" x14ac:dyDescent="0.25"/>
    <row r="15120" hidden="1" x14ac:dyDescent="0.25"/>
    <row r="15121" hidden="1" x14ac:dyDescent="0.25"/>
    <row r="15122" hidden="1" x14ac:dyDescent="0.25"/>
    <row r="15123" hidden="1" x14ac:dyDescent="0.25"/>
    <row r="15124" hidden="1" x14ac:dyDescent="0.25"/>
    <row r="15125" hidden="1" x14ac:dyDescent="0.25"/>
    <row r="15126" hidden="1" x14ac:dyDescent="0.25"/>
    <row r="15127" hidden="1" x14ac:dyDescent="0.25"/>
    <row r="15128" hidden="1" x14ac:dyDescent="0.25"/>
    <row r="15129" hidden="1" x14ac:dyDescent="0.25"/>
    <row r="15130" hidden="1" x14ac:dyDescent="0.25"/>
    <row r="15131" hidden="1" x14ac:dyDescent="0.25"/>
    <row r="15132" hidden="1" x14ac:dyDescent="0.25"/>
    <row r="15133" hidden="1" x14ac:dyDescent="0.25"/>
    <row r="15134" hidden="1" x14ac:dyDescent="0.25"/>
    <row r="15135" hidden="1" x14ac:dyDescent="0.25"/>
    <row r="15136" hidden="1" x14ac:dyDescent="0.25"/>
    <row r="15137" hidden="1" x14ac:dyDescent="0.25"/>
    <row r="15138" hidden="1" x14ac:dyDescent="0.25"/>
    <row r="15139" hidden="1" x14ac:dyDescent="0.25"/>
    <row r="15140" hidden="1" x14ac:dyDescent="0.25"/>
    <row r="15141" hidden="1" x14ac:dyDescent="0.25"/>
    <row r="15142" hidden="1" x14ac:dyDescent="0.25"/>
    <row r="15143" hidden="1" x14ac:dyDescent="0.25"/>
    <row r="15144" hidden="1" x14ac:dyDescent="0.25"/>
    <row r="15145" hidden="1" x14ac:dyDescent="0.25"/>
    <row r="15146" hidden="1" x14ac:dyDescent="0.25"/>
    <row r="15147" hidden="1" x14ac:dyDescent="0.25"/>
    <row r="15148" hidden="1" x14ac:dyDescent="0.25"/>
    <row r="15149" hidden="1" x14ac:dyDescent="0.25"/>
    <row r="15150" hidden="1" x14ac:dyDescent="0.25"/>
    <row r="15151" hidden="1" x14ac:dyDescent="0.25"/>
    <row r="15152" hidden="1" x14ac:dyDescent="0.25"/>
    <row r="15153" hidden="1" x14ac:dyDescent="0.25"/>
    <row r="15154" hidden="1" x14ac:dyDescent="0.25"/>
    <row r="15155" hidden="1" x14ac:dyDescent="0.25"/>
    <row r="15156" hidden="1" x14ac:dyDescent="0.25"/>
    <row r="15157" hidden="1" x14ac:dyDescent="0.25"/>
    <row r="15158" hidden="1" x14ac:dyDescent="0.25"/>
    <row r="15159" hidden="1" x14ac:dyDescent="0.25"/>
    <row r="15160" hidden="1" x14ac:dyDescent="0.25"/>
    <row r="15161" hidden="1" x14ac:dyDescent="0.25"/>
    <row r="15162" hidden="1" x14ac:dyDescent="0.25"/>
    <row r="15163" hidden="1" x14ac:dyDescent="0.25"/>
    <row r="15164" hidden="1" x14ac:dyDescent="0.25"/>
    <row r="15165" hidden="1" x14ac:dyDescent="0.25"/>
    <row r="15166" hidden="1" x14ac:dyDescent="0.25"/>
    <row r="15167" hidden="1" x14ac:dyDescent="0.25"/>
    <row r="15168" hidden="1" x14ac:dyDescent="0.25"/>
    <row r="15169" hidden="1" x14ac:dyDescent="0.25"/>
    <row r="15170" hidden="1" x14ac:dyDescent="0.25"/>
    <row r="15171" hidden="1" x14ac:dyDescent="0.25"/>
    <row r="15172" hidden="1" x14ac:dyDescent="0.25"/>
    <row r="15173" hidden="1" x14ac:dyDescent="0.25"/>
    <row r="15174" hidden="1" x14ac:dyDescent="0.25"/>
    <row r="15175" hidden="1" x14ac:dyDescent="0.25"/>
    <row r="15176" hidden="1" x14ac:dyDescent="0.25"/>
    <row r="15177" hidden="1" x14ac:dyDescent="0.25"/>
    <row r="15178" hidden="1" x14ac:dyDescent="0.25"/>
    <row r="15179" hidden="1" x14ac:dyDescent="0.25"/>
    <row r="15180" hidden="1" x14ac:dyDescent="0.25"/>
    <row r="15181" hidden="1" x14ac:dyDescent="0.25"/>
    <row r="15182" hidden="1" x14ac:dyDescent="0.25"/>
    <row r="15183" hidden="1" x14ac:dyDescent="0.25"/>
    <row r="15184" hidden="1" x14ac:dyDescent="0.25"/>
    <row r="15185" hidden="1" x14ac:dyDescent="0.25"/>
    <row r="15186" hidden="1" x14ac:dyDescent="0.25"/>
    <row r="15187" hidden="1" x14ac:dyDescent="0.25"/>
    <row r="15188" hidden="1" x14ac:dyDescent="0.25"/>
    <row r="15189" hidden="1" x14ac:dyDescent="0.25"/>
    <row r="15190" hidden="1" x14ac:dyDescent="0.25"/>
    <row r="15191" hidden="1" x14ac:dyDescent="0.25"/>
    <row r="15192" hidden="1" x14ac:dyDescent="0.25"/>
    <row r="15193" hidden="1" x14ac:dyDescent="0.25"/>
    <row r="15194" hidden="1" x14ac:dyDescent="0.25"/>
    <row r="15195" hidden="1" x14ac:dyDescent="0.25"/>
    <row r="15196" hidden="1" x14ac:dyDescent="0.25"/>
    <row r="15197" hidden="1" x14ac:dyDescent="0.25"/>
    <row r="15198" hidden="1" x14ac:dyDescent="0.25"/>
    <row r="15199" hidden="1" x14ac:dyDescent="0.25"/>
    <row r="15200" hidden="1" x14ac:dyDescent="0.25"/>
    <row r="15201" hidden="1" x14ac:dyDescent="0.25"/>
    <row r="15202" hidden="1" x14ac:dyDescent="0.25"/>
    <row r="15203" hidden="1" x14ac:dyDescent="0.25"/>
    <row r="15204" hidden="1" x14ac:dyDescent="0.25"/>
    <row r="15205" hidden="1" x14ac:dyDescent="0.25"/>
    <row r="15206" hidden="1" x14ac:dyDescent="0.25"/>
    <row r="15207" hidden="1" x14ac:dyDescent="0.25"/>
    <row r="15208" hidden="1" x14ac:dyDescent="0.25"/>
    <row r="15209" hidden="1" x14ac:dyDescent="0.25"/>
    <row r="15210" hidden="1" x14ac:dyDescent="0.25"/>
    <row r="15211" hidden="1" x14ac:dyDescent="0.25"/>
    <row r="15212" hidden="1" x14ac:dyDescent="0.25"/>
    <row r="15213" hidden="1" x14ac:dyDescent="0.25"/>
    <row r="15214" hidden="1" x14ac:dyDescent="0.25"/>
    <row r="15215" hidden="1" x14ac:dyDescent="0.25"/>
    <row r="15216" hidden="1" x14ac:dyDescent="0.25"/>
    <row r="15217" hidden="1" x14ac:dyDescent="0.25"/>
    <row r="15218" hidden="1" x14ac:dyDescent="0.25"/>
    <row r="15219" hidden="1" x14ac:dyDescent="0.25"/>
    <row r="15220" hidden="1" x14ac:dyDescent="0.25"/>
    <row r="15221" hidden="1" x14ac:dyDescent="0.25"/>
    <row r="15222" hidden="1" x14ac:dyDescent="0.25"/>
    <row r="15223" hidden="1" x14ac:dyDescent="0.25"/>
    <row r="15224" hidden="1" x14ac:dyDescent="0.25"/>
    <row r="15225" hidden="1" x14ac:dyDescent="0.25"/>
    <row r="15226" hidden="1" x14ac:dyDescent="0.25"/>
    <row r="15227" hidden="1" x14ac:dyDescent="0.25"/>
    <row r="15228" hidden="1" x14ac:dyDescent="0.25"/>
    <row r="15229" hidden="1" x14ac:dyDescent="0.25"/>
    <row r="15230" hidden="1" x14ac:dyDescent="0.25"/>
    <row r="15231" hidden="1" x14ac:dyDescent="0.25"/>
    <row r="15232" hidden="1" x14ac:dyDescent="0.25"/>
    <row r="15233" hidden="1" x14ac:dyDescent="0.25"/>
    <row r="15234" hidden="1" x14ac:dyDescent="0.25"/>
    <row r="15235" hidden="1" x14ac:dyDescent="0.25"/>
    <row r="15236" hidden="1" x14ac:dyDescent="0.25"/>
    <row r="15237" hidden="1" x14ac:dyDescent="0.25"/>
    <row r="15238" hidden="1" x14ac:dyDescent="0.25"/>
    <row r="15239" hidden="1" x14ac:dyDescent="0.25"/>
    <row r="15240" hidden="1" x14ac:dyDescent="0.25"/>
    <row r="15241" hidden="1" x14ac:dyDescent="0.25"/>
    <row r="15242" hidden="1" x14ac:dyDescent="0.25"/>
    <row r="15243" hidden="1" x14ac:dyDescent="0.25"/>
    <row r="15244" hidden="1" x14ac:dyDescent="0.25"/>
    <row r="15245" hidden="1" x14ac:dyDescent="0.25"/>
    <row r="15246" hidden="1" x14ac:dyDescent="0.25"/>
    <row r="15247" hidden="1" x14ac:dyDescent="0.25"/>
    <row r="15248" hidden="1" x14ac:dyDescent="0.25"/>
    <row r="15249" hidden="1" x14ac:dyDescent="0.25"/>
    <row r="15250" hidden="1" x14ac:dyDescent="0.25"/>
    <row r="15251" hidden="1" x14ac:dyDescent="0.25"/>
    <row r="15252" hidden="1" x14ac:dyDescent="0.25"/>
    <row r="15253" hidden="1" x14ac:dyDescent="0.25"/>
    <row r="15254" hidden="1" x14ac:dyDescent="0.25"/>
    <row r="15255" hidden="1" x14ac:dyDescent="0.25"/>
    <row r="15256" hidden="1" x14ac:dyDescent="0.25"/>
    <row r="15257" hidden="1" x14ac:dyDescent="0.25"/>
    <row r="15258" hidden="1" x14ac:dyDescent="0.25"/>
    <row r="15259" hidden="1" x14ac:dyDescent="0.25"/>
    <row r="15260" hidden="1" x14ac:dyDescent="0.25"/>
    <row r="15261" hidden="1" x14ac:dyDescent="0.25"/>
    <row r="15262" hidden="1" x14ac:dyDescent="0.25"/>
    <row r="15263" hidden="1" x14ac:dyDescent="0.25"/>
    <row r="15264" hidden="1" x14ac:dyDescent="0.25"/>
    <row r="15265" hidden="1" x14ac:dyDescent="0.25"/>
    <row r="15266" hidden="1" x14ac:dyDescent="0.25"/>
    <row r="15267" hidden="1" x14ac:dyDescent="0.25"/>
    <row r="15268" hidden="1" x14ac:dyDescent="0.25"/>
    <row r="15269" hidden="1" x14ac:dyDescent="0.25"/>
    <row r="15270" hidden="1" x14ac:dyDescent="0.25"/>
    <row r="15271" hidden="1" x14ac:dyDescent="0.25"/>
    <row r="15272" hidden="1" x14ac:dyDescent="0.25"/>
    <row r="15273" hidden="1" x14ac:dyDescent="0.25"/>
    <row r="15274" hidden="1" x14ac:dyDescent="0.25"/>
    <row r="15275" hidden="1" x14ac:dyDescent="0.25"/>
    <row r="15276" hidden="1" x14ac:dyDescent="0.25"/>
    <row r="15277" hidden="1" x14ac:dyDescent="0.25"/>
    <row r="15278" hidden="1" x14ac:dyDescent="0.25"/>
    <row r="15279" hidden="1" x14ac:dyDescent="0.25"/>
    <row r="15280" hidden="1" x14ac:dyDescent="0.25"/>
    <row r="15281" hidden="1" x14ac:dyDescent="0.25"/>
    <row r="15282" hidden="1" x14ac:dyDescent="0.25"/>
    <row r="15283" hidden="1" x14ac:dyDescent="0.25"/>
    <row r="15284" hidden="1" x14ac:dyDescent="0.25"/>
    <row r="15285" hidden="1" x14ac:dyDescent="0.25"/>
    <row r="15286" hidden="1" x14ac:dyDescent="0.25"/>
    <row r="15287" hidden="1" x14ac:dyDescent="0.25"/>
    <row r="15288" hidden="1" x14ac:dyDescent="0.25"/>
    <row r="15289" hidden="1" x14ac:dyDescent="0.25"/>
    <row r="15290" hidden="1" x14ac:dyDescent="0.25"/>
    <row r="15291" hidden="1" x14ac:dyDescent="0.25"/>
    <row r="15292" hidden="1" x14ac:dyDescent="0.25"/>
    <row r="15293" hidden="1" x14ac:dyDescent="0.25"/>
    <row r="15294" hidden="1" x14ac:dyDescent="0.25"/>
    <row r="15295" hidden="1" x14ac:dyDescent="0.25"/>
    <row r="15296" hidden="1" x14ac:dyDescent="0.25"/>
    <row r="15297" hidden="1" x14ac:dyDescent="0.25"/>
    <row r="15298" hidden="1" x14ac:dyDescent="0.25"/>
    <row r="15299" hidden="1" x14ac:dyDescent="0.25"/>
    <row r="15300" hidden="1" x14ac:dyDescent="0.25"/>
    <row r="15301" hidden="1" x14ac:dyDescent="0.25"/>
    <row r="15302" hidden="1" x14ac:dyDescent="0.25"/>
    <row r="15303" hidden="1" x14ac:dyDescent="0.25"/>
    <row r="15304" hidden="1" x14ac:dyDescent="0.25"/>
    <row r="15305" hidden="1" x14ac:dyDescent="0.25"/>
    <row r="15306" hidden="1" x14ac:dyDescent="0.25"/>
    <row r="15307" hidden="1" x14ac:dyDescent="0.25"/>
    <row r="15308" hidden="1" x14ac:dyDescent="0.25"/>
    <row r="15309" hidden="1" x14ac:dyDescent="0.25"/>
    <row r="15310" hidden="1" x14ac:dyDescent="0.25"/>
    <row r="15311" hidden="1" x14ac:dyDescent="0.25"/>
    <row r="15312" hidden="1" x14ac:dyDescent="0.25"/>
    <row r="15313" hidden="1" x14ac:dyDescent="0.25"/>
    <row r="15314" hidden="1" x14ac:dyDescent="0.25"/>
    <row r="15315" hidden="1" x14ac:dyDescent="0.25"/>
    <row r="15316" hidden="1" x14ac:dyDescent="0.25"/>
    <row r="15317" hidden="1" x14ac:dyDescent="0.25"/>
    <row r="15318" hidden="1" x14ac:dyDescent="0.25"/>
    <row r="15319" hidden="1" x14ac:dyDescent="0.25"/>
    <row r="15320" hidden="1" x14ac:dyDescent="0.25"/>
    <row r="15321" hidden="1" x14ac:dyDescent="0.25"/>
    <row r="15322" hidden="1" x14ac:dyDescent="0.25"/>
    <row r="15323" hidden="1" x14ac:dyDescent="0.25"/>
    <row r="15324" hidden="1" x14ac:dyDescent="0.25"/>
    <row r="15325" hidden="1" x14ac:dyDescent="0.25"/>
    <row r="15326" hidden="1" x14ac:dyDescent="0.25"/>
    <row r="15327" hidden="1" x14ac:dyDescent="0.25"/>
    <row r="15328" hidden="1" x14ac:dyDescent="0.25"/>
    <row r="15329" hidden="1" x14ac:dyDescent="0.25"/>
    <row r="15330" hidden="1" x14ac:dyDescent="0.25"/>
    <row r="15331" hidden="1" x14ac:dyDescent="0.25"/>
    <row r="15332" hidden="1" x14ac:dyDescent="0.25"/>
    <row r="15333" hidden="1" x14ac:dyDescent="0.25"/>
    <row r="15334" hidden="1" x14ac:dyDescent="0.25"/>
    <row r="15335" hidden="1" x14ac:dyDescent="0.25"/>
    <row r="15336" hidden="1" x14ac:dyDescent="0.25"/>
    <row r="15337" hidden="1" x14ac:dyDescent="0.25"/>
    <row r="15338" hidden="1" x14ac:dyDescent="0.25"/>
    <row r="15339" hidden="1" x14ac:dyDescent="0.25"/>
    <row r="15340" hidden="1" x14ac:dyDescent="0.25"/>
    <row r="15341" hidden="1" x14ac:dyDescent="0.25"/>
    <row r="15342" hidden="1" x14ac:dyDescent="0.25"/>
    <row r="15343" hidden="1" x14ac:dyDescent="0.25"/>
    <row r="15344" hidden="1" x14ac:dyDescent="0.25"/>
    <row r="15345" hidden="1" x14ac:dyDescent="0.25"/>
    <row r="15346" hidden="1" x14ac:dyDescent="0.25"/>
    <row r="15347" hidden="1" x14ac:dyDescent="0.25"/>
    <row r="15348" hidden="1" x14ac:dyDescent="0.25"/>
    <row r="15349" hidden="1" x14ac:dyDescent="0.25"/>
    <row r="15350" hidden="1" x14ac:dyDescent="0.25"/>
    <row r="15351" hidden="1" x14ac:dyDescent="0.25"/>
    <row r="15352" hidden="1" x14ac:dyDescent="0.25"/>
    <row r="15353" hidden="1" x14ac:dyDescent="0.25"/>
    <row r="15354" hidden="1" x14ac:dyDescent="0.25"/>
    <row r="15355" hidden="1" x14ac:dyDescent="0.25"/>
    <row r="15356" hidden="1" x14ac:dyDescent="0.25"/>
    <row r="15357" hidden="1" x14ac:dyDescent="0.25"/>
    <row r="15358" hidden="1" x14ac:dyDescent="0.25"/>
    <row r="15359" hidden="1" x14ac:dyDescent="0.25"/>
    <row r="15360" hidden="1" x14ac:dyDescent="0.25"/>
    <row r="15361" hidden="1" x14ac:dyDescent="0.25"/>
    <row r="15362" hidden="1" x14ac:dyDescent="0.25"/>
    <row r="15363" hidden="1" x14ac:dyDescent="0.25"/>
    <row r="15364" hidden="1" x14ac:dyDescent="0.25"/>
    <row r="15365" hidden="1" x14ac:dyDescent="0.25"/>
    <row r="15366" hidden="1" x14ac:dyDescent="0.25"/>
    <row r="15367" hidden="1" x14ac:dyDescent="0.25"/>
    <row r="15368" hidden="1" x14ac:dyDescent="0.25"/>
    <row r="15369" hidden="1" x14ac:dyDescent="0.25"/>
    <row r="15370" hidden="1" x14ac:dyDescent="0.25"/>
    <row r="15371" hidden="1" x14ac:dyDescent="0.25"/>
    <row r="15372" hidden="1" x14ac:dyDescent="0.25"/>
    <row r="15373" hidden="1" x14ac:dyDescent="0.25"/>
    <row r="15374" hidden="1" x14ac:dyDescent="0.25"/>
    <row r="15375" hidden="1" x14ac:dyDescent="0.25"/>
    <row r="15376" hidden="1" x14ac:dyDescent="0.25"/>
    <row r="15377" hidden="1" x14ac:dyDescent="0.25"/>
    <row r="15378" hidden="1" x14ac:dyDescent="0.25"/>
    <row r="15379" hidden="1" x14ac:dyDescent="0.25"/>
    <row r="15380" hidden="1" x14ac:dyDescent="0.25"/>
    <row r="15381" hidden="1" x14ac:dyDescent="0.25"/>
    <row r="15382" hidden="1" x14ac:dyDescent="0.25"/>
    <row r="15383" hidden="1" x14ac:dyDescent="0.25"/>
    <row r="15384" hidden="1" x14ac:dyDescent="0.25"/>
    <row r="15385" hidden="1" x14ac:dyDescent="0.25"/>
    <row r="15386" hidden="1" x14ac:dyDescent="0.25"/>
    <row r="15387" hidden="1" x14ac:dyDescent="0.25"/>
    <row r="15388" hidden="1" x14ac:dyDescent="0.25"/>
    <row r="15389" hidden="1" x14ac:dyDescent="0.25"/>
    <row r="15390" hidden="1" x14ac:dyDescent="0.25"/>
    <row r="15391" hidden="1" x14ac:dyDescent="0.25"/>
    <row r="15392" hidden="1" x14ac:dyDescent="0.25"/>
    <row r="15393" hidden="1" x14ac:dyDescent="0.25"/>
    <row r="15394" hidden="1" x14ac:dyDescent="0.25"/>
    <row r="15395" hidden="1" x14ac:dyDescent="0.25"/>
    <row r="15396" hidden="1" x14ac:dyDescent="0.25"/>
    <row r="15397" hidden="1" x14ac:dyDescent="0.25"/>
    <row r="15398" hidden="1" x14ac:dyDescent="0.25"/>
    <row r="15399" hidden="1" x14ac:dyDescent="0.25"/>
    <row r="15400" hidden="1" x14ac:dyDescent="0.25"/>
    <row r="15401" hidden="1" x14ac:dyDescent="0.25"/>
    <row r="15402" hidden="1" x14ac:dyDescent="0.25"/>
    <row r="15403" hidden="1" x14ac:dyDescent="0.25"/>
    <row r="15404" hidden="1" x14ac:dyDescent="0.25"/>
    <row r="15405" hidden="1" x14ac:dyDescent="0.25"/>
    <row r="15406" hidden="1" x14ac:dyDescent="0.25"/>
    <row r="15407" hidden="1" x14ac:dyDescent="0.25"/>
    <row r="15408" hidden="1" x14ac:dyDescent="0.25"/>
    <row r="15409" hidden="1" x14ac:dyDescent="0.25"/>
    <row r="15410" hidden="1" x14ac:dyDescent="0.25"/>
    <row r="15411" hidden="1" x14ac:dyDescent="0.25"/>
    <row r="15412" hidden="1" x14ac:dyDescent="0.25"/>
    <row r="15413" hidden="1" x14ac:dyDescent="0.25"/>
    <row r="15414" hidden="1" x14ac:dyDescent="0.25"/>
    <row r="15415" hidden="1" x14ac:dyDescent="0.25"/>
    <row r="15416" hidden="1" x14ac:dyDescent="0.25"/>
    <row r="15417" hidden="1" x14ac:dyDescent="0.25"/>
    <row r="15418" hidden="1" x14ac:dyDescent="0.25"/>
    <row r="15419" hidden="1" x14ac:dyDescent="0.25"/>
    <row r="15420" hidden="1" x14ac:dyDescent="0.25"/>
    <row r="15421" hidden="1" x14ac:dyDescent="0.25"/>
    <row r="15422" hidden="1" x14ac:dyDescent="0.25"/>
    <row r="15423" hidden="1" x14ac:dyDescent="0.25"/>
    <row r="15424" hidden="1" x14ac:dyDescent="0.25"/>
    <row r="15425" hidden="1" x14ac:dyDescent="0.25"/>
    <row r="15426" hidden="1" x14ac:dyDescent="0.25"/>
    <row r="15427" hidden="1" x14ac:dyDescent="0.25"/>
    <row r="15428" hidden="1" x14ac:dyDescent="0.25"/>
    <row r="15429" hidden="1" x14ac:dyDescent="0.25"/>
    <row r="15430" hidden="1" x14ac:dyDescent="0.25"/>
    <row r="15431" hidden="1" x14ac:dyDescent="0.25"/>
    <row r="15432" hidden="1" x14ac:dyDescent="0.25"/>
    <row r="15433" hidden="1" x14ac:dyDescent="0.25"/>
    <row r="15434" hidden="1" x14ac:dyDescent="0.25"/>
    <row r="15435" hidden="1" x14ac:dyDescent="0.25"/>
    <row r="15436" hidden="1" x14ac:dyDescent="0.25"/>
    <row r="15437" hidden="1" x14ac:dyDescent="0.25"/>
    <row r="15438" hidden="1" x14ac:dyDescent="0.25"/>
    <row r="15439" hidden="1" x14ac:dyDescent="0.25"/>
    <row r="15440" hidden="1" x14ac:dyDescent="0.25"/>
    <row r="15441" hidden="1" x14ac:dyDescent="0.25"/>
    <row r="15442" hidden="1" x14ac:dyDescent="0.25"/>
    <row r="15443" hidden="1" x14ac:dyDescent="0.25"/>
    <row r="15444" hidden="1" x14ac:dyDescent="0.25"/>
    <row r="15445" hidden="1" x14ac:dyDescent="0.25"/>
    <row r="15446" hidden="1" x14ac:dyDescent="0.25"/>
    <row r="15447" hidden="1" x14ac:dyDescent="0.25"/>
    <row r="15448" hidden="1" x14ac:dyDescent="0.25"/>
    <row r="15449" hidden="1" x14ac:dyDescent="0.25"/>
    <row r="15450" hidden="1" x14ac:dyDescent="0.25"/>
    <row r="15451" hidden="1" x14ac:dyDescent="0.25"/>
    <row r="15452" hidden="1" x14ac:dyDescent="0.25"/>
    <row r="15453" hidden="1" x14ac:dyDescent="0.25"/>
    <row r="15454" hidden="1" x14ac:dyDescent="0.25"/>
    <row r="15455" hidden="1" x14ac:dyDescent="0.25"/>
    <row r="15456" hidden="1" x14ac:dyDescent="0.25"/>
    <row r="15457" hidden="1" x14ac:dyDescent="0.25"/>
    <row r="15458" hidden="1" x14ac:dyDescent="0.25"/>
    <row r="15459" hidden="1" x14ac:dyDescent="0.25"/>
    <row r="15460" hidden="1" x14ac:dyDescent="0.25"/>
    <row r="15461" hidden="1" x14ac:dyDescent="0.25"/>
    <row r="15462" hidden="1" x14ac:dyDescent="0.25"/>
    <row r="15463" hidden="1" x14ac:dyDescent="0.25"/>
    <row r="15464" hidden="1" x14ac:dyDescent="0.25"/>
    <row r="15465" hidden="1" x14ac:dyDescent="0.25"/>
    <row r="15466" hidden="1" x14ac:dyDescent="0.25"/>
    <row r="15467" hidden="1" x14ac:dyDescent="0.25"/>
    <row r="15468" hidden="1" x14ac:dyDescent="0.25"/>
    <row r="15469" hidden="1" x14ac:dyDescent="0.25"/>
    <row r="15470" hidden="1" x14ac:dyDescent="0.25"/>
    <row r="15471" hidden="1" x14ac:dyDescent="0.25"/>
    <row r="15472" hidden="1" x14ac:dyDescent="0.25"/>
    <row r="15473" hidden="1" x14ac:dyDescent="0.25"/>
    <row r="15474" hidden="1" x14ac:dyDescent="0.25"/>
    <row r="15475" hidden="1" x14ac:dyDescent="0.25"/>
    <row r="15476" hidden="1" x14ac:dyDescent="0.25"/>
    <row r="15477" hidden="1" x14ac:dyDescent="0.25"/>
    <row r="15478" hidden="1" x14ac:dyDescent="0.25"/>
    <row r="15479" hidden="1" x14ac:dyDescent="0.25"/>
    <row r="15480" hidden="1" x14ac:dyDescent="0.25"/>
    <row r="15481" hidden="1" x14ac:dyDescent="0.25"/>
    <row r="15482" hidden="1" x14ac:dyDescent="0.25"/>
    <row r="15483" hidden="1" x14ac:dyDescent="0.25"/>
    <row r="15484" hidden="1" x14ac:dyDescent="0.25"/>
    <row r="15485" hidden="1" x14ac:dyDescent="0.25"/>
    <row r="15486" hidden="1" x14ac:dyDescent="0.25"/>
    <row r="15487" hidden="1" x14ac:dyDescent="0.25"/>
    <row r="15488" hidden="1" x14ac:dyDescent="0.25"/>
    <row r="15489" hidden="1" x14ac:dyDescent="0.25"/>
    <row r="15490" hidden="1" x14ac:dyDescent="0.25"/>
    <row r="15491" hidden="1" x14ac:dyDescent="0.25"/>
    <row r="15492" hidden="1" x14ac:dyDescent="0.25"/>
    <row r="15493" hidden="1" x14ac:dyDescent="0.25"/>
    <row r="15494" hidden="1" x14ac:dyDescent="0.25"/>
    <row r="15495" hidden="1" x14ac:dyDescent="0.25"/>
    <row r="15496" hidden="1" x14ac:dyDescent="0.25"/>
    <row r="15497" hidden="1" x14ac:dyDescent="0.25"/>
    <row r="15498" hidden="1" x14ac:dyDescent="0.25"/>
    <row r="15499" hidden="1" x14ac:dyDescent="0.25"/>
    <row r="15500" hidden="1" x14ac:dyDescent="0.25"/>
    <row r="15501" hidden="1" x14ac:dyDescent="0.25"/>
    <row r="15502" hidden="1" x14ac:dyDescent="0.25"/>
    <row r="15503" hidden="1" x14ac:dyDescent="0.25"/>
    <row r="15504" hidden="1" x14ac:dyDescent="0.25"/>
    <row r="15505" hidden="1" x14ac:dyDescent="0.25"/>
    <row r="15506" hidden="1" x14ac:dyDescent="0.25"/>
    <row r="15507" hidden="1" x14ac:dyDescent="0.25"/>
    <row r="15508" hidden="1" x14ac:dyDescent="0.25"/>
    <row r="15509" hidden="1" x14ac:dyDescent="0.25"/>
    <row r="15510" hidden="1" x14ac:dyDescent="0.25"/>
    <row r="15511" hidden="1" x14ac:dyDescent="0.25"/>
    <row r="15512" hidden="1" x14ac:dyDescent="0.25"/>
    <row r="15513" hidden="1" x14ac:dyDescent="0.25"/>
    <row r="15514" hidden="1" x14ac:dyDescent="0.25"/>
    <row r="15515" hidden="1" x14ac:dyDescent="0.25"/>
    <row r="15516" hidden="1" x14ac:dyDescent="0.25"/>
    <row r="15517" hidden="1" x14ac:dyDescent="0.25"/>
    <row r="15518" hidden="1" x14ac:dyDescent="0.25"/>
    <row r="15519" hidden="1" x14ac:dyDescent="0.25"/>
    <row r="15520" hidden="1" x14ac:dyDescent="0.25"/>
    <row r="15521" hidden="1" x14ac:dyDescent="0.25"/>
    <row r="15522" hidden="1" x14ac:dyDescent="0.25"/>
    <row r="15523" hidden="1" x14ac:dyDescent="0.25"/>
    <row r="15524" hidden="1" x14ac:dyDescent="0.25"/>
    <row r="15525" hidden="1" x14ac:dyDescent="0.25"/>
    <row r="15526" hidden="1" x14ac:dyDescent="0.25"/>
    <row r="15527" hidden="1" x14ac:dyDescent="0.25"/>
    <row r="15528" hidden="1" x14ac:dyDescent="0.25"/>
    <row r="15529" hidden="1" x14ac:dyDescent="0.25"/>
    <row r="15530" hidden="1" x14ac:dyDescent="0.25"/>
    <row r="15531" hidden="1" x14ac:dyDescent="0.25"/>
    <row r="15532" hidden="1" x14ac:dyDescent="0.25"/>
    <row r="15533" hidden="1" x14ac:dyDescent="0.25"/>
    <row r="15534" hidden="1" x14ac:dyDescent="0.25"/>
    <row r="15535" hidden="1" x14ac:dyDescent="0.25"/>
    <row r="15536" hidden="1" x14ac:dyDescent="0.25"/>
    <row r="15537" hidden="1" x14ac:dyDescent="0.25"/>
    <row r="15538" hidden="1" x14ac:dyDescent="0.25"/>
    <row r="15539" hidden="1" x14ac:dyDescent="0.25"/>
    <row r="15540" hidden="1" x14ac:dyDescent="0.25"/>
    <row r="15541" hidden="1" x14ac:dyDescent="0.25"/>
    <row r="15542" hidden="1" x14ac:dyDescent="0.25"/>
    <row r="15543" hidden="1" x14ac:dyDescent="0.25"/>
    <row r="15544" hidden="1" x14ac:dyDescent="0.25"/>
    <row r="15545" hidden="1" x14ac:dyDescent="0.25"/>
    <row r="15546" hidden="1" x14ac:dyDescent="0.25"/>
    <row r="15547" hidden="1" x14ac:dyDescent="0.25"/>
    <row r="15548" hidden="1" x14ac:dyDescent="0.25"/>
    <row r="15549" hidden="1" x14ac:dyDescent="0.25"/>
    <row r="15550" hidden="1" x14ac:dyDescent="0.25"/>
    <row r="15551" hidden="1" x14ac:dyDescent="0.25"/>
    <row r="15552" hidden="1" x14ac:dyDescent="0.25"/>
    <row r="15553" hidden="1" x14ac:dyDescent="0.25"/>
    <row r="15554" hidden="1" x14ac:dyDescent="0.25"/>
    <row r="15555" hidden="1" x14ac:dyDescent="0.25"/>
    <row r="15556" hidden="1" x14ac:dyDescent="0.25"/>
    <row r="15557" hidden="1" x14ac:dyDescent="0.25"/>
    <row r="15558" hidden="1" x14ac:dyDescent="0.25"/>
    <row r="15559" hidden="1" x14ac:dyDescent="0.25"/>
    <row r="15560" hidden="1" x14ac:dyDescent="0.25"/>
    <row r="15561" hidden="1" x14ac:dyDescent="0.25"/>
    <row r="15562" hidden="1" x14ac:dyDescent="0.25"/>
    <row r="15563" hidden="1" x14ac:dyDescent="0.25"/>
    <row r="15564" hidden="1" x14ac:dyDescent="0.25"/>
    <row r="15565" hidden="1" x14ac:dyDescent="0.25"/>
    <row r="15566" hidden="1" x14ac:dyDescent="0.25"/>
    <row r="15567" hidden="1" x14ac:dyDescent="0.25"/>
    <row r="15568" hidden="1" x14ac:dyDescent="0.25"/>
    <row r="15569" hidden="1" x14ac:dyDescent="0.25"/>
    <row r="15570" hidden="1" x14ac:dyDescent="0.25"/>
    <row r="15571" hidden="1" x14ac:dyDescent="0.25"/>
    <row r="15572" hidden="1" x14ac:dyDescent="0.25"/>
    <row r="15573" hidden="1" x14ac:dyDescent="0.25"/>
    <row r="15574" hidden="1" x14ac:dyDescent="0.25"/>
    <row r="15575" hidden="1" x14ac:dyDescent="0.25"/>
    <row r="15576" hidden="1" x14ac:dyDescent="0.25"/>
    <row r="15577" hidden="1" x14ac:dyDescent="0.25"/>
    <row r="15578" hidden="1" x14ac:dyDescent="0.25"/>
    <row r="15579" hidden="1" x14ac:dyDescent="0.25"/>
    <row r="15580" hidden="1" x14ac:dyDescent="0.25"/>
    <row r="15581" hidden="1" x14ac:dyDescent="0.25"/>
    <row r="15582" hidden="1" x14ac:dyDescent="0.25"/>
    <row r="15583" hidden="1" x14ac:dyDescent="0.25"/>
    <row r="15584" hidden="1" x14ac:dyDescent="0.25"/>
    <row r="15585" hidden="1" x14ac:dyDescent="0.25"/>
    <row r="15586" hidden="1" x14ac:dyDescent="0.25"/>
    <row r="15587" hidden="1" x14ac:dyDescent="0.25"/>
    <row r="15588" hidden="1" x14ac:dyDescent="0.25"/>
    <row r="15589" hidden="1" x14ac:dyDescent="0.25"/>
    <row r="15590" hidden="1" x14ac:dyDescent="0.25"/>
    <row r="15591" hidden="1" x14ac:dyDescent="0.25"/>
    <row r="15592" hidden="1" x14ac:dyDescent="0.25"/>
    <row r="15593" hidden="1" x14ac:dyDescent="0.25"/>
    <row r="15594" hidden="1" x14ac:dyDescent="0.25"/>
    <row r="15595" hidden="1" x14ac:dyDescent="0.25"/>
    <row r="15596" hidden="1" x14ac:dyDescent="0.25"/>
    <row r="15597" hidden="1" x14ac:dyDescent="0.25"/>
    <row r="15598" hidden="1" x14ac:dyDescent="0.25"/>
    <row r="15599" hidden="1" x14ac:dyDescent="0.25"/>
    <row r="15600" hidden="1" x14ac:dyDescent="0.25"/>
    <row r="15601" hidden="1" x14ac:dyDescent="0.25"/>
    <row r="15602" hidden="1" x14ac:dyDescent="0.25"/>
    <row r="15603" hidden="1" x14ac:dyDescent="0.25"/>
    <row r="15604" hidden="1" x14ac:dyDescent="0.25"/>
    <row r="15605" hidden="1" x14ac:dyDescent="0.25"/>
    <row r="15606" hidden="1" x14ac:dyDescent="0.25"/>
    <row r="15607" hidden="1" x14ac:dyDescent="0.25"/>
    <row r="15608" hidden="1" x14ac:dyDescent="0.25"/>
    <row r="15609" hidden="1" x14ac:dyDescent="0.25"/>
    <row r="15610" hidden="1" x14ac:dyDescent="0.25"/>
    <row r="15611" hidden="1" x14ac:dyDescent="0.25"/>
    <row r="15612" hidden="1" x14ac:dyDescent="0.25"/>
    <row r="15613" hidden="1" x14ac:dyDescent="0.25"/>
    <row r="15614" hidden="1" x14ac:dyDescent="0.25"/>
    <row r="15615" hidden="1" x14ac:dyDescent="0.25"/>
    <row r="15616" hidden="1" x14ac:dyDescent="0.25"/>
    <row r="15617" hidden="1" x14ac:dyDescent="0.25"/>
    <row r="15618" hidden="1" x14ac:dyDescent="0.25"/>
    <row r="15619" hidden="1" x14ac:dyDescent="0.25"/>
    <row r="15620" hidden="1" x14ac:dyDescent="0.25"/>
    <row r="15621" hidden="1" x14ac:dyDescent="0.25"/>
    <row r="15622" hidden="1" x14ac:dyDescent="0.25"/>
    <row r="15623" hidden="1" x14ac:dyDescent="0.25"/>
    <row r="15624" hidden="1" x14ac:dyDescent="0.25"/>
    <row r="15625" hidden="1" x14ac:dyDescent="0.25"/>
    <row r="15626" hidden="1" x14ac:dyDescent="0.25"/>
    <row r="15627" hidden="1" x14ac:dyDescent="0.25"/>
    <row r="15628" hidden="1" x14ac:dyDescent="0.25"/>
    <row r="15629" hidden="1" x14ac:dyDescent="0.25"/>
    <row r="15630" hidden="1" x14ac:dyDescent="0.25"/>
    <row r="15631" hidden="1" x14ac:dyDescent="0.25"/>
    <row r="15632" hidden="1" x14ac:dyDescent="0.25"/>
    <row r="15633" hidden="1" x14ac:dyDescent="0.25"/>
    <row r="15634" hidden="1" x14ac:dyDescent="0.25"/>
    <row r="15635" hidden="1" x14ac:dyDescent="0.25"/>
    <row r="15636" hidden="1" x14ac:dyDescent="0.25"/>
    <row r="15637" hidden="1" x14ac:dyDescent="0.25"/>
    <row r="15638" hidden="1" x14ac:dyDescent="0.25"/>
    <row r="15639" hidden="1" x14ac:dyDescent="0.25"/>
    <row r="15640" hidden="1" x14ac:dyDescent="0.25"/>
    <row r="15641" hidden="1" x14ac:dyDescent="0.25"/>
    <row r="15642" hidden="1" x14ac:dyDescent="0.25"/>
    <row r="15643" hidden="1" x14ac:dyDescent="0.25"/>
    <row r="15644" hidden="1" x14ac:dyDescent="0.25"/>
    <row r="15645" hidden="1" x14ac:dyDescent="0.25"/>
    <row r="15646" hidden="1" x14ac:dyDescent="0.25"/>
    <row r="15647" hidden="1" x14ac:dyDescent="0.25"/>
    <row r="15648" hidden="1" x14ac:dyDescent="0.25"/>
    <row r="15649" hidden="1" x14ac:dyDescent="0.25"/>
    <row r="15650" hidden="1" x14ac:dyDescent="0.25"/>
    <row r="15651" hidden="1" x14ac:dyDescent="0.25"/>
    <row r="15652" hidden="1" x14ac:dyDescent="0.25"/>
    <row r="15653" hidden="1" x14ac:dyDescent="0.25"/>
    <row r="15654" hidden="1" x14ac:dyDescent="0.25"/>
    <row r="15655" hidden="1" x14ac:dyDescent="0.25"/>
    <row r="15656" hidden="1" x14ac:dyDescent="0.25"/>
    <row r="15657" hidden="1" x14ac:dyDescent="0.25"/>
    <row r="15658" hidden="1" x14ac:dyDescent="0.25"/>
    <row r="15659" hidden="1" x14ac:dyDescent="0.25"/>
    <row r="15660" hidden="1" x14ac:dyDescent="0.25"/>
    <row r="15661" hidden="1" x14ac:dyDescent="0.25"/>
    <row r="15662" hidden="1" x14ac:dyDescent="0.25"/>
    <row r="15663" hidden="1" x14ac:dyDescent="0.25"/>
    <row r="15664" hidden="1" x14ac:dyDescent="0.25"/>
    <row r="15665" hidden="1" x14ac:dyDescent="0.25"/>
    <row r="15666" hidden="1" x14ac:dyDescent="0.25"/>
    <row r="15667" hidden="1" x14ac:dyDescent="0.25"/>
    <row r="15668" hidden="1" x14ac:dyDescent="0.25"/>
    <row r="15669" hidden="1" x14ac:dyDescent="0.25"/>
    <row r="15670" hidden="1" x14ac:dyDescent="0.25"/>
    <row r="15671" hidden="1" x14ac:dyDescent="0.25"/>
    <row r="15672" hidden="1" x14ac:dyDescent="0.25"/>
    <row r="15673" hidden="1" x14ac:dyDescent="0.25"/>
    <row r="15674" hidden="1" x14ac:dyDescent="0.25"/>
    <row r="15675" hidden="1" x14ac:dyDescent="0.25"/>
    <row r="15676" hidden="1" x14ac:dyDescent="0.25"/>
    <row r="15677" hidden="1" x14ac:dyDescent="0.25"/>
    <row r="15678" hidden="1" x14ac:dyDescent="0.25"/>
    <row r="15679" hidden="1" x14ac:dyDescent="0.25"/>
    <row r="15680" hidden="1" x14ac:dyDescent="0.25"/>
    <row r="15681" hidden="1" x14ac:dyDescent="0.25"/>
    <row r="15682" hidden="1" x14ac:dyDescent="0.25"/>
    <row r="15683" hidden="1" x14ac:dyDescent="0.25"/>
    <row r="15684" hidden="1" x14ac:dyDescent="0.25"/>
    <row r="15685" hidden="1" x14ac:dyDescent="0.25"/>
    <row r="15686" hidden="1" x14ac:dyDescent="0.25"/>
    <row r="15687" hidden="1" x14ac:dyDescent="0.25"/>
    <row r="15688" hidden="1" x14ac:dyDescent="0.25"/>
    <row r="15689" hidden="1" x14ac:dyDescent="0.25"/>
    <row r="15690" hidden="1" x14ac:dyDescent="0.25"/>
    <row r="15691" hidden="1" x14ac:dyDescent="0.25"/>
    <row r="15692" hidden="1" x14ac:dyDescent="0.25"/>
    <row r="15693" hidden="1" x14ac:dyDescent="0.25"/>
    <row r="15694" hidden="1" x14ac:dyDescent="0.25"/>
    <row r="15695" hidden="1" x14ac:dyDescent="0.25"/>
    <row r="15696" hidden="1" x14ac:dyDescent="0.25"/>
    <row r="15697" hidden="1" x14ac:dyDescent="0.25"/>
    <row r="15698" hidden="1" x14ac:dyDescent="0.25"/>
    <row r="15699" hidden="1" x14ac:dyDescent="0.25"/>
    <row r="15700" hidden="1" x14ac:dyDescent="0.25"/>
    <row r="15701" hidden="1" x14ac:dyDescent="0.25"/>
    <row r="15702" hidden="1" x14ac:dyDescent="0.25"/>
    <row r="15703" hidden="1" x14ac:dyDescent="0.25"/>
    <row r="15704" hidden="1" x14ac:dyDescent="0.25"/>
    <row r="15705" hidden="1" x14ac:dyDescent="0.25"/>
    <row r="15706" hidden="1" x14ac:dyDescent="0.25"/>
    <row r="15707" hidden="1" x14ac:dyDescent="0.25"/>
    <row r="15708" hidden="1" x14ac:dyDescent="0.25"/>
    <row r="15709" hidden="1" x14ac:dyDescent="0.25"/>
    <row r="15710" hidden="1" x14ac:dyDescent="0.25"/>
    <row r="15711" hidden="1" x14ac:dyDescent="0.25"/>
    <row r="15712" hidden="1" x14ac:dyDescent="0.25"/>
    <row r="15713" hidden="1" x14ac:dyDescent="0.25"/>
    <row r="15714" hidden="1" x14ac:dyDescent="0.25"/>
    <row r="15715" hidden="1" x14ac:dyDescent="0.25"/>
    <row r="15716" hidden="1" x14ac:dyDescent="0.25"/>
    <row r="15717" hidden="1" x14ac:dyDescent="0.25"/>
    <row r="15718" hidden="1" x14ac:dyDescent="0.25"/>
    <row r="15719" hidden="1" x14ac:dyDescent="0.25"/>
    <row r="15720" hidden="1" x14ac:dyDescent="0.25"/>
    <row r="15721" hidden="1" x14ac:dyDescent="0.25"/>
    <row r="15722" hidden="1" x14ac:dyDescent="0.25"/>
    <row r="15723" hidden="1" x14ac:dyDescent="0.25"/>
    <row r="15724" hidden="1" x14ac:dyDescent="0.25"/>
    <row r="15725" hidden="1" x14ac:dyDescent="0.25"/>
    <row r="15726" hidden="1" x14ac:dyDescent="0.25"/>
    <row r="15727" hidden="1" x14ac:dyDescent="0.25"/>
    <row r="15728" hidden="1" x14ac:dyDescent="0.25"/>
    <row r="15729" hidden="1" x14ac:dyDescent="0.25"/>
    <row r="15730" hidden="1" x14ac:dyDescent="0.25"/>
    <row r="15731" hidden="1" x14ac:dyDescent="0.25"/>
    <row r="15732" hidden="1" x14ac:dyDescent="0.25"/>
    <row r="15733" hidden="1" x14ac:dyDescent="0.25"/>
    <row r="15734" hidden="1" x14ac:dyDescent="0.25"/>
    <row r="15735" hidden="1" x14ac:dyDescent="0.25"/>
    <row r="15736" hidden="1" x14ac:dyDescent="0.25"/>
    <row r="15737" hidden="1" x14ac:dyDescent="0.25"/>
    <row r="15738" hidden="1" x14ac:dyDescent="0.25"/>
    <row r="15739" hidden="1" x14ac:dyDescent="0.25"/>
    <row r="15740" hidden="1" x14ac:dyDescent="0.25"/>
    <row r="15741" hidden="1" x14ac:dyDescent="0.25"/>
    <row r="15742" hidden="1" x14ac:dyDescent="0.25"/>
    <row r="15743" hidden="1" x14ac:dyDescent="0.25"/>
    <row r="15744" hidden="1" x14ac:dyDescent="0.25"/>
    <row r="15745" hidden="1" x14ac:dyDescent="0.25"/>
    <row r="15746" hidden="1" x14ac:dyDescent="0.25"/>
    <row r="15747" hidden="1" x14ac:dyDescent="0.25"/>
    <row r="15748" hidden="1" x14ac:dyDescent="0.25"/>
    <row r="15749" hidden="1" x14ac:dyDescent="0.25"/>
    <row r="15750" hidden="1" x14ac:dyDescent="0.25"/>
    <row r="15751" hidden="1" x14ac:dyDescent="0.25"/>
    <row r="15752" hidden="1" x14ac:dyDescent="0.25"/>
    <row r="15753" hidden="1" x14ac:dyDescent="0.25"/>
    <row r="15754" hidden="1" x14ac:dyDescent="0.25"/>
    <row r="15755" hidden="1" x14ac:dyDescent="0.25"/>
    <row r="15756" hidden="1" x14ac:dyDescent="0.25"/>
    <row r="15757" hidden="1" x14ac:dyDescent="0.25"/>
    <row r="15758" hidden="1" x14ac:dyDescent="0.25"/>
    <row r="15759" hidden="1" x14ac:dyDescent="0.25"/>
    <row r="15760" hidden="1" x14ac:dyDescent="0.25"/>
    <row r="15761" hidden="1" x14ac:dyDescent="0.25"/>
    <row r="15762" hidden="1" x14ac:dyDescent="0.25"/>
    <row r="15763" hidden="1" x14ac:dyDescent="0.25"/>
    <row r="15764" hidden="1" x14ac:dyDescent="0.25"/>
    <row r="15765" hidden="1" x14ac:dyDescent="0.25"/>
    <row r="15766" hidden="1" x14ac:dyDescent="0.25"/>
    <row r="15767" hidden="1" x14ac:dyDescent="0.25"/>
    <row r="15768" hidden="1" x14ac:dyDescent="0.25"/>
    <row r="15769" hidden="1" x14ac:dyDescent="0.25"/>
    <row r="15770" hidden="1" x14ac:dyDescent="0.25"/>
    <row r="15771" hidden="1" x14ac:dyDescent="0.25"/>
    <row r="15772" hidden="1" x14ac:dyDescent="0.25"/>
    <row r="15773" hidden="1" x14ac:dyDescent="0.25"/>
    <row r="15774" hidden="1" x14ac:dyDescent="0.25"/>
    <row r="15775" hidden="1" x14ac:dyDescent="0.25"/>
    <row r="15776" hidden="1" x14ac:dyDescent="0.25"/>
    <row r="15777" hidden="1" x14ac:dyDescent="0.25"/>
    <row r="15778" hidden="1" x14ac:dyDescent="0.25"/>
    <row r="15779" hidden="1" x14ac:dyDescent="0.25"/>
    <row r="15780" hidden="1" x14ac:dyDescent="0.25"/>
    <row r="15781" hidden="1" x14ac:dyDescent="0.25"/>
    <row r="15782" hidden="1" x14ac:dyDescent="0.25"/>
    <row r="15783" hidden="1" x14ac:dyDescent="0.25"/>
    <row r="15784" hidden="1" x14ac:dyDescent="0.25"/>
    <row r="15785" hidden="1" x14ac:dyDescent="0.25"/>
    <row r="15786" hidden="1" x14ac:dyDescent="0.25"/>
    <row r="15787" hidden="1" x14ac:dyDescent="0.25"/>
    <row r="15788" hidden="1" x14ac:dyDescent="0.25"/>
    <row r="15789" hidden="1" x14ac:dyDescent="0.25"/>
    <row r="15790" hidden="1" x14ac:dyDescent="0.25"/>
    <row r="15791" hidden="1" x14ac:dyDescent="0.25"/>
    <row r="15792" hidden="1" x14ac:dyDescent="0.25"/>
    <row r="15793" hidden="1" x14ac:dyDescent="0.25"/>
    <row r="15794" hidden="1" x14ac:dyDescent="0.25"/>
    <row r="15795" hidden="1" x14ac:dyDescent="0.25"/>
    <row r="15796" hidden="1" x14ac:dyDescent="0.25"/>
    <row r="15797" hidden="1" x14ac:dyDescent="0.25"/>
    <row r="15798" hidden="1" x14ac:dyDescent="0.25"/>
    <row r="15799" hidden="1" x14ac:dyDescent="0.25"/>
    <row r="15800" hidden="1" x14ac:dyDescent="0.25"/>
    <row r="15801" hidden="1" x14ac:dyDescent="0.25"/>
    <row r="15802" hidden="1" x14ac:dyDescent="0.25"/>
    <row r="15803" hidden="1" x14ac:dyDescent="0.25"/>
    <row r="15804" hidden="1" x14ac:dyDescent="0.25"/>
    <row r="15805" hidden="1" x14ac:dyDescent="0.25"/>
    <row r="15806" hidden="1" x14ac:dyDescent="0.25"/>
    <row r="15807" hidden="1" x14ac:dyDescent="0.25"/>
    <row r="15808" hidden="1" x14ac:dyDescent="0.25"/>
    <row r="15809" hidden="1" x14ac:dyDescent="0.25"/>
    <row r="15810" hidden="1" x14ac:dyDescent="0.25"/>
    <row r="15811" hidden="1" x14ac:dyDescent="0.25"/>
    <row r="15812" hidden="1" x14ac:dyDescent="0.25"/>
    <row r="15813" hidden="1" x14ac:dyDescent="0.25"/>
    <row r="15814" hidden="1" x14ac:dyDescent="0.25"/>
    <row r="15815" hidden="1" x14ac:dyDescent="0.25"/>
    <row r="15816" hidden="1" x14ac:dyDescent="0.25"/>
    <row r="15817" hidden="1" x14ac:dyDescent="0.25"/>
    <row r="15818" hidden="1" x14ac:dyDescent="0.25"/>
    <row r="15819" hidden="1" x14ac:dyDescent="0.25"/>
    <row r="15820" hidden="1" x14ac:dyDescent="0.25"/>
    <row r="15821" hidden="1" x14ac:dyDescent="0.25"/>
    <row r="15822" hidden="1" x14ac:dyDescent="0.25"/>
    <row r="15823" hidden="1" x14ac:dyDescent="0.25"/>
    <row r="15824" hidden="1" x14ac:dyDescent="0.25"/>
    <row r="15825" hidden="1" x14ac:dyDescent="0.25"/>
    <row r="15826" hidden="1" x14ac:dyDescent="0.25"/>
    <row r="15827" hidden="1" x14ac:dyDescent="0.25"/>
    <row r="15828" hidden="1" x14ac:dyDescent="0.25"/>
    <row r="15829" hidden="1" x14ac:dyDescent="0.25"/>
    <row r="15830" hidden="1" x14ac:dyDescent="0.25"/>
    <row r="15831" hidden="1" x14ac:dyDescent="0.25"/>
    <row r="15832" hidden="1" x14ac:dyDescent="0.25"/>
    <row r="15833" hidden="1" x14ac:dyDescent="0.25"/>
    <row r="15834" hidden="1" x14ac:dyDescent="0.25"/>
    <row r="15835" hidden="1" x14ac:dyDescent="0.25"/>
    <row r="15836" hidden="1" x14ac:dyDescent="0.25"/>
    <row r="15837" hidden="1" x14ac:dyDescent="0.25"/>
    <row r="15838" hidden="1" x14ac:dyDescent="0.25"/>
    <row r="15839" hidden="1" x14ac:dyDescent="0.25"/>
    <row r="15840" hidden="1" x14ac:dyDescent="0.25"/>
    <row r="15841" hidden="1" x14ac:dyDescent="0.25"/>
    <row r="15842" hidden="1" x14ac:dyDescent="0.25"/>
    <row r="15843" hidden="1" x14ac:dyDescent="0.25"/>
    <row r="15844" hidden="1" x14ac:dyDescent="0.25"/>
    <row r="15845" hidden="1" x14ac:dyDescent="0.25"/>
    <row r="15846" hidden="1" x14ac:dyDescent="0.25"/>
    <row r="15847" hidden="1" x14ac:dyDescent="0.25"/>
    <row r="15848" hidden="1" x14ac:dyDescent="0.25"/>
    <row r="15849" hidden="1" x14ac:dyDescent="0.25"/>
    <row r="15850" hidden="1" x14ac:dyDescent="0.25"/>
    <row r="15851" hidden="1" x14ac:dyDescent="0.25"/>
    <row r="15852" hidden="1" x14ac:dyDescent="0.25"/>
    <row r="15853" hidden="1" x14ac:dyDescent="0.25"/>
    <row r="15854" hidden="1" x14ac:dyDescent="0.25"/>
    <row r="15855" hidden="1" x14ac:dyDescent="0.25"/>
    <row r="15856" hidden="1" x14ac:dyDescent="0.25"/>
    <row r="15857" hidden="1" x14ac:dyDescent="0.25"/>
    <row r="15858" hidden="1" x14ac:dyDescent="0.25"/>
    <row r="15859" hidden="1" x14ac:dyDescent="0.25"/>
    <row r="15860" hidden="1" x14ac:dyDescent="0.25"/>
    <row r="15861" hidden="1" x14ac:dyDescent="0.25"/>
    <row r="15862" hidden="1" x14ac:dyDescent="0.25"/>
    <row r="15863" hidden="1" x14ac:dyDescent="0.25"/>
    <row r="15864" hidden="1" x14ac:dyDescent="0.25"/>
    <row r="15865" hidden="1" x14ac:dyDescent="0.25"/>
    <row r="15866" hidden="1" x14ac:dyDescent="0.25"/>
    <row r="15867" hidden="1" x14ac:dyDescent="0.25"/>
    <row r="15868" hidden="1" x14ac:dyDescent="0.25"/>
    <row r="15869" hidden="1" x14ac:dyDescent="0.25"/>
    <row r="15870" hidden="1" x14ac:dyDescent="0.25"/>
    <row r="15871" hidden="1" x14ac:dyDescent="0.25"/>
    <row r="15872" hidden="1" x14ac:dyDescent="0.25"/>
    <row r="15873" hidden="1" x14ac:dyDescent="0.25"/>
    <row r="15874" hidden="1" x14ac:dyDescent="0.25"/>
    <row r="15875" hidden="1" x14ac:dyDescent="0.25"/>
    <row r="15876" hidden="1" x14ac:dyDescent="0.25"/>
    <row r="15877" hidden="1" x14ac:dyDescent="0.25"/>
    <row r="15878" hidden="1" x14ac:dyDescent="0.25"/>
    <row r="15879" hidden="1" x14ac:dyDescent="0.25"/>
    <row r="15880" hidden="1" x14ac:dyDescent="0.25"/>
    <row r="15881" hidden="1" x14ac:dyDescent="0.25"/>
    <row r="15882" hidden="1" x14ac:dyDescent="0.25"/>
    <row r="15883" hidden="1" x14ac:dyDescent="0.25"/>
    <row r="15884" hidden="1" x14ac:dyDescent="0.25"/>
    <row r="15885" hidden="1" x14ac:dyDescent="0.25"/>
    <row r="15886" hidden="1" x14ac:dyDescent="0.25"/>
    <row r="15887" hidden="1" x14ac:dyDescent="0.25"/>
    <row r="15888" hidden="1" x14ac:dyDescent="0.25"/>
    <row r="15889" hidden="1" x14ac:dyDescent="0.25"/>
    <row r="15890" hidden="1" x14ac:dyDescent="0.25"/>
    <row r="15891" hidden="1" x14ac:dyDescent="0.25"/>
    <row r="15892" hidden="1" x14ac:dyDescent="0.25"/>
    <row r="15893" hidden="1" x14ac:dyDescent="0.25"/>
    <row r="15894" hidden="1" x14ac:dyDescent="0.25"/>
    <row r="15895" hidden="1" x14ac:dyDescent="0.25"/>
    <row r="15896" hidden="1" x14ac:dyDescent="0.25"/>
    <row r="15897" hidden="1" x14ac:dyDescent="0.25"/>
    <row r="15898" hidden="1" x14ac:dyDescent="0.25"/>
    <row r="15899" hidden="1" x14ac:dyDescent="0.25"/>
    <row r="15900" hidden="1" x14ac:dyDescent="0.25"/>
    <row r="15901" hidden="1" x14ac:dyDescent="0.25"/>
    <row r="15902" hidden="1" x14ac:dyDescent="0.25"/>
    <row r="15903" hidden="1" x14ac:dyDescent="0.25"/>
    <row r="15904" hidden="1" x14ac:dyDescent="0.25"/>
    <row r="15905" hidden="1" x14ac:dyDescent="0.25"/>
    <row r="15906" hidden="1" x14ac:dyDescent="0.25"/>
    <row r="15907" hidden="1" x14ac:dyDescent="0.25"/>
    <row r="15908" hidden="1" x14ac:dyDescent="0.25"/>
    <row r="15909" hidden="1" x14ac:dyDescent="0.25"/>
    <row r="15910" hidden="1" x14ac:dyDescent="0.25"/>
    <row r="15911" hidden="1" x14ac:dyDescent="0.25"/>
    <row r="15912" hidden="1" x14ac:dyDescent="0.25"/>
    <row r="15913" hidden="1" x14ac:dyDescent="0.25"/>
    <row r="15914" hidden="1" x14ac:dyDescent="0.25"/>
    <row r="15915" hidden="1" x14ac:dyDescent="0.25"/>
    <row r="15916" hidden="1" x14ac:dyDescent="0.25"/>
    <row r="15917" hidden="1" x14ac:dyDescent="0.25"/>
    <row r="15918" hidden="1" x14ac:dyDescent="0.25"/>
    <row r="15919" hidden="1" x14ac:dyDescent="0.25"/>
    <row r="15920" hidden="1" x14ac:dyDescent="0.25"/>
    <row r="15921" hidden="1" x14ac:dyDescent="0.25"/>
    <row r="15922" hidden="1" x14ac:dyDescent="0.25"/>
    <row r="15923" hidden="1" x14ac:dyDescent="0.25"/>
    <row r="15924" hidden="1" x14ac:dyDescent="0.25"/>
    <row r="15925" hidden="1" x14ac:dyDescent="0.25"/>
    <row r="15926" hidden="1" x14ac:dyDescent="0.25"/>
    <row r="15927" hidden="1" x14ac:dyDescent="0.25"/>
    <row r="15928" hidden="1" x14ac:dyDescent="0.25"/>
    <row r="15929" hidden="1" x14ac:dyDescent="0.25"/>
    <row r="15930" hidden="1" x14ac:dyDescent="0.25"/>
    <row r="15931" hidden="1" x14ac:dyDescent="0.25"/>
    <row r="15932" hidden="1" x14ac:dyDescent="0.25"/>
    <row r="15933" hidden="1" x14ac:dyDescent="0.25"/>
    <row r="15934" hidden="1" x14ac:dyDescent="0.25"/>
    <row r="15935" hidden="1" x14ac:dyDescent="0.25"/>
    <row r="15936" hidden="1" x14ac:dyDescent="0.25"/>
    <row r="15937" hidden="1" x14ac:dyDescent="0.25"/>
    <row r="15938" hidden="1" x14ac:dyDescent="0.25"/>
    <row r="15939" hidden="1" x14ac:dyDescent="0.25"/>
    <row r="15940" hidden="1" x14ac:dyDescent="0.25"/>
    <row r="15941" hidden="1" x14ac:dyDescent="0.25"/>
    <row r="15942" hidden="1" x14ac:dyDescent="0.25"/>
    <row r="15943" hidden="1" x14ac:dyDescent="0.25"/>
    <row r="15944" hidden="1" x14ac:dyDescent="0.25"/>
    <row r="15945" hidden="1" x14ac:dyDescent="0.25"/>
    <row r="15946" hidden="1" x14ac:dyDescent="0.25"/>
    <row r="15947" hidden="1" x14ac:dyDescent="0.25"/>
    <row r="15948" hidden="1" x14ac:dyDescent="0.25"/>
    <row r="15949" hidden="1" x14ac:dyDescent="0.25"/>
    <row r="15950" hidden="1" x14ac:dyDescent="0.25"/>
    <row r="15951" hidden="1" x14ac:dyDescent="0.25"/>
    <row r="15952" hidden="1" x14ac:dyDescent="0.25"/>
    <row r="15953" hidden="1" x14ac:dyDescent="0.25"/>
    <row r="15954" hidden="1" x14ac:dyDescent="0.25"/>
    <row r="15955" hidden="1" x14ac:dyDescent="0.25"/>
    <row r="15956" hidden="1" x14ac:dyDescent="0.25"/>
    <row r="15957" hidden="1" x14ac:dyDescent="0.25"/>
    <row r="15958" hidden="1" x14ac:dyDescent="0.25"/>
    <row r="15959" hidden="1" x14ac:dyDescent="0.25"/>
    <row r="15960" hidden="1" x14ac:dyDescent="0.25"/>
    <row r="15961" hidden="1" x14ac:dyDescent="0.25"/>
    <row r="15962" hidden="1" x14ac:dyDescent="0.25"/>
    <row r="15963" hidden="1" x14ac:dyDescent="0.25"/>
    <row r="15964" hidden="1" x14ac:dyDescent="0.25"/>
    <row r="15965" hidden="1" x14ac:dyDescent="0.25"/>
    <row r="15966" hidden="1" x14ac:dyDescent="0.25"/>
    <row r="15967" hidden="1" x14ac:dyDescent="0.25"/>
    <row r="15968" hidden="1" x14ac:dyDescent="0.25"/>
    <row r="15969" hidden="1" x14ac:dyDescent="0.25"/>
    <row r="15970" hidden="1" x14ac:dyDescent="0.25"/>
    <row r="15971" hidden="1" x14ac:dyDescent="0.25"/>
    <row r="15972" hidden="1" x14ac:dyDescent="0.25"/>
    <row r="15973" hidden="1" x14ac:dyDescent="0.25"/>
    <row r="15974" hidden="1" x14ac:dyDescent="0.25"/>
    <row r="15975" hidden="1" x14ac:dyDescent="0.25"/>
    <row r="15976" hidden="1" x14ac:dyDescent="0.25"/>
    <row r="15977" hidden="1" x14ac:dyDescent="0.25"/>
    <row r="15978" hidden="1" x14ac:dyDescent="0.25"/>
    <row r="15979" hidden="1" x14ac:dyDescent="0.25"/>
    <row r="15980" hidden="1" x14ac:dyDescent="0.25"/>
    <row r="15981" hidden="1" x14ac:dyDescent="0.25"/>
    <row r="15982" hidden="1" x14ac:dyDescent="0.25"/>
    <row r="15983" hidden="1" x14ac:dyDescent="0.25"/>
    <row r="15984" hidden="1" x14ac:dyDescent="0.25"/>
    <row r="15985" hidden="1" x14ac:dyDescent="0.25"/>
    <row r="15986" hidden="1" x14ac:dyDescent="0.25"/>
    <row r="15987" hidden="1" x14ac:dyDescent="0.25"/>
    <row r="15988" hidden="1" x14ac:dyDescent="0.25"/>
    <row r="15989" hidden="1" x14ac:dyDescent="0.25"/>
    <row r="15990" hidden="1" x14ac:dyDescent="0.25"/>
    <row r="15991" hidden="1" x14ac:dyDescent="0.25"/>
    <row r="15992" hidden="1" x14ac:dyDescent="0.25"/>
    <row r="15993" hidden="1" x14ac:dyDescent="0.25"/>
    <row r="15994" hidden="1" x14ac:dyDescent="0.25"/>
    <row r="15995" hidden="1" x14ac:dyDescent="0.25"/>
    <row r="15996" hidden="1" x14ac:dyDescent="0.25"/>
    <row r="15997" hidden="1" x14ac:dyDescent="0.25"/>
    <row r="15998" hidden="1" x14ac:dyDescent="0.25"/>
    <row r="15999" hidden="1" x14ac:dyDescent="0.25"/>
    <row r="16000" hidden="1" x14ac:dyDescent="0.25"/>
    <row r="16001" hidden="1" x14ac:dyDescent="0.25"/>
    <row r="16002" hidden="1" x14ac:dyDescent="0.25"/>
    <row r="16003" hidden="1" x14ac:dyDescent="0.25"/>
    <row r="16004" hidden="1" x14ac:dyDescent="0.25"/>
    <row r="16005" hidden="1" x14ac:dyDescent="0.25"/>
    <row r="16006" hidden="1" x14ac:dyDescent="0.25"/>
    <row r="16007" hidden="1" x14ac:dyDescent="0.25"/>
    <row r="16008" hidden="1" x14ac:dyDescent="0.25"/>
    <row r="16009" hidden="1" x14ac:dyDescent="0.25"/>
    <row r="16010" hidden="1" x14ac:dyDescent="0.25"/>
    <row r="16011" hidden="1" x14ac:dyDescent="0.25"/>
    <row r="16012" hidden="1" x14ac:dyDescent="0.25"/>
    <row r="16013" hidden="1" x14ac:dyDescent="0.25"/>
    <row r="16014" hidden="1" x14ac:dyDescent="0.25"/>
    <row r="16015" hidden="1" x14ac:dyDescent="0.25"/>
    <row r="16016" hidden="1" x14ac:dyDescent="0.25"/>
    <row r="16017" hidden="1" x14ac:dyDescent="0.25"/>
    <row r="16018" hidden="1" x14ac:dyDescent="0.25"/>
    <row r="16019" hidden="1" x14ac:dyDescent="0.25"/>
    <row r="16020" hidden="1" x14ac:dyDescent="0.25"/>
    <row r="16021" hidden="1" x14ac:dyDescent="0.25"/>
    <row r="16022" hidden="1" x14ac:dyDescent="0.25"/>
    <row r="16023" hidden="1" x14ac:dyDescent="0.25"/>
    <row r="16024" hidden="1" x14ac:dyDescent="0.25"/>
    <row r="16025" hidden="1" x14ac:dyDescent="0.25"/>
    <row r="16026" hidden="1" x14ac:dyDescent="0.25"/>
    <row r="16027" hidden="1" x14ac:dyDescent="0.25"/>
    <row r="16028" hidden="1" x14ac:dyDescent="0.25"/>
    <row r="16029" hidden="1" x14ac:dyDescent="0.25"/>
    <row r="16030" hidden="1" x14ac:dyDescent="0.25"/>
    <row r="16031" hidden="1" x14ac:dyDescent="0.25"/>
    <row r="16032" hidden="1" x14ac:dyDescent="0.25"/>
    <row r="16033" hidden="1" x14ac:dyDescent="0.25"/>
    <row r="16034" hidden="1" x14ac:dyDescent="0.25"/>
    <row r="16035" hidden="1" x14ac:dyDescent="0.25"/>
    <row r="16036" hidden="1" x14ac:dyDescent="0.25"/>
    <row r="16037" hidden="1" x14ac:dyDescent="0.25"/>
    <row r="16038" hidden="1" x14ac:dyDescent="0.25"/>
    <row r="16039" hidden="1" x14ac:dyDescent="0.25"/>
    <row r="16040" hidden="1" x14ac:dyDescent="0.25"/>
    <row r="16041" hidden="1" x14ac:dyDescent="0.25"/>
    <row r="16042" hidden="1" x14ac:dyDescent="0.25"/>
    <row r="16043" hidden="1" x14ac:dyDescent="0.25"/>
    <row r="16044" hidden="1" x14ac:dyDescent="0.25"/>
    <row r="16045" hidden="1" x14ac:dyDescent="0.25"/>
    <row r="16046" hidden="1" x14ac:dyDescent="0.25"/>
    <row r="16047" hidden="1" x14ac:dyDescent="0.25"/>
    <row r="16048" hidden="1" x14ac:dyDescent="0.25"/>
    <row r="16049" hidden="1" x14ac:dyDescent="0.25"/>
    <row r="16050" hidden="1" x14ac:dyDescent="0.25"/>
    <row r="16051" hidden="1" x14ac:dyDescent="0.25"/>
    <row r="16052" hidden="1" x14ac:dyDescent="0.25"/>
    <row r="16053" hidden="1" x14ac:dyDescent="0.25"/>
    <row r="16054" hidden="1" x14ac:dyDescent="0.25"/>
    <row r="16055" hidden="1" x14ac:dyDescent="0.25"/>
    <row r="16056" hidden="1" x14ac:dyDescent="0.25"/>
    <row r="16057" hidden="1" x14ac:dyDescent="0.25"/>
    <row r="16058" hidden="1" x14ac:dyDescent="0.25"/>
    <row r="16059" hidden="1" x14ac:dyDescent="0.25"/>
    <row r="16060" hidden="1" x14ac:dyDescent="0.25"/>
    <row r="16061" hidden="1" x14ac:dyDescent="0.25"/>
    <row r="16062" hidden="1" x14ac:dyDescent="0.25"/>
    <row r="16063" hidden="1" x14ac:dyDescent="0.25"/>
    <row r="16064" hidden="1" x14ac:dyDescent="0.25"/>
    <row r="16065" hidden="1" x14ac:dyDescent="0.25"/>
    <row r="16066" hidden="1" x14ac:dyDescent="0.25"/>
    <row r="16067" hidden="1" x14ac:dyDescent="0.25"/>
    <row r="16068" hidden="1" x14ac:dyDescent="0.25"/>
    <row r="16069" hidden="1" x14ac:dyDescent="0.25"/>
    <row r="16070" hidden="1" x14ac:dyDescent="0.25"/>
    <row r="16071" hidden="1" x14ac:dyDescent="0.25"/>
    <row r="16072" hidden="1" x14ac:dyDescent="0.25"/>
    <row r="16073" hidden="1" x14ac:dyDescent="0.25"/>
    <row r="16074" hidden="1" x14ac:dyDescent="0.25"/>
    <row r="16075" hidden="1" x14ac:dyDescent="0.25"/>
    <row r="16076" hidden="1" x14ac:dyDescent="0.25"/>
    <row r="16077" hidden="1" x14ac:dyDescent="0.25"/>
    <row r="16078" hidden="1" x14ac:dyDescent="0.25"/>
    <row r="16079" hidden="1" x14ac:dyDescent="0.25"/>
    <row r="16080" hidden="1" x14ac:dyDescent="0.25"/>
    <row r="16081" hidden="1" x14ac:dyDescent="0.25"/>
    <row r="16082" hidden="1" x14ac:dyDescent="0.25"/>
    <row r="16083" hidden="1" x14ac:dyDescent="0.25"/>
    <row r="16084" hidden="1" x14ac:dyDescent="0.25"/>
    <row r="16085" hidden="1" x14ac:dyDescent="0.25"/>
    <row r="16086" hidden="1" x14ac:dyDescent="0.25"/>
    <row r="16087" hidden="1" x14ac:dyDescent="0.25"/>
    <row r="16088" hidden="1" x14ac:dyDescent="0.25"/>
    <row r="16089" hidden="1" x14ac:dyDescent="0.25"/>
    <row r="16090" hidden="1" x14ac:dyDescent="0.25"/>
    <row r="16091" hidden="1" x14ac:dyDescent="0.25"/>
    <row r="16092" hidden="1" x14ac:dyDescent="0.25"/>
    <row r="16093" hidden="1" x14ac:dyDescent="0.25"/>
    <row r="16094" hidden="1" x14ac:dyDescent="0.25"/>
    <row r="16095" hidden="1" x14ac:dyDescent="0.25"/>
    <row r="16096" hidden="1" x14ac:dyDescent="0.25"/>
    <row r="16097" hidden="1" x14ac:dyDescent="0.25"/>
    <row r="16098" hidden="1" x14ac:dyDescent="0.25"/>
    <row r="16099" hidden="1" x14ac:dyDescent="0.25"/>
    <row r="16100" hidden="1" x14ac:dyDescent="0.25"/>
    <row r="16101" hidden="1" x14ac:dyDescent="0.25"/>
    <row r="16102" hidden="1" x14ac:dyDescent="0.25"/>
    <row r="16103" hidden="1" x14ac:dyDescent="0.25"/>
    <row r="16104" hidden="1" x14ac:dyDescent="0.25"/>
    <row r="16105" hidden="1" x14ac:dyDescent="0.25"/>
    <row r="16106" hidden="1" x14ac:dyDescent="0.25"/>
    <row r="16107" hidden="1" x14ac:dyDescent="0.25"/>
    <row r="16108" hidden="1" x14ac:dyDescent="0.25"/>
    <row r="16109" hidden="1" x14ac:dyDescent="0.25"/>
    <row r="16110" hidden="1" x14ac:dyDescent="0.25"/>
    <row r="16111" hidden="1" x14ac:dyDescent="0.25"/>
    <row r="16112" hidden="1" x14ac:dyDescent="0.25"/>
    <row r="16113" hidden="1" x14ac:dyDescent="0.25"/>
    <row r="16114" hidden="1" x14ac:dyDescent="0.25"/>
    <row r="16115" hidden="1" x14ac:dyDescent="0.25"/>
    <row r="16116" hidden="1" x14ac:dyDescent="0.25"/>
    <row r="16117" hidden="1" x14ac:dyDescent="0.25"/>
    <row r="16118" hidden="1" x14ac:dyDescent="0.25"/>
    <row r="16119" hidden="1" x14ac:dyDescent="0.25"/>
    <row r="16120" hidden="1" x14ac:dyDescent="0.25"/>
    <row r="16121" hidden="1" x14ac:dyDescent="0.25"/>
    <row r="16122" hidden="1" x14ac:dyDescent="0.25"/>
    <row r="16123" hidden="1" x14ac:dyDescent="0.25"/>
    <row r="16124" hidden="1" x14ac:dyDescent="0.25"/>
    <row r="16125" hidden="1" x14ac:dyDescent="0.25"/>
    <row r="16126" hidden="1" x14ac:dyDescent="0.25"/>
    <row r="16127" hidden="1" x14ac:dyDescent="0.25"/>
    <row r="16128" hidden="1" x14ac:dyDescent="0.25"/>
    <row r="16129" hidden="1" x14ac:dyDescent="0.25"/>
    <row r="16130" hidden="1" x14ac:dyDescent="0.25"/>
    <row r="16131" hidden="1" x14ac:dyDescent="0.25"/>
    <row r="16132" hidden="1" x14ac:dyDescent="0.25"/>
    <row r="16133" hidden="1" x14ac:dyDescent="0.25"/>
    <row r="16134" hidden="1" x14ac:dyDescent="0.25"/>
    <row r="16135" hidden="1" x14ac:dyDescent="0.25"/>
    <row r="16136" hidden="1" x14ac:dyDescent="0.25"/>
    <row r="16137" hidden="1" x14ac:dyDescent="0.25"/>
    <row r="16138" hidden="1" x14ac:dyDescent="0.25"/>
    <row r="16139" hidden="1" x14ac:dyDescent="0.25"/>
    <row r="16140" hidden="1" x14ac:dyDescent="0.25"/>
    <row r="16141" hidden="1" x14ac:dyDescent="0.25"/>
    <row r="16142" hidden="1" x14ac:dyDescent="0.25"/>
    <row r="16143" hidden="1" x14ac:dyDescent="0.25"/>
    <row r="16144" hidden="1" x14ac:dyDescent="0.25"/>
    <row r="16145" hidden="1" x14ac:dyDescent="0.25"/>
    <row r="16146" hidden="1" x14ac:dyDescent="0.25"/>
    <row r="16147" hidden="1" x14ac:dyDescent="0.25"/>
    <row r="16148" hidden="1" x14ac:dyDescent="0.25"/>
    <row r="16149" hidden="1" x14ac:dyDescent="0.25"/>
    <row r="16150" hidden="1" x14ac:dyDescent="0.25"/>
    <row r="16151" hidden="1" x14ac:dyDescent="0.25"/>
    <row r="16152" hidden="1" x14ac:dyDescent="0.25"/>
    <row r="16153" hidden="1" x14ac:dyDescent="0.25"/>
    <row r="16154" hidden="1" x14ac:dyDescent="0.25"/>
    <row r="16155" hidden="1" x14ac:dyDescent="0.25"/>
    <row r="16156" hidden="1" x14ac:dyDescent="0.25"/>
    <row r="16157" hidden="1" x14ac:dyDescent="0.25"/>
    <row r="16158" hidden="1" x14ac:dyDescent="0.25"/>
    <row r="16159" hidden="1" x14ac:dyDescent="0.25"/>
    <row r="16160" hidden="1" x14ac:dyDescent="0.25"/>
    <row r="16161" hidden="1" x14ac:dyDescent="0.25"/>
    <row r="16162" hidden="1" x14ac:dyDescent="0.25"/>
    <row r="16163" hidden="1" x14ac:dyDescent="0.25"/>
    <row r="16164" hidden="1" x14ac:dyDescent="0.25"/>
    <row r="16165" hidden="1" x14ac:dyDescent="0.25"/>
    <row r="16166" hidden="1" x14ac:dyDescent="0.25"/>
    <row r="16167" hidden="1" x14ac:dyDescent="0.25"/>
    <row r="16168" hidden="1" x14ac:dyDescent="0.25"/>
    <row r="16169" hidden="1" x14ac:dyDescent="0.25"/>
    <row r="16170" hidden="1" x14ac:dyDescent="0.25"/>
    <row r="16171" hidden="1" x14ac:dyDescent="0.25"/>
    <row r="16172" hidden="1" x14ac:dyDescent="0.25"/>
    <row r="16173" hidden="1" x14ac:dyDescent="0.25"/>
    <row r="16174" hidden="1" x14ac:dyDescent="0.25"/>
    <row r="16175" hidden="1" x14ac:dyDescent="0.25"/>
    <row r="16176" hidden="1" x14ac:dyDescent="0.25"/>
    <row r="16177" hidden="1" x14ac:dyDescent="0.25"/>
    <row r="16178" hidden="1" x14ac:dyDescent="0.25"/>
    <row r="16179" hidden="1" x14ac:dyDescent="0.25"/>
    <row r="16180" hidden="1" x14ac:dyDescent="0.25"/>
    <row r="16181" hidden="1" x14ac:dyDescent="0.25"/>
    <row r="16182" hidden="1" x14ac:dyDescent="0.25"/>
    <row r="16183" hidden="1" x14ac:dyDescent="0.25"/>
    <row r="16184" hidden="1" x14ac:dyDescent="0.25"/>
    <row r="16185" hidden="1" x14ac:dyDescent="0.25"/>
    <row r="16186" hidden="1" x14ac:dyDescent="0.25"/>
    <row r="16187" hidden="1" x14ac:dyDescent="0.25"/>
    <row r="16188" hidden="1" x14ac:dyDescent="0.25"/>
    <row r="16189" hidden="1" x14ac:dyDescent="0.25"/>
    <row r="16190" hidden="1" x14ac:dyDescent="0.25"/>
    <row r="16191" hidden="1" x14ac:dyDescent="0.25"/>
    <row r="16192" hidden="1" x14ac:dyDescent="0.25"/>
    <row r="16193" hidden="1" x14ac:dyDescent="0.25"/>
    <row r="16194" hidden="1" x14ac:dyDescent="0.25"/>
    <row r="16195" hidden="1" x14ac:dyDescent="0.25"/>
    <row r="16196" hidden="1" x14ac:dyDescent="0.25"/>
    <row r="16197" hidden="1" x14ac:dyDescent="0.25"/>
    <row r="16198" hidden="1" x14ac:dyDescent="0.25"/>
    <row r="16199" hidden="1" x14ac:dyDescent="0.25"/>
    <row r="16200" hidden="1" x14ac:dyDescent="0.25"/>
    <row r="16201" hidden="1" x14ac:dyDescent="0.25"/>
    <row r="16202" hidden="1" x14ac:dyDescent="0.25"/>
    <row r="16203" hidden="1" x14ac:dyDescent="0.25"/>
    <row r="16204" hidden="1" x14ac:dyDescent="0.25"/>
    <row r="16205" hidden="1" x14ac:dyDescent="0.25"/>
    <row r="16206" hidden="1" x14ac:dyDescent="0.25"/>
    <row r="16207" hidden="1" x14ac:dyDescent="0.25"/>
    <row r="16208" hidden="1" x14ac:dyDescent="0.25"/>
    <row r="16209" hidden="1" x14ac:dyDescent="0.25"/>
    <row r="16210" hidden="1" x14ac:dyDescent="0.25"/>
    <row r="16211" hidden="1" x14ac:dyDescent="0.25"/>
    <row r="16212" hidden="1" x14ac:dyDescent="0.25"/>
    <row r="16213" hidden="1" x14ac:dyDescent="0.25"/>
    <row r="16214" hidden="1" x14ac:dyDescent="0.25"/>
    <row r="16215" hidden="1" x14ac:dyDescent="0.25"/>
    <row r="16216" hidden="1" x14ac:dyDescent="0.25"/>
    <row r="16217" hidden="1" x14ac:dyDescent="0.25"/>
    <row r="16218" hidden="1" x14ac:dyDescent="0.25"/>
    <row r="16219" hidden="1" x14ac:dyDescent="0.25"/>
    <row r="16220" hidden="1" x14ac:dyDescent="0.25"/>
    <row r="16221" hidden="1" x14ac:dyDescent="0.25"/>
    <row r="16222" hidden="1" x14ac:dyDescent="0.25"/>
    <row r="16223" hidden="1" x14ac:dyDescent="0.25"/>
    <row r="16224" hidden="1" x14ac:dyDescent="0.25"/>
    <row r="16225" hidden="1" x14ac:dyDescent="0.25"/>
    <row r="16226" hidden="1" x14ac:dyDescent="0.25"/>
    <row r="16227" hidden="1" x14ac:dyDescent="0.25"/>
    <row r="16228" hidden="1" x14ac:dyDescent="0.25"/>
    <row r="16229" hidden="1" x14ac:dyDescent="0.25"/>
    <row r="16230" hidden="1" x14ac:dyDescent="0.25"/>
    <row r="16231" hidden="1" x14ac:dyDescent="0.25"/>
    <row r="16232" hidden="1" x14ac:dyDescent="0.25"/>
    <row r="16233" hidden="1" x14ac:dyDescent="0.25"/>
    <row r="16234" hidden="1" x14ac:dyDescent="0.25"/>
    <row r="16235" hidden="1" x14ac:dyDescent="0.25"/>
    <row r="16236" hidden="1" x14ac:dyDescent="0.25"/>
    <row r="16237" hidden="1" x14ac:dyDescent="0.25"/>
    <row r="16238" hidden="1" x14ac:dyDescent="0.25"/>
    <row r="16239" hidden="1" x14ac:dyDescent="0.25"/>
    <row r="16240" hidden="1" x14ac:dyDescent="0.25"/>
    <row r="16241" hidden="1" x14ac:dyDescent="0.25"/>
    <row r="16242" hidden="1" x14ac:dyDescent="0.25"/>
    <row r="16243" hidden="1" x14ac:dyDescent="0.25"/>
    <row r="16244" hidden="1" x14ac:dyDescent="0.25"/>
    <row r="16245" hidden="1" x14ac:dyDescent="0.25"/>
    <row r="16246" hidden="1" x14ac:dyDescent="0.25"/>
    <row r="16247" hidden="1" x14ac:dyDescent="0.25"/>
    <row r="16248" hidden="1" x14ac:dyDescent="0.25"/>
    <row r="16249" hidden="1" x14ac:dyDescent="0.25"/>
    <row r="16250" hidden="1" x14ac:dyDescent="0.25"/>
    <row r="16251" hidden="1" x14ac:dyDescent="0.25"/>
    <row r="16252" hidden="1" x14ac:dyDescent="0.25"/>
    <row r="16253" hidden="1" x14ac:dyDescent="0.25"/>
    <row r="16254" hidden="1" x14ac:dyDescent="0.25"/>
    <row r="16255" hidden="1" x14ac:dyDescent="0.25"/>
    <row r="16256" hidden="1" x14ac:dyDescent="0.25"/>
    <row r="16257" hidden="1" x14ac:dyDescent="0.25"/>
    <row r="16258" hidden="1" x14ac:dyDescent="0.25"/>
    <row r="16259" hidden="1" x14ac:dyDescent="0.25"/>
    <row r="16260" hidden="1" x14ac:dyDescent="0.25"/>
    <row r="16261" hidden="1" x14ac:dyDescent="0.25"/>
    <row r="16262" hidden="1" x14ac:dyDescent="0.25"/>
    <row r="16263" hidden="1" x14ac:dyDescent="0.25"/>
    <row r="16264" hidden="1" x14ac:dyDescent="0.25"/>
    <row r="16265" hidden="1" x14ac:dyDescent="0.25"/>
    <row r="16266" hidden="1" x14ac:dyDescent="0.25"/>
    <row r="16267" hidden="1" x14ac:dyDescent="0.25"/>
    <row r="16268" hidden="1" x14ac:dyDescent="0.25"/>
    <row r="16269" hidden="1" x14ac:dyDescent="0.25"/>
    <row r="16270" hidden="1" x14ac:dyDescent="0.25"/>
    <row r="16271" hidden="1" x14ac:dyDescent="0.25"/>
    <row r="16272" hidden="1" x14ac:dyDescent="0.25"/>
    <row r="16273" hidden="1" x14ac:dyDescent="0.25"/>
    <row r="16274" hidden="1" x14ac:dyDescent="0.25"/>
    <row r="16275" hidden="1" x14ac:dyDescent="0.25"/>
    <row r="16276" hidden="1" x14ac:dyDescent="0.25"/>
    <row r="16277" hidden="1" x14ac:dyDescent="0.25"/>
    <row r="16278" hidden="1" x14ac:dyDescent="0.25"/>
    <row r="16279" hidden="1" x14ac:dyDescent="0.25"/>
    <row r="16280" hidden="1" x14ac:dyDescent="0.25"/>
    <row r="16281" hidden="1" x14ac:dyDescent="0.25"/>
    <row r="16282" hidden="1" x14ac:dyDescent="0.25"/>
    <row r="16283" hidden="1" x14ac:dyDescent="0.25"/>
    <row r="16284" hidden="1" x14ac:dyDescent="0.25"/>
    <row r="16285" hidden="1" x14ac:dyDescent="0.25"/>
    <row r="16286" hidden="1" x14ac:dyDescent="0.25"/>
    <row r="16287" hidden="1" x14ac:dyDescent="0.25"/>
    <row r="16288" hidden="1" x14ac:dyDescent="0.25"/>
    <row r="16289" hidden="1" x14ac:dyDescent="0.25"/>
    <row r="16290" hidden="1" x14ac:dyDescent="0.25"/>
    <row r="16291" hidden="1" x14ac:dyDescent="0.25"/>
    <row r="16292" hidden="1" x14ac:dyDescent="0.25"/>
    <row r="16293" hidden="1" x14ac:dyDescent="0.25"/>
    <row r="16294" hidden="1" x14ac:dyDescent="0.25"/>
    <row r="16295" hidden="1" x14ac:dyDescent="0.25"/>
    <row r="16296" hidden="1" x14ac:dyDescent="0.25"/>
    <row r="16297" hidden="1" x14ac:dyDescent="0.25"/>
    <row r="16298" hidden="1" x14ac:dyDescent="0.25"/>
    <row r="16299" hidden="1" x14ac:dyDescent="0.25"/>
    <row r="16300" hidden="1" x14ac:dyDescent="0.25"/>
    <row r="16301" hidden="1" x14ac:dyDescent="0.25"/>
    <row r="16302" hidden="1" x14ac:dyDescent="0.25"/>
    <row r="16303" hidden="1" x14ac:dyDescent="0.25"/>
    <row r="16304" hidden="1" x14ac:dyDescent="0.25"/>
    <row r="16305" hidden="1" x14ac:dyDescent="0.25"/>
    <row r="16306" hidden="1" x14ac:dyDescent="0.25"/>
    <row r="16307" hidden="1" x14ac:dyDescent="0.25"/>
    <row r="16308" hidden="1" x14ac:dyDescent="0.25"/>
    <row r="16309" hidden="1" x14ac:dyDescent="0.25"/>
    <row r="16310" hidden="1" x14ac:dyDescent="0.25"/>
    <row r="16311" hidden="1" x14ac:dyDescent="0.25"/>
    <row r="16312" hidden="1" x14ac:dyDescent="0.25"/>
    <row r="16313" hidden="1" x14ac:dyDescent="0.25"/>
    <row r="16314" hidden="1" x14ac:dyDescent="0.25"/>
    <row r="16315" hidden="1" x14ac:dyDescent="0.25"/>
    <row r="16316" hidden="1" x14ac:dyDescent="0.25"/>
    <row r="16317" hidden="1" x14ac:dyDescent="0.25"/>
    <row r="16318" hidden="1" x14ac:dyDescent="0.25"/>
    <row r="16319" hidden="1" x14ac:dyDescent="0.25"/>
    <row r="16320" hidden="1" x14ac:dyDescent="0.25"/>
    <row r="16321" hidden="1" x14ac:dyDescent="0.25"/>
    <row r="16322" hidden="1" x14ac:dyDescent="0.25"/>
    <row r="16323" hidden="1" x14ac:dyDescent="0.25"/>
    <row r="16324" hidden="1" x14ac:dyDescent="0.25"/>
    <row r="16325" hidden="1" x14ac:dyDescent="0.25"/>
    <row r="16326" hidden="1" x14ac:dyDescent="0.25"/>
    <row r="16327" hidden="1" x14ac:dyDescent="0.25"/>
    <row r="16328" hidden="1" x14ac:dyDescent="0.25"/>
    <row r="16329" hidden="1" x14ac:dyDescent="0.25"/>
    <row r="16330" hidden="1" x14ac:dyDescent="0.25"/>
    <row r="16331" hidden="1" x14ac:dyDescent="0.25"/>
    <row r="16332" hidden="1" x14ac:dyDescent="0.25"/>
    <row r="16333" hidden="1" x14ac:dyDescent="0.25"/>
    <row r="16334" hidden="1" x14ac:dyDescent="0.25"/>
    <row r="16335" hidden="1" x14ac:dyDescent="0.25"/>
    <row r="16336" hidden="1" x14ac:dyDescent="0.25"/>
    <row r="16337" hidden="1" x14ac:dyDescent="0.25"/>
    <row r="16338" hidden="1" x14ac:dyDescent="0.25"/>
    <row r="16339" hidden="1" x14ac:dyDescent="0.25"/>
    <row r="16340" hidden="1" x14ac:dyDescent="0.25"/>
    <row r="16341" hidden="1" x14ac:dyDescent="0.25"/>
    <row r="16342" hidden="1" x14ac:dyDescent="0.25"/>
    <row r="16343" hidden="1" x14ac:dyDescent="0.25"/>
    <row r="16344" hidden="1" x14ac:dyDescent="0.25"/>
    <row r="16345" hidden="1" x14ac:dyDescent="0.25"/>
    <row r="16346" hidden="1" x14ac:dyDescent="0.25"/>
    <row r="16347" hidden="1" x14ac:dyDescent="0.25"/>
    <row r="16348" hidden="1" x14ac:dyDescent="0.25"/>
    <row r="16349" hidden="1" x14ac:dyDescent="0.25"/>
    <row r="16350" hidden="1" x14ac:dyDescent="0.25"/>
    <row r="16351" hidden="1" x14ac:dyDescent="0.25"/>
    <row r="16352" hidden="1" x14ac:dyDescent="0.25"/>
    <row r="16353" hidden="1" x14ac:dyDescent="0.25"/>
    <row r="16354" hidden="1" x14ac:dyDescent="0.25"/>
    <row r="16355" hidden="1" x14ac:dyDescent="0.25"/>
    <row r="16356" hidden="1" x14ac:dyDescent="0.25"/>
    <row r="16357" hidden="1" x14ac:dyDescent="0.25"/>
    <row r="16358" hidden="1" x14ac:dyDescent="0.25"/>
    <row r="16359" hidden="1" x14ac:dyDescent="0.25"/>
    <row r="16360" hidden="1" x14ac:dyDescent="0.25"/>
    <row r="16361" hidden="1" x14ac:dyDescent="0.25"/>
    <row r="16362" hidden="1" x14ac:dyDescent="0.25"/>
    <row r="16363" hidden="1" x14ac:dyDescent="0.25"/>
    <row r="16364" hidden="1" x14ac:dyDescent="0.25"/>
    <row r="16365" hidden="1" x14ac:dyDescent="0.25"/>
    <row r="16366" hidden="1" x14ac:dyDescent="0.25"/>
    <row r="16367" hidden="1" x14ac:dyDescent="0.25"/>
    <row r="16368" hidden="1" x14ac:dyDescent="0.25"/>
    <row r="16369" hidden="1" x14ac:dyDescent="0.25"/>
    <row r="16370" hidden="1" x14ac:dyDescent="0.25"/>
    <row r="16371" hidden="1" x14ac:dyDescent="0.25"/>
    <row r="16372" hidden="1" x14ac:dyDescent="0.25"/>
    <row r="16373" hidden="1" x14ac:dyDescent="0.25"/>
    <row r="16374" hidden="1" x14ac:dyDescent="0.25"/>
    <row r="16375" hidden="1" x14ac:dyDescent="0.25"/>
    <row r="16376" hidden="1" x14ac:dyDescent="0.25"/>
    <row r="16377" hidden="1" x14ac:dyDescent="0.25"/>
    <row r="16378" hidden="1" x14ac:dyDescent="0.25"/>
    <row r="16379" hidden="1" x14ac:dyDescent="0.25"/>
    <row r="16380" hidden="1" x14ac:dyDescent="0.25"/>
    <row r="16381" hidden="1" x14ac:dyDescent="0.25"/>
    <row r="16382" hidden="1" x14ac:dyDescent="0.25"/>
    <row r="16383" hidden="1" x14ac:dyDescent="0.25"/>
    <row r="16384" hidden="1" x14ac:dyDescent="0.25"/>
    <row r="16385" hidden="1" x14ac:dyDescent="0.25"/>
    <row r="16386" hidden="1" x14ac:dyDescent="0.25"/>
    <row r="16387" hidden="1" x14ac:dyDescent="0.25"/>
    <row r="16388" hidden="1" x14ac:dyDescent="0.25"/>
    <row r="16389" hidden="1" x14ac:dyDescent="0.25"/>
    <row r="16390" hidden="1" x14ac:dyDescent="0.25"/>
    <row r="16391" hidden="1" x14ac:dyDescent="0.25"/>
    <row r="16392" hidden="1" x14ac:dyDescent="0.25"/>
    <row r="16393" hidden="1" x14ac:dyDescent="0.25"/>
    <row r="16394" hidden="1" x14ac:dyDescent="0.25"/>
    <row r="16395" hidden="1" x14ac:dyDescent="0.25"/>
    <row r="16396" hidden="1" x14ac:dyDescent="0.25"/>
    <row r="16397" hidden="1" x14ac:dyDescent="0.25"/>
    <row r="16398" hidden="1" x14ac:dyDescent="0.25"/>
    <row r="16399" hidden="1" x14ac:dyDescent="0.25"/>
    <row r="16400" hidden="1" x14ac:dyDescent="0.25"/>
    <row r="16401" hidden="1" x14ac:dyDescent="0.25"/>
    <row r="16402" hidden="1" x14ac:dyDescent="0.25"/>
    <row r="16403" hidden="1" x14ac:dyDescent="0.25"/>
    <row r="16404" hidden="1" x14ac:dyDescent="0.25"/>
    <row r="16405" hidden="1" x14ac:dyDescent="0.25"/>
    <row r="16406" hidden="1" x14ac:dyDescent="0.25"/>
    <row r="16407" hidden="1" x14ac:dyDescent="0.25"/>
    <row r="16408" hidden="1" x14ac:dyDescent="0.25"/>
    <row r="16409" hidden="1" x14ac:dyDescent="0.25"/>
    <row r="16410" hidden="1" x14ac:dyDescent="0.25"/>
    <row r="16411" hidden="1" x14ac:dyDescent="0.25"/>
    <row r="16412" hidden="1" x14ac:dyDescent="0.25"/>
    <row r="16413" hidden="1" x14ac:dyDescent="0.25"/>
    <row r="16414" hidden="1" x14ac:dyDescent="0.25"/>
    <row r="16415" hidden="1" x14ac:dyDescent="0.25"/>
    <row r="16416" hidden="1" x14ac:dyDescent="0.25"/>
    <row r="16417" hidden="1" x14ac:dyDescent="0.25"/>
    <row r="16418" hidden="1" x14ac:dyDescent="0.25"/>
    <row r="16419" hidden="1" x14ac:dyDescent="0.25"/>
    <row r="16420" hidden="1" x14ac:dyDescent="0.25"/>
    <row r="16421" hidden="1" x14ac:dyDescent="0.25"/>
    <row r="16422" hidden="1" x14ac:dyDescent="0.25"/>
    <row r="16423" hidden="1" x14ac:dyDescent="0.25"/>
    <row r="16424" hidden="1" x14ac:dyDescent="0.25"/>
    <row r="16425" hidden="1" x14ac:dyDescent="0.25"/>
    <row r="16426" hidden="1" x14ac:dyDescent="0.25"/>
    <row r="16427" hidden="1" x14ac:dyDescent="0.25"/>
    <row r="16428" hidden="1" x14ac:dyDescent="0.25"/>
    <row r="16429" hidden="1" x14ac:dyDescent="0.25"/>
    <row r="16430" hidden="1" x14ac:dyDescent="0.25"/>
    <row r="16431" hidden="1" x14ac:dyDescent="0.25"/>
    <row r="16432" hidden="1" x14ac:dyDescent="0.25"/>
    <row r="16433" hidden="1" x14ac:dyDescent="0.25"/>
    <row r="16434" hidden="1" x14ac:dyDescent="0.25"/>
    <row r="16435" hidden="1" x14ac:dyDescent="0.25"/>
    <row r="16436" hidden="1" x14ac:dyDescent="0.25"/>
    <row r="16437" hidden="1" x14ac:dyDescent="0.25"/>
    <row r="16438" hidden="1" x14ac:dyDescent="0.25"/>
    <row r="16439" hidden="1" x14ac:dyDescent="0.25"/>
    <row r="16440" hidden="1" x14ac:dyDescent="0.25"/>
    <row r="16441" hidden="1" x14ac:dyDescent="0.25"/>
    <row r="16442" hidden="1" x14ac:dyDescent="0.25"/>
    <row r="16443" hidden="1" x14ac:dyDescent="0.25"/>
    <row r="16444" hidden="1" x14ac:dyDescent="0.25"/>
    <row r="16445" hidden="1" x14ac:dyDescent="0.25"/>
    <row r="16446" hidden="1" x14ac:dyDescent="0.25"/>
    <row r="16447" hidden="1" x14ac:dyDescent="0.25"/>
    <row r="16448" hidden="1" x14ac:dyDescent="0.25"/>
    <row r="16449" hidden="1" x14ac:dyDescent="0.25"/>
    <row r="16450" hidden="1" x14ac:dyDescent="0.25"/>
    <row r="16451" hidden="1" x14ac:dyDescent="0.25"/>
    <row r="16452" hidden="1" x14ac:dyDescent="0.25"/>
    <row r="16453" hidden="1" x14ac:dyDescent="0.25"/>
    <row r="16454" hidden="1" x14ac:dyDescent="0.25"/>
    <row r="16455" hidden="1" x14ac:dyDescent="0.25"/>
    <row r="16456" hidden="1" x14ac:dyDescent="0.25"/>
    <row r="16457" hidden="1" x14ac:dyDescent="0.25"/>
    <row r="16458" hidden="1" x14ac:dyDescent="0.25"/>
    <row r="16459" hidden="1" x14ac:dyDescent="0.25"/>
    <row r="16460" hidden="1" x14ac:dyDescent="0.25"/>
    <row r="16461" hidden="1" x14ac:dyDescent="0.25"/>
    <row r="16462" hidden="1" x14ac:dyDescent="0.25"/>
    <row r="16463" hidden="1" x14ac:dyDescent="0.25"/>
    <row r="16464" hidden="1" x14ac:dyDescent="0.25"/>
    <row r="16465" hidden="1" x14ac:dyDescent="0.25"/>
    <row r="16466" hidden="1" x14ac:dyDescent="0.25"/>
    <row r="16467" hidden="1" x14ac:dyDescent="0.25"/>
    <row r="16468" hidden="1" x14ac:dyDescent="0.25"/>
    <row r="16469" hidden="1" x14ac:dyDescent="0.25"/>
    <row r="16470" hidden="1" x14ac:dyDescent="0.25"/>
    <row r="16471" hidden="1" x14ac:dyDescent="0.25"/>
    <row r="16472" hidden="1" x14ac:dyDescent="0.25"/>
    <row r="16473" hidden="1" x14ac:dyDescent="0.25"/>
    <row r="16474" hidden="1" x14ac:dyDescent="0.25"/>
    <row r="16475" hidden="1" x14ac:dyDescent="0.25"/>
    <row r="16476" hidden="1" x14ac:dyDescent="0.25"/>
    <row r="16477" hidden="1" x14ac:dyDescent="0.25"/>
    <row r="16478" hidden="1" x14ac:dyDescent="0.25"/>
    <row r="16479" hidden="1" x14ac:dyDescent="0.25"/>
    <row r="16480" hidden="1" x14ac:dyDescent="0.25"/>
    <row r="16481" hidden="1" x14ac:dyDescent="0.25"/>
    <row r="16482" hidden="1" x14ac:dyDescent="0.25"/>
    <row r="16483" hidden="1" x14ac:dyDescent="0.25"/>
    <row r="16484" hidden="1" x14ac:dyDescent="0.25"/>
    <row r="16485" hidden="1" x14ac:dyDescent="0.25"/>
    <row r="16486" hidden="1" x14ac:dyDescent="0.25"/>
    <row r="16487" hidden="1" x14ac:dyDescent="0.25"/>
    <row r="16488" hidden="1" x14ac:dyDescent="0.25"/>
    <row r="16489" hidden="1" x14ac:dyDescent="0.25"/>
    <row r="16490" hidden="1" x14ac:dyDescent="0.25"/>
    <row r="16491" hidden="1" x14ac:dyDescent="0.25"/>
    <row r="16492" hidden="1" x14ac:dyDescent="0.25"/>
    <row r="16493" hidden="1" x14ac:dyDescent="0.25"/>
    <row r="16494" hidden="1" x14ac:dyDescent="0.25"/>
    <row r="16495" hidden="1" x14ac:dyDescent="0.25"/>
    <row r="16496" hidden="1" x14ac:dyDescent="0.25"/>
    <row r="16497" hidden="1" x14ac:dyDescent="0.25"/>
    <row r="16498" hidden="1" x14ac:dyDescent="0.25"/>
    <row r="16499" hidden="1" x14ac:dyDescent="0.25"/>
    <row r="16500" hidden="1" x14ac:dyDescent="0.25"/>
    <row r="16501" hidden="1" x14ac:dyDescent="0.25"/>
    <row r="16502" hidden="1" x14ac:dyDescent="0.25"/>
    <row r="16503" hidden="1" x14ac:dyDescent="0.25"/>
    <row r="16504" hidden="1" x14ac:dyDescent="0.25"/>
    <row r="16505" hidden="1" x14ac:dyDescent="0.25"/>
    <row r="16506" hidden="1" x14ac:dyDescent="0.25"/>
    <row r="16507" hidden="1" x14ac:dyDescent="0.25"/>
    <row r="16508" hidden="1" x14ac:dyDescent="0.25"/>
    <row r="16509" hidden="1" x14ac:dyDescent="0.25"/>
    <row r="16510" hidden="1" x14ac:dyDescent="0.25"/>
    <row r="16511" hidden="1" x14ac:dyDescent="0.25"/>
    <row r="16512" hidden="1" x14ac:dyDescent="0.25"/>
    <row r="16513" hidden="1" x14ac:dyDescent="0.25"/>
    <row r="16514" hidden="1" x14ac:dyDescent="0.25"/>
    <row r="16515" hidden="1" x14ac:dyDescent="0.25"/>
    <row r="16516" hidden="1" x14ac:dyDescent="0.25"/>
    <row r="16517" hidden="1" x14ac:dyDescent="0.25"/>
    <row r="16518" hidden="1" x14ac:dyDescent="0.25"/>
    <row r="16519" hidden="1" x14ac:dyDescent="0.25"/>
    <row r="16520" hidden="1" x14ac:dyDescent="0.25"/>
    <row r="16521" hidden="1" x14ac:dyDescent="0.25"/>
    <row r="16522" hidden="1" x14ac:dyDescent="0.25"/>
    <row r="16523" hidden="1" x14ac:dyDescent="0.25"/>
    <row r="16524" hidden="1" x14ac:dyDescent="0.25"/>
    <row r="16525" hidden="1" x14ac:dyDescent="0.25"/>
    <row r="16526" hidden="1" x14ac:dyDescent="0.25"/>
    <row r="16527" hidden="1" x14ac:dyDescent="0.25"/>
    <row r="16528" hidden="1" x14ac:dyDescent="0.25"/>
    <row r="16529" hidden="1" x14ac:dyDescent="0.25"/>
    <row r="16530" hidden="1" x14ac:dyDescent="0.25"/>
    <row r="16531" hidden="1" x14ac:dyDescent="0.25"/>
    <row r="16532" hidden="1" x14ac:dyDescent="0.25"/>
    <row r="16533" hidden="1" x14ac:dyDescent="0.25"/>
    <row r="16534" hidden="1" x14ac:dyDescent="0.25"/>
    <row r="16535" hidden="1" x14ac:dyDescent="0.25"/>
    <row r="16536" hidden="1" x14ac:dyDescent="0.25"/>
    <row r="16537" hidden="1" x14ac:dyDescent="0.25"/>
    <row r="16538" hidden="1" x14ac:dyDescent="0.25"/>
    <row r="16539" hidden="1" x14ac:dyDescent="0.25"/>
    <row r="16540" hidden="1" x14ac:dyDescent="0.25"/>
    <row r="16541" hidden="1" x14ac:dyDescent="0.25"/>
    <row r="16542" hidden="1" x14ac:dyDescent="0.25"/>
    <row r="16543" hidden="1" x14ac:dyDescent="0.25"/>
    <row r="16544" hidden="1" x14ac:dyDescent="0.25"/>
    <row r="16545" hidden="1" x14ac:dyDescent="0.25"/>
    <row r="16546" hidden="1" x14ac:dyDescent="0.25"/>
    <row r="16547" hidden="1" x14ac:dyDescent="0.25"/>
    <row r="16548" hidden="1" x14ac:dyDescent="0.25"/>
    <row r="16549" hidden="1" x14ac:dyDescent="0.25"/>
    <row r="16550" hidden="1" x14ac:dyDescent="0.25"/>
    <row r="16551" hidden="1" x14ac:dyDescent="0.25"/>
    <row r="16552" hidden="1" x14ac:dyDescent="0.25"/>
    <row r="16553" hidden="1" x14ac:dyDescent="0.25"/>
    <row r="16554" hidden="1" x14ac:dyDescent="0.25"/>
    <row r="16555" hidden="1" x14ac:dyDescent="0.25"/>
    <row r="16556" hidden="1" x14ac:dyDescent="0.25"/>
    <row r="16557" hidden="1" x14ac:dyDescent="0.25"/>
    <row r="16558" hidden="1" x14ac:dyDescent="0.25"/>
    <row r="16559" hidden="1" x14ac:dyDescent="0.25"/>
    <row r="16560" hidden="1" x14ac:dyDescent="0.25"/>
    <row r="16561" hidden="1" x14ac:dyDescent="0.25"/>
    <row r="16562" hidden="1" x14ac:dyDescent="0.25"/>
    <row r="16563" hidden="1" x14ac:dyDescent="0.25"/>
    <row r="16564" hidden="1" x14ac:dyDescent="0.25"/>
    <row r="16565" hidden="1" x14ac:dyDescent="0.25"/>
    <row r="16566" hidden="1" x14ac:dyDescent="0.25"/>
    <row r="16567" hidden="1" x14ac:dyDescent="0.25"/>
    <row r="16568" hidden="1" x14ac:dyDescent="0.25"/>
    <row r="16569" hidden="1" x14ac:dyDescent="0.25"/>
    <row r="16570" hidden="1" x14ac:dyDescent="0.25"/>
    <row r="16571" hidden="1" x14ac:dyDescent="0.25"/>
    <row r="16572" hidden="1" x14ac:dyDescent="0.25"/>
    <row r="16573" hidden="1" x14ac:dyDescent="0.25"/>
    <row r="16574" hidden="1" x14ac:dyDescent="0.25"/>
    <row r="16575" hidden="1" x14ac:dyDescent="0.25"/>
    <row r="16576" hidden="1" x14ac:dyDescent="0.25"/>
    <row r="16577" hidden="1" x14ac:dyDescent="0.25"/>
    <row r="16578" hidden="1" x14ac:dyDescent="0.25"/>
    <row r="16579" hidden="1" x14ac:dyDescent="0.25"/>
    <row r="16580" hidden="1" x14ac:dyDescent="0.25"/>
    <row r="16581" hidden="1" x14ac:dyDescent="0.25"/>
    <row r="16582" hidden="1" x14ac:dyDescent="0.25"/>
    <row r="16583" hidden="1" x14ac:dyDescent="0.25"/>
    <row r="16584" hidden="1" x14ac:dyDescent="0.25"/>
    <row r="16585" hidden="1" x14ac:dyDescent="0.25"/>
    <row r="16586" hidden="1" x14ac:dyDescent="0.25"/>
    <row r="16587" hidden="1" x14ac:dyDescent="0.25"/>
    <row r="16588" hidden="1" x14ac:dyDescent="0.25"/>
    <row r="16589" hidden="1" x14ac:dyDescent="0.25"/>
    <row r="16590" hidden="1" x14ac:dyDescent="0.25"/>
    <row r="16591" hidden="1" x14ac:dyDescent="0.25"/>
    <row r="16592" hidden="1" x14ac:dyDescent="0.25"/>
    <row r="16593" hidden="1" x14ac:dyDescent="0.25"/>
    <row r="16594" hidden="1" x14ac:dyDescent="0.25"/>
    <row r="16595" hidden="1" x14ac:dyDescent="0.25"/>
    <row r="16596" hidden="1" x14ac:dyDescent="0.25"/>
    <row r="16597" hidden="1" x14ac:dyDescent="0.25"/>
    <row r="16598" hidden="1" x14ac:dyDescent="0.25"/>
    <row r="16599" hidden="1" x14ac:dyDescent="0.25"/>
    <row r="16600" hidden="1" x14ac:dyDescent="0.25"/>
    <row r="16601" hidden="1" x14ac:dyDescent="0.25"/>
    <row r="16602" hidden="1" x14ac:dyDescent="0.25"/>
    <row r="16603" hidden="1" x14ac:dyDescent="0.25"/>
    <row r="16604" hidden="1" x14ac:dyDescent="0.25"/>
    <row r="16605" hidden="1" x14ac:dyDescent="0.25"/>
    <row r="16606" hidden="1" x14ac:dyDescent="0.25"/>
    <row r="16607" hidden="1" x14ac:dyDescent="0.25"/>
    <row r="16608" hidden="1" x14ac:dyDescent="0.25"/>
    <row r="16609" hidden="1" x14ac:dyDescent="0.25"/>
    <row r="16610" hidden="1" x14ac:dyDescent="0.25"/>
    <row r="16611" hidden="1" x14ac:dyDescent="0.25"/>
    <row r="16612" hidden="1" x14ac:dyDescent="0.25"/>
    <row r="16613" hidden="1" x14ac:dyDescent="0.25"/>
    <row r="16614" hidden="1" x14ac:dyDescent="0.25"/>
    <row r="16615" hidden="1" x14ac:dyDescent="0.25"/>
    <row r="16616" hidden="1" x14ac:dyDescent="0.25"/>
    <row r="16617" hidden="1" x14ac:dyDescent="0.25"/>
    <row r="16618" hidden="1" x14ac:dyDescent="0.25"/>
    <row r="16619" hidden="1" x14ac:dyDescent="0.25"/>
    <row r="16620" hidden="1" x14ac:dyDescent="0.25"/>
    <row r="16621" hidden="1" x14ac:dyDescent="0.25"/>
    <row r="16622" hidden="1" x14ac:dyDescent="0.25"/>
    <row r="16623" hidden="1" x14ac:dyDescent="0.25"/>
    <row r="16624" hidden="1" x14ac:dyDescent="0.25"/>
    <row r="16625" hidden="1" x14ac:dyDescent="0.25"/>
    <row r="16626" hidden="1" x14ac:dyDescent="0.25"/>
    <row r="16627" hidden="1" x14ac:dyDescent="0.25"/>
    <row r="16628" hidden="1" x14ac:dyDescent="0.25"/>
    <row r="16629" hidden="1" x14ac:dyDescent="0.25"/>
    <row r="16630" hidden="1" x14ac:dyDescent="0.25"/>
    <row r="16631" hidden="1" x14ac:dyDescent="0.25"/>
    <row r="16632" hidden="1" x14ac:dyDescent="0.25"/>
    <row r="16633" hidden="1" x14ac:dyDescent="0.25"/>
    <row r="16634" hidden="1" x14ac:dyDescent="0.25"/>
    <row r="16635" hidden="1" x14ac:dyDescent="0.25"/>
    <row r="16636" hidden="1" x14ac:dyDescent="0.25"/>
    <row r="16637" hidden="1" x14ac:dyDescent="0.25"/>
    <row r="16638" hidden="1" x14ac:dyDescent="0.25"/>
    <row r="16639" hidden="1" x14ac:dyDescent="0.25"/>
    <row r="16640" hidden="1" x14ac:dyDescent="0.25"/>
    <row r="16641" hidden="1" x14ac:dyDescent="0.25"/>
    <row r="16642" hidden="1" x14ac:dyDescent="0.25"/>
    <row r="16643" hidden="1" x14ac:dyDescent="0.25"/>
    <row r="16644" hidden="1" x14ac:dyDescent="0.25"/>
    <row r="16645" hidden="1" x14ac:dyDescent="0.25"/>
    <row r="16646" hidden="1" x14ac:dyDescent="0.25"/>
    <row r="16647" hidden="1" x14ac:dyDescent="0.25"/>
    <row r="16648" hidden="1" x14ac:dyDescent="0.25"/>
    <row r="16649" hidden="1" x14ac:dyDescent="0.25"/>
    <row r="16650" hidden="1" x14ac:dyDescent="0.25"/>
    <row r="16651" hidden="1" x14ac:dyDescent="0.25"/>
    <row r="16652" hidden="1" x14ac:dyDescent="0.25"/>
    <row r="16653" hidden="1" x14ac:dyDescent="0.25"/>
    <row r="16654" hidden="1" x14ac:dyDescent="0.25"/>
    <row r="16655" hidden="1" x14ac:dyDescent="0.25"/>
    <row r="16656" hidden="1" x14ac:dyDescent="0.25"/>
    <row r="16657" hidden="1" x14ac:dyDescent="0.25"/>
    <row r="16658" hidden="1" x14ac:dyDescent="0.25"/>
    <row r="16659" hidden="1" x14ac:dyDescent="0.25"/>
    <row r="16660" hidden="1" x14ac:dyDescent="0.25"/>
    <row r="16661" hidden="1" x14ac:dyDescent="0.25"/>
    <row r="16662" hidden="1" x14ac:dyDescent="0.25"/>
    <row r="16663" hidden="1" x14ac:dyDescent="0.25"/>
    <row r="16664" hidden="1" x14ac:dyDescent="0.25"/>
    <row r="16665" hidden="1" x14ac:dyDescent="0.25"/>
    <row r="16666" hidden="1" x14ac:dyDescent="0.25"/>
    <row r="16667" hidden="1" x14ac:dyDescent="0.25"/>
    <row r="16668" hidden="1" x14ac:dyDescent="0.25"/>
    <row r="16669" hidden="1" x14ac:dyDescent="0.25"/>
    <row r="16670" hidden="1" x14ac:dyDescent="0.25"/>
    <row r="16671" hidden="1" x14ac:dyDescent="0.25"/>
    <row r="16672" hidden="1" x14ac:dyDescent="0.25"/>
    <row r="16673" hidden="1" x14ac:dyDescent="0.25"/>
    <row r="16674" hidden="1" x14ac:dyDescent="0.25"/>
    <row r="16675" hidden="1" x14ac:dyDescent="0.25"/>
    <row r="16676" hidden="1" x14ac:dyDescent="0.25"/>
    <row r="16677" hidden="1" x14ac:dyDescent="0.25"/>
    <row r="16678" hidden="1" x14ac:dyDescent="0.25"/>
    <row r="16679" hidden="1" x14ac:dyDescent="0.25"/>
    <row r="16680" hidden="1" x14ac:dyDescent="0.25"/>
    <row r="16681" hidden="1" x14ac:dyDescent="0.25"/>
    <row r="16682" hidden="1" x14ac:dyDescent="0.25"/>
    <row r="16683" hidden="1" x14ac:dyDescent="0.25"/>
    <row r="16684" hidden="1" x14ac:dyDescent="0.25"/>
    <row r="16685" hidden="1" x14ac:dyDescent="0.25"/>
    <row r="16686" hidden="1" x14ac:dyDescent="0.25"/>
    <row r="16687" hidden="1" x14ac:dyDescent="0.25"/>
    <row r="16688" hidden="1" x14ac:dyDescent="0.25"/>
    <row r="16689" hidden="1" x14ac:dyDescent="0.25"/>
    <row r="16690" hidden="1" x14ac:dyDescent="0.25"/>
    <row r="16691" hidden="1" x14ac:dyDescent="0.25"/>
    <row r="16692" hidden="1" x14ac:dyDescent="0.25"/>
    <row r="16693" hidden="1" x14ac:dyDescent="0.25"/>
    <row r="16694" hidden="1" x14ac:dyDescent="0.25"/>
    <row r="16695" hidden="1" x14ac:dyDescent="0.25"/>
    <row r="16696" hidden="1" x14ac:dyDescent="0.25"/>
    <row r="16697" hidden="1" x14ac:dyDescent="0.25"/>
    <row r="16698" hidden="1" x14ac:dyDescent="0.25"/>
    <row r="16699" hidden="1" x14ac:dyDescent="0.25"/>
    <row r="16700" hidden="1" x14ac:dyDescent="0.25"/>
    <row r="16701" hidden="1" x14ac:dyDescent="0.25"/>
    <row r="16702" hidden="1" x14ac:dyDescent="0.25"/>
    <row r="16703" hidden="1" x14ac:dyDescent="0.25"/>
    <row r="16704" hidden="1" x14ac:dyDescent="0.25"/>
    <row r="16705" hidden="1" x14ac:dyDescent="0.25"/>
    <row r="16706" hidden="1" x14ac:dyDescent="0.25"/>
    <row r="16707" hidden="1" x14ac:dyDescent="0.25"/>
    <row r="16708" hidden="1" x14ac:dyDescent="0.25"/>
    <row r="16709" hidden="1" x14ac:dyDescent="0.25"/>
    <row r="16710" hidden="1" x14ac:dyDescent="0.25"/>
    <row r="16711" hidden="1" x14ac:dyDescent="0.25"/>
    <row r="16712" hidden="1" x14ac:dyDescent="0.25"/>
    <row r="16713" hidden="1" x14ac:dyDescent="0.25"/>
    <row r="16714" hidden="1" x14ac:dyDescent="0.25"/>
    <row r="16715" hidden="1" x14ac:dyDescent="0.25"/>
    <row r="16716" hidden="1" x14ac:dyDescent="0.25"/>
    <row r="16717" hidden="1" x14ac:dyDescent="0.25"/>
    <row r="16718" hidden="1" x14ac:dyDescent="0.25"/>
    <row r="16719" hidden="1" x14ac:dyDescent="0.25"/>
    <row r="16720" hidden="1" x14ac:dyDescent="0.25"/>
    <row r="16721" hidden="1" x14ac:dyDescent="0.25"/>
    <row r="16722" hidden="1" x14ac:dyDescent="0.25"/>
    <row r="16723" hidden="1" x14ac:dyDescent="0.25"/>
    <row r="16724" hidden="1" x14ac:dyDescent="0.25"/>
    <row r="16725" hidden="1" x14ac:dyDescent="0.25"/>
    <row r="16726" hidden="1" x14ac:dyDescent="0.25"/>
    <row r="16727" hidden="1" x14ac:dyDescent="0.25"/>
    <row r="16728" hidden="1" x14ac:dyDescent="0.25"/>
    <row r="16729" hidden="1" x14ac:dyDescent="0.25"/>
    <row r="16730" hidden="1" x14ac:dyDescent="0.25"/>
    <row r="16731" hidden="1" x14ac:dyDescent="0.25"/>
    <row r="16732" hidden="1" x14ac:dyDescent="0.25"/>
    <row r="16733" hidden="1" x14ac:dyDescent="0.25"/>
    <row r="16734" hidden="1" x14ac:dyDescent="0.25"/>
    <row r="16735" hidden="1" x14ac:dyDescent="0.25"/>
    <row r="16736" hidden="1" x14ac:dyDescent="0.25"/>
    <row r="16737" hidden="1" x14ac:dyDescent="0.25"/>
    <row r="16738" hidden="1" x14ac:dyDescent="0.25"/>
    <row r="16739" hidden="1" x14ac:dyDescent="0.25"/>
    <row r="16740" hidden="1" x14ac:dyDescent="0.25"/>
    <row r="16741" hidden="1" x14ac:dyDescent="0.25"/>
    <row r="16742" hidden="1" x14ac:dyDescent="0.25"/>
    <row r="16743" hidden="1" x14ac:dyDescent="0.25"/>
    <row r="16744" hidden="1" x14ac:dyDescent="0.25"/>
    <row r="16745" hidden="1" x14ac:dyDescent="0.25"/>
    <row r="16746" hidden="1" x14ac:dyDescent="0.25"/>
    <row r="16747" hidden="1" x14ac:dyDescent="0.25"/>
    <row r="16748" hidden="1" x14ac:dyDescent="0.25"/>
    <row r="16749" hidden="1" x14ac:dyDescent="0.25"/>
    <row r="16750" hidden="1" x14ac:dyDescent="0.25"/>
    <row r="16751" hidden="1" x14ac:dyDescent="0.25"/>
    <row r="16752" hidden="1" x14ac:dyDescent="0.25"/>
    <row r="16753" hidden="1" x14ac:dyDescent="0.25"/>
    <row r="16754" hidden="1" x14ac:dyDescent="0.25"/>
    <row r="16755" hidden="1" x14ac:dyDescent="0.25"/>
    <row r="16756" hidden="1" x14ac:dyDescent="0.25"/>
    <row r="16757" hidden="1" x14ac:dyDescent="0.25"/>
    <row r="16758" hidden="1" x14ac:dyDescent="0.25"/>
    <row r="16759" hidden="1" x14ac:dyDescent="0.25"/>
    <row r="16760" hidden="1" x14ac:dyDescent="0.25"/>
    <row r="16761" hidden="1" x14ac:dyDescent="0.25"/>
    <row r="16762" hidden="1" x14ac:dyDescent="0.25"/>
    <row r="16763" hidden="1" x14ac:dyDescent="0.25"/>
    <row r="16764" hidden="1" x14ac:dyDescent="0.25"/>
    <row r="16765" hidden="1" x14ac:dyDescent="0.25"/>
    <row r="16766" hidden="1" x14ac:dyDescent="0.25"/>
    <row r="16767" hidden="1" x14ac:dyDescent="0.25"/>
    <row r="16768" hidden="1" x14ac:dyDescent="0.25"/>
    <row r="16769" hidden="1" x14ac:dyDescent="0.25"/>
    <row r="16770" hidden="1" x14ac:dyDescent="0.25"/>
    <row r="16771" hidden="1" x14ac:dyDescent="0.25"/>
    <row r="16772" hidden="1" x14ac:dyDescent="0.25"/>
    <row r="16773" hidden="1" x14ac:dyDescent="0.25"/>
    <row r="16774" hidden="1" x14ac:dyDescent="0.25"/>
    <row r="16775" hidden="1" x14ac:dyDescent="0.25"/>
    <row r="16776" hidden="1" x14ac:dyDescent="0.25"/>
    <row r="16777" hidden="1" x14ac:dyDescent="0.25"/>
    <row r="16778" hidden="1" x14ac:dyDescent="0.25"/>
    <row r="16779" hidden="1" x14ac:dyDescent="0.25"/>
    <row r="16780" hidden="1" x14ac:dyDescent="0.25"/>
    <row r="16781" hidden="1" x14ac:dyDescent="0.25"/>
    <row r="16782" hidden="1" x14ac:dyDescent="0.25"/>
    <row r="16783" hidden="1" x14ac:dyDescent="0.25"/>
    <row r="16784" hidden="1" x14ac:dyDescent="0.25"/>
    <row r="16785" hidden="1" x14ac:dyDescent="0.25"/>
    <row r="16786" hidden="1" x14ac:dyDescent="0.25"/>
    <row r="16787" hidden="1" x14ac:dyDescent="0.25"/>
    <row r="16788" hidden="1" x14ac:dyDescent="0.25"/>
    <row r="16789" hidden="1" x14ac:dyDescent="0.25"/>
    <row r="16790" hidden="1" x14ac:dyDescent="0.25"/>
    <row r="16791" hidden="1" x14ac:dyDescent="0.25"/>
    <row r="16792" hidden="1" x14ac:dyDescent="0.25"/>
    <row r="16793" hidden="1" x14ac:dyDescent="0.25"/>
    <row r="16794" hidden="1" x14ac:dyDescent="0.25"/>
    <row r="16795" hidden="1" x14ac:dyDescent="0.25"/>
    <row r="16796" hidden="1" x14ac:dyDescent="0.25"/>
    <row r="16797" hidden="1" x14ac:dyDescent="0.25"/>
    <row r="16798" hidden="1" x14ac:dyDescent="0.25"/>
    <row r="16799" hidden="1" x14ac:dyDescent="0.25"/>
    <row r="16800" hidden="1" x14ac:dyDescent="0.25"/>
    <row r="16801" hidden="1" x14ac:dyDescent="0.25"/>
    <row r="16802" hidden="1" x14ac:dyDescent="0.25"/>
    <row r="16803" hidden="1" x14ac:dyDescent="0.25"/>
    <row r="16804" hidden="1" x14ac:dyDescent="0.25"/>
    <row r="16805" hidden="1" x14ac:dyDescent="0.25"/>
    <row r="16806" hidden="1" x14ac:dyDescent="0.25"/>
    <row r="16807" hidden="1" x14ac:dyDescent="0.25"/>
    <row r="16808" hidden="1" x14ac:dyDescent="0.25"/>
    <row r="16809" hidden="1" x14ac:dyDescent="0.25"/>
    <row r="16810" hidden="1" x14ac:dyDescent="0.25"/>
    <row r="16811" hidden="1" x14ac:dyDescent="0.25"/>
    <row r="16812" hidden="1" x14ac:dyDescent="0.25"/>
    <row r="16813" hidden="1" x14ac:dyDescent="0.25"/>
    <row r="16814" hidden="1" x14ac:dyDescent="0.25"/>
    <row r="16815" hidden="1" x14ac:dyDescent="0.25"/>
    <row r="16816" hidden="1" x14ac:dyDescent="0.25"/>
    <row r="16817" hidden="1" x14ac:dyDescent="0.25"/>
    <row r="16818" hidden="1" x14ac:dyDescent="0.25"/>
    <row r="16819" hidden="1" x14ac:dyDescent="0.25"/>
    <row r="16820" hidden="1" x14ac:dyDescent="0.25"/>
    <row r="16821" hidden="1" x14ac:dyDescent="0.25"/>
    <row r="16822" hidden="1" x14ac:dyDescent="0.25"/>
    <row r="16823" hidden="1" x14ac:dyDescent="0.25"/>
    <row r="16824" hidden="1" x14ac:dyDescent="0.25"/>
    <row r="16825" hidden="1" x14ac:dyDescent="0.25"/>
    <row r="16826" hidden="1" x14ac:dyDescent="0.25"/>
    <row r="16827" hidden="1" x14ac:dyDescent="0.25"/>
    <row r="16828" hidden="1" x14ac:dyDescent="0.25"/>
    <row r="16829" hidden="1" x14ac:dyDescent="0.25"/>
    <row r="16830" hidden="1" x14ac:dyDescent="0.25"/>
    <row r="16831" hidden="1" x14ac:dyDescent="0.25"/>
    <row r="16832" hidden="1" x14ac:dyDescent="0.25"/>
    <row r="16833" hidden="1" x14ac:dyDescent="0.25"/>
    <row r="16834" hidden="1" x14ac:dyDescent="0.25"/>
    <row r="16835" hidden="1" x14ac:dyDescent="0.25"/>
    <row r="16836" hidden="1" x14ac:dyDescent="0.25"/>
    <row r="16837" hidden="1" x14ac:dyDescent="0.25"/>
    <row r="16838" hidden="1" x14ac:dyDescent="0.25"/>
    <row r="16839" hidden="1" x14ac:dyDescent="0.25"/>
    <row r="16840" hidden="1" x14ac:dyDescent="0.25"/>
    <row r="16841" hidden="1" x14ac:dyDescent="0.25"/>
    <row r="16842" hidden="1" x14ac:dyDescent="0.25"/>
    <row r="16843" hidden="1" x14ac:dyDescent="0.25"/>
    <row r="16844" hidden="1" x14ac:dyDescent="0.25"/>
    <row r="16845" hidden="1" x14ac:dyDescent="0.25"/>
    <row r="16846" hidden="1" x14ac:dyDescent="0.25"/>
    <row r="16847" hidden="1" x14ac:dyDescent="0.25"/>
    <row r="16848" hidden="1" x14ac:dyDescent="0.25"/>
    <row r="16849" hidden="1" x14ac:dyDescent="0.25"/>
    <row r="16850" hidden="1" x14ac:dyDescent="0.25"/>
    <row r="16851" hidden="1" x14ac:dyDescent="0.25"/>
    <row r="16852" hidden="1" x14ac:dyDescent="0.25"/>
    <row r="16853" hidden="1" x14ac:dyDescent="0.25"/>
    <row r="16854" hidden="1" x14ac:dyDescent="0.25"/>
    <row r="16855" hidden="1" x14ac:dyDescent="0.25"/>
    <row r="16856" hidden="1" x14ac:dyDescent="0.25"/>
    <row r="16857" hidden="1" x14ac:dyDescent="0.25"/>
    <row r="16858" hidden="1" x14ac:dyDescent="0.25"/>
    <row r="16859" hidden="1" x14ac:dyDescent="0.25"/>
    <row r="16860" hidden="1" x14ac:dyDescent="0.25"/>
    <row r="16861" hidden="1" x14ac:dyDescent="0.25"/>
    <row r="16862" hidden="1" x14ac:dyDescent="0.25"/>
    <row r="16863" hidden="1" x14ac:dyDescent="0.25"/>
    <row r="16864" hidden="1" x14ac:dyDescent="0.25"/>
    <row r="16865" hidden="1" x14ac:dyDescent="0.25"/>
    <row r="16866" hidden="1" x14ac:dyDescent="0.25"/>
    <row r="16867" hidden="1" x14ac:dyDescent="0.25"/>
    <row r="16868" hidden="1" x14ac:dyDescent="0.25"/>
    <row r="16869" hidden="1" x14ac:dyDescent="0.25"/>
    <row r="16870" hidden="1" x14ac:dyDescent="0.25"/>
    <row r="16871" hidden="1" x14ac:dyDescent="0.25"/>
    <row r="16872" hidden="1" x14ac:dyDescent="0.25"/>
    <row r="16873" hidden="1" x14ac:dyDescent="0.25"/>
    <row r="16874" hidden="1" x14ac:dyDescent="0.25"/>
    <row r="16875" hidden="1" x14ac:dyDescent="0.25"/>
    <row r="16876" hidden="1" x14ac:dyDescent="0.25"/>
    <row r="16877" hidden="1" x14ac:dyDescent="0.25"/>
    <row r="16878" hidden="1" x14ac:dyDescent="0.25"/>
    <row r="16879" hidden="1" x14ac:dyDescent="0.25"/>
    <row r="16880" hidden="1" x14ac:dyDescent="0.25"/>
    <row r="16881" hidden="1" x14ac:dyDescent="0.25"/>
    <row r="16882" hidden="1" x14ac:dyDescent="0.25"/>
    <row r="16883" hidden="1" x14ac:dyDescent="0.25"/>
    <row r="16884" hidden="1" x14ac:dyDescent="0.25"/>
    <row r="16885" hidden="1" x14ac:dyDescent="0.25"/>
    <row r="16886" hidden="1" x14ac:dyDescent="0.25"/>
    <row r="16887" hidden="1" x14ac:dyDescent="0.25"/>
    <row r="16888" hidden="1" x14ac:dyDescent="0.25"/>
    <row r="16889" hidden="1" x14ac:dyDescent="0.25"/>
    <row r="16890" hidden="1" x14ac:dyDescent="0.25"/>
    <row r="16891" hidden="1" x14ac:dyDescent="0.25"/>
    <row r="16892" hidden="1" x14ac:dyDescent="0.25"/>
    <row r="16893" hidden="1" x14ac:dyDescent="0.25"/>
    <row r="16894" hidden="1" x14ac:dyDescent="0.25"/>
    <row r="16895" hidden="1" x14ac:dyDescent="0.25"/>
    <row r="16896" hidden="1" x14ac:dyDescent="0.25"/>
    <row r="16897" hidden="1" x14ac:dyDescent="0.25"/>
    <row r="16898" hidden="1" x14ac:dyDescent="0.25"/>
    <row r="16899" hidden="1" x14ac:dyDescent="0.25"/>
    <row r="16900" hidden="1" x14ac:dyDescent="0.25"/>
    <row r="16901" hidden="1" x14ac:dyDescent="0.25"/>
    <row r="16902" hidden="1" x14ac:dyDescent="0.25"/>
    <row r="16903" hidden="1" x14ac:dyDescent="0.25"/>
    <row r="16904" hidden="1" x14ac:dyDescent="0.25"/>
    <row r="16905" hidden="1" x14ac:dyDescent="0.25"/>
    <row r="16906" hidden="1" x14ac:dyDescent="0.25"/>
    <row r="16907" hidden="1" x14ac:dyDescent="0.25"/>
    <row r="16908" hidden="1" x14ac:dyDescent="0.25"/>
    <row r="16909" hidden="1" x14ac:dyDescent="0.25"/>
    <row r="16910" hidden="1" x14ac:dyDescent="0.25"/>
    <row r="16911" hidden="1" x14ac:dyDescent="0.25"/>
    <row r="16912" hidden="1" x14ac:dyDescent="0.25"/>
    <row r="16913" hidden="1" x14ac:dyDescent="0.25"/>
    <row r="16914" hidden="1" x14ac:dyDescent="0.25"/>
    <row r="16915" hidden="1" x14ac:dyDescent="0.25"/>
    <row r="16916" hidden="1" x14ac:dyDescent="0.25"/>
    <row r="16917" hidden="1" x14ac:dyDescent="0.25"/>
    <row r="16918" hidden="1" x14ac:dyDescent="0.25"/>
    <row r="16919" hidden="1" x14ac:dyDescent="0.25"/>
    <row r="16920" hidden="1" x14ac:dyDescent="0.25"/>
    <row r="16921" hidden="1" x14ac:dyDescent="0.25"/>
    <row r="16922" hidden="1" x14ac:dyDescent="0.25"/>
    <row r="16923" hidden="1" x14ac:dyDescent="0.25"/>
    <row r="16924" hidden="1" x14ac:dyDescent="0.25"/>
    <row r="16925" hidden="1" x14ac:dyDescent="0.25"/>
    <row r="16926" hidden="1" x14ac:dyDescent="0.25"/>
    <row r="16927" hidden="1" x14ac:dyDescent="0.25"/>
    <row r="16928" hidden="1" x14ac:dyDescent="0.25"/>
    <row r="16929" hidden="1" x14ac:dyDescent="0.25"/>
    <row r="16930" hidden="1" x14ac:dyDescent="0.25"/>
    <row r="16931" hidden="1" x14ac:dyDescent="0.25"/>
    <row r="16932" hidden="1" x14ac:dyDescent="0.25"/>
    <row r="16933" hidden="1" x14ac:dyDescent="0.25"/>
    <row r="16934" hidden="1" x14ac:dyDescent="0.25"/>
    <row r="16935" hidden="1" x14ac:dyDescent="0.25"/>
    <row r="16936" hidden="1" x14ac:dyDescent="0.25"/>
    <row r="16937" hidden="1" x14ac:dyDescent="0.25"/>
    <row r="16938" hidden="1" x14ac:dyDescent="0.25"/>
    <row r="16939" hidden="1" x14ac:dyDescent="0.25"/>
    <row r="16940" hidden="1" x14ac:dyDescent="0.25"/>
    <row r="16941" hidden="1" x14ac:dyDescent="0.25"/>
    <row r="16942" hidden="1" x14ac:dyDescent="0.25"/>
    <row r="16943" hidden="1" x14ac:dyDescent="0.25"/>
    <row r="16944" hidden="1" x14ac:dyDescent="0.25"/>
    <row r="16945" hidden="1" x14ac:dyDescent="0.25"/>
    <row r="16946" hidden="1" x14ac:dyDescent="0.25"/>
    <row r="16947" hidden="1" x14ac:dyDescent="0.25"/>
    <row r="16948" hidden="1" x14ac:dyDescent="0.25"/>
    <row r="16949" hidden="1" x14ac:dyDescent="0.25"/>
    <row r="16950" hidden="1" x14ac:dyDescent="0.25"/>
    <row r="16951" hidden="1" x14ac:dyDescent="0.25"/>
    <row r="16952" hidden="1" x14ac:dyDescent="0.25"/>
    <row r="16953" hidden="1" x14ac:dyDescent="0.25"/>
    <row r="16954" hidden="1" x14ac:dyDescent="0.25"/>
    <row r="16955" hidden="1" x14ac:dyDescent="0.25"/>
    <row r="16956" hidden="1" x14ac:dyDescent="0.25"/>
    <row r="16957" hidden="1" x14ac:dyDescent="0.25"/>
    <row r="16958" hidden="1" x14ac:dyDescent="0.25"/>
    <row r="16959" hidden="1" x14ac:dyDescent="0.25"/>
    <row r="16960" hidden="1" x14ac:dyDescent="0.25"/>
    <row r="16961" hidden="1" x14ac:dyDescent="0.25"/>
    <row r="16962" hidden="1" x14ac:dyDescent="0.25"/>
    <row r="16963" hidden="1" x14ac:dyDescent="0.25"/>
    <row r="16964" hidden="1" x14ac:dyDescent="0.25"/>
    <row r="16965" hidden="1" x14ac:dyDescent="0.25"/>
    <row r="16966" hidden="1" x14ac:dyDescent="0.25"/>
    <row r="16967" hidden="1" x14ac:dyDescent="0.25"/>
    <row r="16968" hidden="1" x14ac:dyDescent="0.25"/>
    <row r="16969" hidden="1" x14ac:dyDescent="0.25"/>
    <row r="16970" hidden="1" x14ac:dyDescent="0.25"/>
    <row r="16971" hidden="1" x14ac:dyDescent="0.25"/>
    <row r="16972" hidden="1" x14ac:dyDescent="0.25"/>
    <row r="16973" hidden="1" x14ac:dyDescent="0.25"/>
    <row r="16974" hidden="1" x14ac:dyDescent="0.25"/>
    <row r="16975" hidden="1" x14ac:dyDescent="0.25"/>
    <row r="16976" hidden="1" x14ac:dyDescent="0.25"/>
    <row r="16977" hidden="1" x14ac:dyDescent="0.25"/>
    <row r="16978" hidden="1" x14ac:dyDescent="0.25"/>
    <row r="16979" hidden="1" x14ac:dyDescent="0.25"/>
    <row r="16980" hidden="1" x14ac:dyDescent="0.25"/>
    <row r="16981" hidden="1" x14ac:dyDescent="0.25"/>
    <row r="16982" hidden="1" x14ac:dyDescent="0.25"/>
    <row r="16983" hidden="1" x14ac:dyDescent="0.25"/>
    <row r="16984" hidden="1" x14ac:dyDescent="0.25"/>
    <row r="16985" hidden="1" x14ac:dyDescent="0.25"/>
    <row r="16986" hidden="1" x14ac:dyDescent="0.25"/>
    <row r="16987" hidden="1" x14ac:dyDescent="0.25"/>
    <row r="16988" hidden="1" x14ac:dyDescent="0.25"/>
    <row r="16989" hidden="1" x14ac:dyDescent="0.25"/>
    <row r="16990" hidden="1" x14ac:dyDescent="0.25"/>
    <row r="16991" hidden="1" x14ac:dyDescent="0.25"/>
    <row r="16992" hidden="1" x14ac:dyDescent="0.25"/>
    <row r="16993" hidden="1" x14ac:dyDescent="0.25"/>
    <row r="16994" hidden="1" x14ac:dyDescent="0.25"/>
    <row r="16995" hidden="1" x14ac:dyDescent="0.25"/>
    <row r="16996" hidden="1" x14ac:dyDescent="0.25"/>
    <row r="16997" hidden="1" x14ac:dyDescent="0.25"/>
    <row r="16998" hidden="1" x14ac:dyDescent="0.25"/>
    <row r="16999" hidden="1" x14ac:dyDescent="0.25"/>
    <row r="17000" hidden="1" x14ac:dyDescent="0.25"/>
    <row r="17001" hidden="1" x14ac:dyDescent="0.25"/>
    <row r="17002" hidden="1" x14ac:dyDescent="0.25"/>
    <row r="17003" hidden="1" x14ac:dyDescent="0.25"/>
    <row r="17004" hidden="1" x14ac:dyDescent="0.25"/>
    <row r="17005" hidden="1" x14ac:dyDescent="0.25"/>
    <row r="17006" hidden="1" x14ac:dyDescent="0.25"/>
    <row r="17007" hidden="1" x14ac:dyDescent="0.25"/>
    <row r="17008" hidden="1" x14ac:dyDescent="0.25"/>
    <row r="17009" hidden="1" x14ac:dyDescent="0.25"/>
    <row r="17010" hidden="1" x14ac:dyDescent="0.25"/>
    <row r="17011" hidden="1" x14ac:dyDescent="0.25"/>
    <row r="17012" hidden="1" x14ac:dyDescent="0.25"/>
    <row r="17013" hidden="1" x14ac:dyDescent="0.25"/>
    <row r="17014" hidden="1" x14ac:dyDescent="0.25"/>
    <row r="17015" hidden="1" x14ac:dyDescent="0.25"/>
    <row r="17016" hidden="1" x14ac:dyDescent="0.25"/>
    <row r="17017" hidden="1" x14ac:dyDescent="0.25"/>
    <row r="17018" hidden="1" x14ac:dyDescent="0.25"/>
    <row r="17019" hidden="1" x14ac:dyDescent="0.25"/>
    <row r="17020" hidden="1" x14ac:dyDescent="0.25"/>
    <row r="17021" hidden="1" x14ac:dyDescent="0.25"/>
    <row r="17022" hidden="1" x14ac:dyDescent="0.25"/>
    <row r="17023" hidden="1" x14ac:dyDescent="0.25"/>
    <row r="17024" hidden="1" x14ac:dyDescent="0.25"/>
    <row r="17025" hidden="1" x14ac:dyDescent="0.25"/>
    <row r="17026" hidden="1" x14ac:dyDescent="0.25"/>
    <row r="17027" hidden="1" x14ac:dyDescent="0.25"/>
    <row r="17028" hidden="1" x14ac:dyDescent="0.25"/>
    <row r="17029" hidden="1" x14ac:dyDescent="0.25"/>
    <row r="17030" hidden="1" x14ac:dyDescent="0.25"/>
    <row r="17031" hidden="1" x14ac:dyDescent="0.25"/>
    <row r="17032" hidden="1" x14ac:dyDescent="0.25"/>
    <row r="17033" hidden="1" x14ac:dyDescent="0.25"/>
    <row r="17034" hidden="1" x14ac:dyDescent="0.25"/>
    <row r="17035" hidden="1" x14ac:dyDescent="0.25"/>
    <row r="17036" hidden="1" x14ac:dyDescent="0.25"/>
    <row r="17037" hidden="1" x14ac:dyDescent="0.25"/>
    <row r="17038" hidden="1" x14ac:dyDescent="0.25"/>
    <row r="17039" hidden="1" x14ac:dyDescent="0.25"/>
    <row r="17040" hidden="1" x14ac:dyDescent="0.25"/>
    <row r="17041" hidden="1" x14ac:dyDescent="0.25"/>
    <row r="17042" hidden="1" x14ac:dyDescent="0.25"/>
    <row r="17043" hidden="1" x14ac:dyDescent="0.25"/>
    <row r="17044" hidden="1" x14ac:dyDescent="0.25"/>
    <row r="17045" hidden="1" x14ac:dyDescent="0.25"/>
    <row r="17046" hidden="1" x14ac:dyDescent="0.25"/>
    <row r="17047" hidden="1" x14ac:dyDescent="0.25"/>
    <row r="17048" hidden="1" x14ac:dyDescent="0.25"/>
    <row r="17049" hidden="1" x14ac:dyDescent="0.25"/>
    <row r="17050" hidden="1" x14ac:dyDescent="0.25"/>
    <row r="17051" hidden="1" x14ac:dyDescent="0.25"/>
    <row r="17052" hidden="1" x14ac:dyDescent="0.25"/>
    <row r="17053" hidden="1" x14ac:dyDescent="0.25"/>
    <row r="17054" hidden="1" x14ac:dyDescent="0.25"/>
    <row r="17055" hidden="1" x14ac:dyDescent="0.25"/>
    <row r="17056" hidden="1" x14ac:dyDescent="0.25"/>
    <row r="17057" hidden="1" x14ac:dyDescent="0.25"/>
    <row r="17058" hidden="1" x14ac:dyDescent="0.25"/>
    <row r="17059" hidden="1" x14ac:dyDescent="0.25"/>
    <row r="17060" hidden="1" x14ac:dyDescent="0.25"/>
    <row r="17061" hidden="1" x14ac:dyDescent="0.25"/>
    <row r="17062" hidden="1" x14ac:dyDescent="0.25"/>
    <row r="17063" hidden="1" x14ac:dyDescent="0.25"/>
    <row r="17064" hidden="1" x14ac:dyDescent="0.25"/>
    <row r="17065" hidden="1" x14ac:dyDescent="0.25"/>
    <row r="17066" hidden="1" x14ac:dyDescent="0.25"/>
    <row r="17067" hidden="1" x14ac:dyDescent="0.25"/>
    <row r="17068" hidden="1" x14ac:dyDescent="0.25"/>
    <row r="17069" hidden="1" x14ac:dyDescent="0.25"/>
    <row r="17070" hidden="1" x14ac:dyDescent="0.25"/>
    <row r="17071" hidden="1" x14ac:dyDescent="0.25"/>
    <row r="17072" hidden="1" x14ac:dyDescent="0.25"/>
    <row r="17073" hidden="1" x14ac:dyDescent="0.25"/>
    <row r="17074" hidden="1" x14ac:dyDescent="0.25"/>
    <row r="17075" hidden="1" x14ac:dyDescent="0.25"/>
    <row r="17076" hidden="1" x14ac:dyDescent="0.25"/>
    <row r="17077" hidden="1" x14ac:dyDescent="0.25"/>
    <row r="17078" hidden="1" x14ac:dyDescent="0.25"/>
    <row r="17079" hidden="1" x14ac:dyDescent="0.25"/>
    <row r="17080" hidden="1" x14ac:dyDescent="0.25"/>
    <row r="17081" hidden="1" x14ac:dyDescent="0.25"/>
    <row r="17082" hidden="1" x14ac:dyDescent="0.25"/>
    <row r="17083" hidden="1" x14ac:dyDescent="0.25"/>
    <row r="17084" hidden="1" x14ac:dyDescent="0.25"/>
    <row r="17085" hidden="1" x14ac:dyDescent="0.25"/>
    <row r="17086" hidden="1" x14ac:dyDescent="0.25"/>
    <row r="17087" hidden="1" x14ac:dyDescent="0.25"/>
    <row r="17088" hidden="1" x14ac:dyDescent="0.25"/>
    <row r="17089" hidden="1" x14ac:dyDescent="0.25"/>
    <row r="17090" hidden="1" x14ac:dyDescent="0.25"/>
    <row r="17091" hidden="1" x14ac:dyDescent="0.25"/>
    <row r="17092" hidden="1" x14ac:dyDescent="0.25"/>
    <row r="17093" hidden="1" x14ac:dyDescent="0.25"/>
    <row r="17094" hidden="1" x14ac:dyDescent="0.25"/>
    <row r="17095" hidden="1" x14ac:dyDescent="0.25"/>
    <row r="17096" hidden="1" x14ac:dyDescent="0.25"/>
    <row r="17097" hidden="1" x14ac:dyDescent="0.25"/>
    <row r="17098" hidden="1" x14ac:dyDescent="0.25"/>
    <row r="17099" hidden="1" x14ac:dyDescent="0.25"/>
    <row r="17100" hidden="1" x14ac:dyDescent="0.25"/>
    <row r="17101" hidden="1" x14ac:dyDescent="0.25"/>
    <row r="17102" hidden="1" x14ac:dyDescent="0.25"/>
    <row r="17103" hidden="1" x14ac:dyDescent="0.25"/>
    <row r="17104" hidden="1" x14ac:dyDescent="0.25"/>
    <row r="17105" hidden="1" x14ac:dyDescent="0.25"/>
    <row r="17106" hidden="1" x14ac:dyDescent="0.25"/>
    <row r="17107" hidden="1" x14ac:dyDescent="0.25"/>
    <row r="17108" hidden="1" x14ac:dyDescent="0.25"/>
    <row r="17109" hidden="1" x14ac:dyDescent="0.25"/>
    <row r="17110" hidden="1" x14ac:dyDescent="0.25"/>
    <row r="17111" hidden="1" x14ac:dyDescent="0.25"/>
    <row r="17112" hidden="1" x14ac:dyDescent="0.25"/>
    <row r="17113" hidden="1" x14ac:dyDescent="0.25"/>
    <row r="17114" hidden="1" x14ac:dyDescent="0.25"/>
    <row r="17115" hidden="1" x14ac:dyDescent="0.25"/>
    <row r="17116" hidden="1" x14ac:dyDescent="0.25"/>
    <row r="17117" hidden="1" x14ac:dyDescent="0.25"/>
    <row r="17118" hidden="1" x14ac:dyDescent="0.25"/>
    <row r="17119" hidden="1" x14ac:dyDescent="0.25"/>
    <row r="17120" hidden="1" x14ac:dyDescent="0.25"/>
    <row r="17121" hidden="1" x14ac:dyDescent="0.25"/>
    <row r="17122" hidden="1" x14ac:dyDescent="0.25"/>
    <row r="17123" hidden="1" x14ac:dyDescent="0.25"/>
    <row r="17124" hidden="1" x14ac:dyDescent="0.25"/>
    <row r="17125" hidden="1" x14ac:dyDescent="0.25"/>
    <row r="17126" hidden="1" x14ac:dyDescent="0.25"/>
    <row r="17127" hidden="1" x14ac:dyDescent="0.25"/>
    <row r="17128" hidden="1" x14ac:dyDescent="0.25"/>
    <row r="17129" hidden="1" x14ac:dyDescent="0.25"/>
    <row r="17130" hidden="1" x14ac:dyDescent="0.25"/>
    <row r="17131" hidden="1" x14ac:dyDescent="0.25"/>
    <row r="17132" hidden="1" x14ac:dyDescent="0.25"/>
    <row r="17133" hidden="1" x14ac:dyDescent="0.25"/>
    <row r="17134" hidden="1" x14ac:dyDescent="0.25"/>
    <row r="17135" hidden="1" x14ac:dyDescent="0.25"/>
    <row r="17136" hidden="1" x14ac:dyDescent="0.25"/>
    <row r="17137" hidden="1" x14ac:dyDescent="0.25"/>
    <row r="17138" hidden="1" x14ac:dyDescent="0.25"/>
    <row r="17139" hidden="1" x14ac:dyDescent="0.25"/>
    <row r="17140" hidden="1" x14ac:dyDescent="0.25"/>
    <row r="17141" hidden="1" x14ac:dyDescent="0.25"/>
    <row r="17142" hidden="1" x14ac:dyDescent="0.25"/>
    <row r="17143" hidden="1" x14ac:dyDescent="0.25"/>
    <row r="17144" hidden="1" x14ac:dyDescent="0.25"/>
    <row r="17145" hidden="1" x14ac:dyDescent="0.25"/>
    <row r="17146" hidden="1" x14ac:dyDescent="0.25"/>
    <row r="17147" hidden="1" x14ac:dyDescent="0.25"/>
    <row r="17148" hidden="1" x14ac:dyDescent="0.25"/>
    <row r="17149" hidden="1" x14ac:dyDescent="0.25"/>
    <row r="17150" hidden="1" x14ac:dyDescent="0.25"/>
    <row r="17151" hidden="1" x14ac:dyDescent="0.25"/>
    <row r="17152" hidden="1" x14ac:dyDescent="0.25"/>
    <row r="17153" hidden="1" x14ac:dyDescent="0.25"/>
    <row r="17154" hidden="1" x14ac:dyDescent="0.25"/>
    <row r="17155" hidden="1" x14ac:dyDescent="0.25"/>
    <row r="17156" hidden="1" x14ac:dyDescent="0.25"/>
    <row r="17157" hidden="1" x14ac:dyDescent="0.25"/>
    <row r="17158" hidden="1" x14ac:dyDescent="0.25"/>
    <row r="17159" hidden="1" x14ac:dyDescent="0.25"/>
    <row r="17160" hidden="1" x14ac:dyDescent="0.25"/>
    <row r="17161" hidden="1" x14ac:dyDescent="0.25"/>
    <row r="17162" hidden="1" x14ac:dyDescent="0.25"/>
    <row r="17163" hidden="1" x14ac:dyDescent="0.25"/>
    <row r="17164" hidden="1" x14ac:dyDescent="0.25"/>
    <row r="17165" hidden="1" x14ac:dyDescent="0.25"/>
    <row r="17166" hidden="1" x14ac:dyDescent="0.25"/>
    <row r="17167" hidden="1" x14ac:dyDescent="0.25"/>
    <row r="17168" hidden="1" x14ac:dyDescent="0.25"/>
    <row r="17169" hidden="1" x14ac:dyDescent="0.25"/>
    <row r="17170" hidden="1" x14ac:dyDescent="0.25"/>
    <row r="17171" hidden="1" x14ac:dyDescent="0.25"/>
    <row r="17172" hidden="1" x14ac:dyDescent="0.25"/>
    <row r="17173" hidden="1" x14ac:dyDescent="0.25"/>
    <row r="17174" hidden="1" x14ac:dyDescent="0.25"/>
    <row r="17175" hidden="1" x14ac:dyDescent="0.25"/>
    <row r="17176" hidden="1" x14ac:dyDescent="0.25"/>
    <row r="17177" hidden="1" x14ac:dyDescent="0.25"/>
    <row r="17178" hidden="1" x14ac:dyDescent="0.25"/>
    <row r="17179" hidden="1" x14ac:dyDescent="0.25"/>
    <row r="17180" hidden="1" x14ac:dyDescent="0.25"/>
    <row r="17181" hidden="1" x14ac:dyDescent="0.25"/>
    <row r="17182" hidden="1" x14ac:dyDescent="0.25"/>
    <row r="17183" hidden="1" x14ac:dyDescent="0.25"/>
    <row r="17184" hidden="1" x14ac:dyDescent="0.25"/>
    <row r="17185" hidden="1" x14ac:dyDescent="0.25"/>
    <row r="17186" hidden="1" x14ac:dyDescent="0.25"/>
    <row r="17187" hidden="1" x14ac:dyDescent="0.25"/>
    <row r="17188" hidden="1" x14ac:dyDescent="0.25"/>
    <row r="17189" hidden="1" x14ac:dyDescent="0.25"/>
    <row r="17190" hidden="1" x14ac:dyDescent="0.25"/>
    <row r="17191" hidden="1" x14ac:dyDescent="0.25"/>
    <row r="17192" hidden="1" x14ac:dyDescent="0.25"/>
    <row r="17193" hidden="1" x14ac:dyDescent="0.25"/>
    <row r="17194" hidden="1" x14ac:dyDescent="0.25"/>
    <row r="17195" hidden="1" x14ac:dyDescent="0.25"/>
    <row r="17196" hidden="1" x14ac:dyDescent="0.25"/>
    <row r="17197" hidden="1" x14ac:dyDescent="0.25"/>
    <row r="17198" hidden="1" x14ac:dyDescent="0.25"/>
    <row r="17199" hidden="1" x14ac:dyDescent="0.25"/>
    <row r="17200" hidden="1" x14ac:dyDescent="0.25"/>
    <row r="17201" hidden="1" x14ac:dyDescent="0.25"/>
    <row r="17202" hidden="1" x14ac:dyDescent="0.25"/>
    <row r="17203" hidden="1" x14ac:dyDescent="0.25"/>
    <row r="17204" hidden="1" x14ac:dyDescent="0.25"/>
    <row r="17205" hidden="1" x14ac:dyDescent="0.25"/>
    <row r="17206" hidden="1" x14ac:dyDescent="0.25"/>
    <row r="17207" hidden="1" x14ac:dyDescent="0.25"/>
    <row r="17208" hidden="1" x14ac:dyDescent="0.25"/>
    <row r="17209" hidden="1" x14ac:dyDescent="0.25"/>
    <row r="17210" hidden="1" x14ac:dyDescent="0.25"/>
    <row r="17211" hidden="1" x14ac:dyDescent="0.25"/>
    <row r="17212" hidden="1" x14ac:dyDescent="0.25"/>
    <row r="17213" hidden="1" x14ac:dyDescent="0.25"/>
    <row r="17214" hidden="1" x14ac:dyDescent="0.25"/>
    <row r="17215" hidden="1" x14ac:dyDescent="0.25"/>
    <row r="17216" hidden="1" x14ac:dyDescent="0.25"/>
    <row r="17217" hidden="1" x14ac:dyDescent="0.25"/>
    <row r="17218" hidden="1" x14ac:dyDescent="0.25"/>
    <row r="17219" hidden="1" x14ac:dyDescent="0.25"/>
    <row r="17220" hidden="1" x14ac:dyDescent="0.25"/>
    <row r="17221" hidden="1" x14ac:dyDescent="0.25"/>
    <row r="17222" hidden="1" x14ac:dyDescent="0.25"/>
    <row r="17223" hidden="1" x14ac:dyDescent="0.25"/>
    <row r="17224" hidden="1" x14ac:dyDescent="0.25"/>
    <row r="17225" hidden="1" x14ac:dyDescent="0.25"/>
    <row r="17226" hidden="1" x14ac:dyDescent="0.25"/>
    <row r="17227" hidden="1" x14ac:dyDescent="0.25"/>
    <row r="17228" hidden="1" x14ac:dyDescent="0.25"/>
    <row r="17229" hidden="1" x14ac:dyDescent="0.25"/>
    <row r="17230" hidden="1" x14ac:dyDescent="0.25"/>
    <row r="17231" hidden="1" x14ac:dyDescent="0.25"/>
    <row r="17232" hidden="1" x14ac:dyDescent="0.25"/>
    <row r="17233" hidden="1" x14ac:dyDescent="0.25"/>
    <row r="17234" hidden="1" x14ac:dyDescent="0.25"/>
    <row r="17235" hidden="1" x14ac:dyDescent="0.25"/>
    <row r="17236" hidden="1" x14ac:dyDescent="0.25"/>
    <row r="17237" hidden="1" x14ac:dyDescent="0.25"/>
    <row r="17238" hidden="1" x14ac:dyDescent="0.25"/>
    <row r="17239" hidden="1" x14ac:dyDescent="0.25"/>
    <row r="17240" hidden="1" x14ac:dyDescent="0.25"/>
    <row r="17241" hidden="1" x14ac:dyDescent="0.25"/>
    <row r="17242" hidden="1" x14ac:dyDescent="0.25"/>
    <row r="17243" hidden="1" x14ac:dyDescent="0.25"/>
    <row r="17244" hidden="1" x14ac:dyDescent="0.25"/>
    <row r="17245" hidden="1" x14ac:dyDescent="0.25"/>
    <row r="17246" hidden="1" x14ac:dyDescent="0.25"/>
    <row r="17247" hidden="1" x14ac:dyDescent="0.25"/>
    <row r="17248" hidden="1" x14ac:dyDescent="0.25"/>
    <row r="17249" hidden="1" x14ac:dyDescent="0.25"/>
    <row r="17250" hidden="1" x14ac:dyDescent="0.25"/>
    <row r="17251" hidden="1" x14ac:dyDescent="0.25"/>
    <row r="17252" hidden="1" x14ac:dyDescent="0.25"/>
    <row r="17253" hidden="1" x14ac:dyDescent="0.25"/>
    <row r="17254" hidden="1" x14ac:dyDescent="0.25"/>
    <row r="17255" hidden="1" x14ac:dyDescent="0.25"/>
    <row r="17256" hidden="1" x14ac:dyDescent="0.25"/>
    <row r="17257" hidden="1" x14ac:dyDescent="0.25"/>
    <row r="17258" hidden="1" x14ac:dyDescent="0.25"/>
    <row r="17259" hidden="1" x14ac:dyDescent="0.25"/>
    <row r="17260" hidden="1" x14ac:dyDescent="0.25"/>
    <row r="17261" hidden="1" x14ac:dyDescent="0.25"/>
    <row r="17262" hidden="1" x14ac:dyDescent="0.25"/>
    <row r="17263" hidden="1" x14ac:dyDescent="0.25"/>
    <row r="17264" hidden="1" x14ac:dyDescent="0.25"/>
    <row r="17265" hidden="1" x14ac:dyDescent="0.25"/>
    <row r="17266" hidden="1" x14ac:dyDescent="0.25"/>
    <row r="17267" hidden="1" x14ac:dyDescent="0.25"/>
    <row r="17268" hidden="1" x14ac:dyDescent="0.25"/>
    <row r="17269" hidden="1" x14ac:dyDescent="0.25"/>
    <row r="17270" hidden="1" x14ac:dyDescent="0.25"/>
    <row r="17271" hidden="1" x14ac:dyDescent="0.25"/>
    <row r="17272" hidden="1" x14ac:dyDescent="0.25"/>
    <row r="17273" hidden="1" x14ac:dyDescent="0.25"/>
    <row r="17274" hidden="1" x14ac:dyDescent="0.25"/>
    <row r="17275" hidden="1" x14ac:dyDescent="0.25"/>
    <row r="17276" hidden="1" x14ac:dyDescent="0.25"/>
    <row r="17277" hidden="1" x14ac:dyDescent="0.25"/>
    <row r="17278" hidden="1" x14ac:dyDescent="0.25"/>
    <row r="17279" hidden="1" x14ac:dyDescent="0.25"/>
    <row r="17280" hidden="1" x14ac:dyDescent="0.25"/>
    <row r="17281" hidden="1" x14ac:dyDescent="0.25"/>
    <row r="17282" hidden="1" x14ac:dyDescent="0.25"/>
    <row r="17283" hidden="1" x14ac:dyDescent="0.25"/>
    <row r="17284" hidden="1" x14ac:dyDescent="0.25"/>
    <row r="17285" hidden="1" x14ac:dyDescent="0.25"/>
    <row r="17286" hidden="1" x14ac:dyDescent="0.25"/>
    <row r="17287" hidden="1" x14ac:dyDescent="0.25"/>
    <row r="17288" hidden="1" x14ac:dyDescent="0.25"/>
    <row r="17289" hidden="1" x14ac:dyDescent="0.25"/>
    <row r="17290" hidden="1" x14ac:dyDescent="0.25"/>
    <row r="17291" hidden="1" x14ac:dyDescent="0.25"/>
    <row r="17292" hidden="1" x14ac:dyDescent="0.25"/>
    <row r="17293" hidden="1" x14ac:dyDescent="0.25"/>
    <row r="17294" hidden="1" x14ac:dyDescent="0.25"/>
    <row r="17295" hidden="1" x14ac:dyDescent="0.25"/>
    <row r="17296" hidden="1" x14ac:dyDescent="0.25"/>
    <row r="17297" hidden="1" x14ac:dyDescent="0.25"/>
    <row r="17298" hidden="1" x14ac:dyDescent="0.25"/>
    <row r="17299" hidden="1" x14ac:dyDescent="0.25"/>
    <row r="17300" hidden="1" x14ac:dyDescent="0.25"/>
    <row r="17301" hidden="1" x14ac:dyDescent="0.25"/>
    <row r="17302" hidden="1" x14ac:dyDescent="0.25"/>
    <row r="17303" hidden="1" x14ac:dyDescent="0.25"/>
    <row r="17304" hidden="1" x14ac:dyDescent="0.25"/>
    <row r="17305" hidden="1" x14ac:dyDescent="0.25"/>
    <row r="17306" hidden="1" x14ac:dyDescent="0.25"/>
    <row r="17307" hidden="1" x14ac:dyDescent="0.25"/>
    <row r="17308" hidden="1" x14ac:dyDescent="0.25"/>
    <row r="17309" hidden="1" x14ac:dyDescent="0.25"/>
    <row r="17310" hidden="1" x14ac:dyDescent="0.25"/>
    <row r="17311" hidden="1" x14ac:dyDescent="0.25"/>
    <row r="17312" hidden="1" x14ac:dyDescent="0.25"/>
    <row r="17313" hidden="1" x14ac:dyDescent="0.25"/>
    <row r="17314" hidden="1" x14ac:dyDescent="0.25"/>
    <row r="17315" hidden="1" x14ac:dyDescent="0.25"/>
    <row r="17316" hidden="1" x14ac:dyDescent="0.25"/>
    <row r="17317" hidden="1" x14ac:dyDescent="0.25"/>
    <row r="17318" hidden="1" x14ac:dyDescent="0.25"/>
    <row r="17319" hidden="1" x14ac:dyDescent="0.25"/>
    <row r="17320" hidden="1" x14ac:dyDescent="0.25"/>
    <row r="17321" hidden="1" x14ac:dyDescent="0.25"/>
    <row r="17322" hidden="1" x14ac:dyDescent="0.25"/>
    <row r="17323" hidden="1" x14ac:dyDescent="0.25"/>
    <row r="17324" hidden="1" x14ac:dyDescent="0.25"/>
    <row r="17325" hidden="1" x14ac:dyDescent="0.25"/>
    <row r="17326" hidden="1" x14ac:dyDescent="0.25"/>
    <row r="17327" hidden="1" x14ac:dyDescent="0.25"/>
    <row r="17328" hidden="1" x14ac:dyDescent="0.25"/>
    <row r="17329" hidden="1" x14ac:dyDescent="0.25"/>
    <row r="17330" hidden="1" x14ac:dyDescent="0.25"/>
    <row r="17331" hidden="1" x14ac:dyDescent="0.25"/>
    <row r="17332" hidden="1" x14ac:dyDescent="0.25"/>
    <row r="17333" hidden="1" x14ac:dyDescent="0.25"/>
    <row r="17334" hidden="1" x14ac:dyDescent="0.25"/>
    <row r="17335" hidden="1" x14ac:dyDescent="0.25"/>
    <row r="17336" hidden="1" x14ac:dyDescent="0.25"/>
    <row r="17337" hidden="1" x14ac:dyDescent="0.25"/>
    <row r="17338" hidden="1" x14ac:dyDescent="0.25"/>
    <row r="17339" hidden="1" x14ac:dyDescent="0.25"/>
    <row r="17340" hidden="1" x14ac:dyDescent="0.25"/>
    <row r="17341" hidden="1" x14ac:dyDescent="0.25"/>
    <row r="17342" hidden="1" x14ac:dyDescent="0.25"/>
    <row r="17343" hidden="1" x14ac:dyDescent="0.25"/>
    <row r="17344" hidden="1" x14ac:dyDescent="0.25"/>
    <row r="17345" hidden="1" x14ac:dyDescent="0.25"/>
    <row r="17346" hidden="1" x14ac:dyDescent="0.25"/>
    <row r="17347" hidden="1" x14ac:dyDescent="0.25"/>
    <row r="17348" hidden="1" x14ac:dyDescent="0.25"/>
    <row r="17349" hidden="1" x14ac:dyDescent="0.25"/>
    <row r="17350" hidden="1" x14ac:dyDescent="0.25"/>
    <row r="17351" hidden="1" x14ac:dyDescent="0.25"/>
    <row r="17352" hidden="1" x14ac:dyDescent="0.25"/>
    <row r="17353" hidden="1" x14ac:dyDescent="0.25"/>
    <row r="17354" hidden="1" x14ac:dyDescent="0.25"/>
    <row r="17355" hidden="1" x14ac:dyDescent="0.25"/>
    <row r="17356" hidden="1" x14ac:dyDescent="0.25"/>
    <row r="17357" hidden="1" x14ac:dyDescent="0.25"/>
    <row r="17358" hidden="1" x14ac:dyDescent="0.25"/>
    <row r="17359" hidden="1" x14ac:dyDescent="0.25"/>
    <row r="17360" hidden="1" x14ac:dyDescent="0.25"/>
    <row r="17361" hidden="1" x14ac:dyDescent="0.25"/>
    <row r="17362" hidden="1" x14ac:dyDescent="0.25"/>
    <row r="17363" hidden="1" x14ac:dyDescent="0.25"/>
    <row r="17364" hidden="1" x14ac:dyDescent="0.25"/>
    <row r="17365" hidden="1" x14ac:dyDescent="0.25"/>
    <row r="17366" hidden="1" x14ac:dyDescent="0.25"/>
    <row r="17367" hidden="1" x14ac:dyDescent="0.25"/>
    <row r="17368" hidden="1" x14ac:dyDescent="0.25"/>
    <row r="17369" hidden="1" x14ac:dyDescent="0.25"/>
    <row r="17370" hidden="1" x14ac:dyDescent="0.25"/>
    <row r="17371" hidden="1" x14ac:dyDescent="0.25"/>
    <row r="17372" hidden="1" x14ac:dyDescent="0.25"/>
    <row r="17373" hidden="1" x14ac:dyDescent="0.25"/>
    <row r="17374" hidden="1" x14ac:dyDescent="0.25"/>
    <row r="17375" hidden="1" x14ac:dyDescent="0.25"/>
    <row r="17376" hidden="1" x14ac:dyDescent="0.25"/>
    <row r="17377" hidden="1" x14ac:dyDescent="0.25"/>
    <row r="17378" hidden="1" x14ac:dyDescent="0.25"/>
    <row r="17379" hidden="1" x14ac:dyDescent="0.25"/>
    <row r="17380" hidden="1" x14ac:dyDescent="0.25"/>
    <row r="17381" hidden="1" x14ac:dyDescent="0.25"/>
    <row r="17382" hidden="1" x14ac:dyDescent="0.25"/>
    <row r="17383" hidden="1" x14ac:dyDescent="0.25"/>
    <row r="17384" hidden="1" x14ac:dyDescent="0.25"/>
    <row r="17385" hidden="1" x14ac:dyDescent="0.25"/>
    <row r="17386" hidden="1" x14ac:dyDescent="0.25"/>
    <row r="17387" hidden="1" x14ac:dyDescent="0.25"/>
    <row r="17388" hidden="1" x14ac:dyDescent="0.25"/>
    <row r="17389" hidden="1" x14ac:dyDescent="0.25"/>
    <row r="17390" hidden="1" x14ac:dyDescent="0.25"/>
    <row r="17391" hidden="1" x14ac:dyDescent="0.25"/>
    <row r="17392" hidden="1" x14ac:dyDescent="0.25"/>
    <row r="17393" hidden="1" x14ac:dyDescent="0.25"/>
    <row r="17394" hidden="1" x14ac:dyDescent="0.25"/>
    <row r="17395" hidden="1" x14ac:dyDescent="0.25"/>
    <row r="17396" hidden="1" x14ac:dyDescent="0.25"/>
    <row r="17397" hidden="1" x14ac:dyDescent="0.25"/>
    <row r="17398" hidden="1" x14ac:dyDescent="0.25"/>
    <row r="17399" hidden="1" x14ac:dyDescent="0.25"/>
    <row r="17400" hidden="1" x14ac:dyDescent="0.25"/>
    <row r="17401" hidden="1" x14ac:dyDescent="0.25"/>
    <row r="17402" hidden="1" x14ac:dyDescent="0.25"/>
    <row r="17403" hidden="1" x14ac:dyDescent="0.25"/>
    <row r="17404" hidden="1" x14ac:dyDescent="0.25"/>
    <row r="17405" hidden="1" x14ac:dyDescent="0.25"/>
    <row r="17406" hidden="1" x14ac:dyDescent="0.25"/>
    <row r="17407" hidden="1" x14ac:dyDescent="0.25"/>
    <row r="17408" hidden="1" x14ac:dyDescent="0.25"/>
    <row r="17409" hidden="1" x14ac:dyDescent="0.25"/>
    <row r="17410" hidden="1" x14ac:dyDescent="0.25"/>
    <row r="17411" hidden="1" x14ac:dyDescent="0.25"/>
    <row r="17412" hidden="1" x14ac:dyDescent="0.25"/>
    <row r="17413" hidden="1" x14ac:dyDescent="0.25"/>
    <row r="17414" hidden="1" x14ac:dyDescent="0.25"/>
    <row r="17415" hidden="1" x14ac:dyDescent="0.25"/>
    <row r="17416" hidden="1" x14ac:dyDescent="0.25"/>
    <row r="17417" hidden="1" x14ac:dyDescent="0.25"/>
    <row r="17418" hidden="1" x14ac:dyDescent="0.25"/>
    <row r="17419" hidden="1" x14ac:dyDescent="0.25"/>
    <row r="17420" hidden="1" x14ac:dyDescent="0.25"/>
    <row r="17421" hidden="1" x14ac:dyDescent="0.25"/>
    <row r="17422" hidden="1" x14ac:dyDescent="0.25"/>
    <row r="17423" hidden="1" x14ac:dyDescent="0.25"/>
    <row r="17424" hidden="1" x14ac:dyDescent="0.25"/>
    <row r="17425" hidden="1" x14ac:dyDescent="0.25"/>
    <row r="17426" hidden="1" x14ac:dyDescent="0.25"/>
    <row r="17427" hidden="1" x14ac:dyDescent="0.25"/>
    <row r="17428" hidden="1" x14ac:dyDescent="0.25"/>
    <row r="17429" hidden="1" x14ac:dyDescent="0.25"/>
    <row r="17430" hidden="1" x14ac:dyDescent="0.25"/>
    <row r="17431" hidden="1" x14ac:dyDescent="0.25"/>
    <row r="17432" hidden="1" x14ac:dyDescent="0.25"/>
    <row r="17433" hidden="1" x14ac:dyDescent="0.25"/>
    <row r="17434" hidden="1" x14ac:dyDescent="0.25"/>
    <row r="17435" hidden="1" x14ac:dyDescent="0.25"/>
    <row r="17436" hidden="1" x14ac:dyDescent="0.25"/>
    <row r="17437" hidden="1" x14ac:dyDescent="0.25"/>
    <row r="17438" hidden="1" x14ac:dyDescent="0.25"/>
    <row r="17439" hidden="1" x14ac:dyDescent="0.25"/>
    <row r="17440" hidden="1" x14ac:dyDescent="0.25"/>
    <row r="17441" hidden="1" x14ac:dyDescent="0.25"/>
    <row r="17442" hidden="1" x14ac:dyDescent="0.25"/>
    <row r="17443" hidden="1" x14ac:dyDescent="0.25"/>
    <row r="17444" hidden="1" x14ac:dyDescent="0.25"/>
    <row r="17445" hidden="1" x14ac:dyDescent="0.25"/>
    <row r="17446" hidden="1" x14ac:dyDescent="0.25"/>
    <row r="17447" hidden="1" x14ac:dyDescent="0.25"/>
    <row r="17448" hidden="1" x14ac:dyDescent="0.25"/>
    <row r="17449" hidden="1" x14ac:dyDescent="0.25"/>
    <row r="17450" hidden="1" x14ac:dyDescent="0.25"/>
    <row r="17451" hidden="1" x14ac:dyDescent="0.25"/>
    <row r="17452" hidden="1" x14ac:dyDescent="0.25"/>
    <row r="17453" hidden="1" x14ac:dyDescent="0.25"/>
    <row r="17454" hidden="1" x14ac:dyDescent="0.25"/>
    <row r="17455" hidden="1" x14ac:dyDescent="0.25"/>
    <row r="17456" hidden="1" x14ac:dyDescent="0.25"/>
    <row r="17457" hidden="1" x14ac:dyDescent="0.25"/>
    <row r="17458" hidden="1" x14ac:dyDescent="0.25"/>
    <row r="17459" hidden="1" x14ac:dyDescent="0.25"/>
    <row r="17460" hidden="1" x14ac:dyDescent="0.25"/>
    <row r="17461" hidden="1" x14ac:dyDescent="0.25"/>
    <row r="17462" hidden="1" x14ac:dyDescent="0.25"/>
    <row r="17463" hidden="1" x14ac:dyDescent="0.25"/>
    <row r="17464" hidden="1" x14ac:dyDescent="0.25"/>
    <row r="17465" hidden="1" x14ac:dyDescent="0.25"/>
    <row r="17466" hidden="1" x14ac:dyDescent="0.25"/>
    <row r="17467" hidden="1" x14ac:dyDescent="0.25"/>
    <row r="17468" hidden="1" x14ac:dyDescent="0.25"/>
    <row r="17469" hidden="1" x14ac:dyDescent="0.25"/>
    <row r="17470" hidden="1" x14ac:dyDescent="0.25"/>
    <row r="17471" hidden="1" x14ac:dyDescent="0.25"/>
    <row r="17472" hidden="1" x14ac:dyDescent="0.25"/>
    <row r="17473" hidden="1" x14ac:dyDescent="0.25"/>
    <row r="17474" hidden="1" x14ac:dyDescent="0.25"/>
    <row r="17475" hidden="1" x14ac:dyDescent="0.25"/>
    <row r="17476" hidden="1" x14ac:dyDescent="0.25"/>
    <row r="17477" hidden="1" x14ac:dyDescent="0.25"/>
    <row r="17478" hidden="1" x14ac:dyDescent="0.25"/>
    <row r="17479" hidden="1" x14ac:dyDescent="0.25"/>
    <row r="17480" hidden="1" x14ac:dyDescent="0.25"/>
    <row r="17481" hidden="1" x14ac:dyDescent="0.25"/>
    <row r="17482" hidden="1" x14ac:dyDescent="0.25"/>
    <row r="17483" hidden="1" x14ac:dyDescent="0.25"/>
    <row r="17484" hidden="1" x14ac:dyDescent="0.25"/>
    <row r="17485" hidden="1" x14ac:dyDescent="0.25"/>
    <row r="17486" hidden="1" x14ac:dyDescent="0.25"/>
    <row r="17487" hidden="1" x14ac:dyDescent="0.25"/>
    <row r="17488" hidden="1" x14ac:dyDescent="0.25"/>
    <row r="17489" hidden="1" x14ac:dyDescent="0.25"/>
    <row r="17490" hidden="1" x14ac:dyDescent="0.25"/>
    <row r="17491" hidden="1" x14ac:dyDescent="0.25"/>
    <row r="17492" hidden="1" x14ac:dyDescent="0.25"/>
    <row r="17493" hidden="1" x14ac:dyDescent="0.25"/>
    <row r="17494" hidden="1" x14ac:dyDescent="0.25"/>
    <row r="17495" hidden="1" x14ac:dyDescent="0.25"/>
    <row r="17496" hidden="1" x14ac:dyDescent="0.25"/>
    <row r="17497" hidden="1" x14ac:dyDescent="0.25"/>
    <row r="17498" hidden="1" x14ac:dyDescent="0.25"/>
    <row r="17499" hidden="1" x14ac:dyDescent="0.25"/>
    <row r="17500" hidden="1" x14ac:dyDescent="0.25"/>
    <row r="17501" hidden="1" x14ac:dyDescent="0.25"/>
    <row r="17502" hidden="1" x14ac:dyDescent="0.25"/>
    <row r="17503" hidden="1" x14ac:dyDescent="0.25"/>
    <row r="17504" hidden="1" x14ac:dyDescent="0.25"/>
    <row r="17505" hidden="1" x14ac:dyDescent="0.25"/>
    <row r="17506" hidden="1" x14ac:dyDescent="0.25"/>
    <row r="17507" hidden="1" x14ac:dyDescent="0.25"/>
    <row r="17508" hidden="1" x14ac:dyDescent="0.25"/>
    <row r="17509" hidden="1" x14ac:dyDescent="0.25"/>
    <row r="17510" hidden="1" x14ac:dyDescent="0.25"/>
    <row r="17511" hidden="1" x14ac:dyDescent="0.25"/>
    <row r="17512" hidden="1" x14ac:dyDescent="0.25"/>
    <row r="17513" hidden="1" x14ac:dyDescent="0.25"/>
    <row r="17514" hidden="1" x14ac:dyDescent="0.25"/>
    <row r="17515" hidden="1" x14ac:dyDescent="0.25"/>
    <row r="17516" hidden="1" x14ac:dyDescent="0.25"/>
    <row r="17517" hidden="1" x14ac:dyDescent="0.25"/>
    <row r="17518" hidden="1" x14ac:dyDescent="0.25"/>
    <row r="17519" hidden="1" x14ac:dyDescent="0.25"/>
    <row r="17520" hidden="1" x14ac:dyDescent="0.25"/>
    <row r="17521" hidden="1" x14ac:dyDescent="0.25"/>
    <row r="17522" hidden="1" x14ac:dyDescent="0.25"/>
    <row r="17523" hidden="1" x14ac:dyDescent="0.25"/>
    <row r="17524" hidden="1" x14ac:dyDescent="0.25"/>
    <row r="17525" hidden="1" x14ac:dyDescent="0.25"/>
    <row r="17526" hidden="1" x14ac:dyDescent="0.25"/>
    <row r="17527" hidden="1" x14ac:dyDescent="0.25"/>
    <row r="17528" hidden="1" x14ac:dyDescent="0.25"/>
    <row r="17529" hidden="1" x14ac:dyDescent="0.25"/>
    <row r="17530" hidden="1" x14ac:dyDescent="0.25"/>
    <row r="17531" hidden="1" x14ac:dyDescent="0.25"/>
    <row r="17532" hidden="1" x14ac:dyDescent="0.25"/>
    <row r="17533" hidden="1" x14ac:dyDescent="0.25"/>
    <row r="17534" hidden="1" x14ac:dyDescent="0.25"/>
    <row r="17535" hidden="1" x14ac:dyDescent="0.25"/>
    <row r="17536" hidden="1" x14ac:dyDescent="0.25"/>
    <row r="17537" hidden="1" x14ac:dyDescent="0.25"/>
    <row r="17538" hidden="1" x14ac:dyDescent="0.25"/>
    <row r="17539" hidden="1" x14ac:dyDescent="0.25"/>
    <row r="17540" hidden="1" x14ac:dyDescent="0.25"/>
    <row r="17541" hidden="1" x14ac:dyDescent="0.25"/>
    <row r="17542" hidden="1" x14ac:dyDescent="0.25"/>
    <row r="17543" hidden="1" x14ac:dyDescent="0.25"/>
    <row r="17544" hidden="1" x14ac:dyDescent="0.25"/>
    <row r="17545" hidden="1" x14ac:dyDescent="0.25"/>
    <row r="17546" hidden="1" x14ac:dyDescent="0.25"/>
    <row r="17547" hidden="1" x14ac:dyDescent="0.25"/>
    <row r="17548" hidden="1" x14ac:dyDescent="0.25"/>
    <row r="17549" hidden="1" x14ac:dyDescent="0.25"/>
    <row r="17550" hidden="1" x14ac:dyDescent="0.25"/>
    <row r="17551" hidden="1" x14ac:dyDescent="0.25"/>
    <row r="17552" hidden="1" x14ac:dyDescent="0.25"/>
    <row r="17553" hidden="1" x14ac:dyDescent="0.25"/>
    <row r="17554" hidden="1" x14ac:dyDescent="0.25"/>
    <row r="17555" hidden="1" x14ac:dyDescent="0.25"/>
    <row r="17556" hidden="1" x14ac:dyDescent="0.25"/>
    <row r="17557" hidden="1" x14ac:dyDescent="0.25"/>
    <row r="17558" hidden="1" x14ac:dyDescent="0.25"/>
    <row r="17559" hidden="1" x14ac:dyDescent="0.25"/>
    <row r="17560" hidden="1" x14ac:dyDescent="0.25"/>
    <row r="17561" hidden="1" x14ac:dyDescent="0.25"/>
    <row r="17562" hidden="1" x14ac:dyDescent="0.25"/>
    <row r="17563" hidden="1" x14ac:dyDescent="0.25"/>
    <row r="17564" hidden="1" x14ac:dyDescent="0.25"/>
    <row r="17565" hidden="1" x14ac:dyDescent="0.25"/>
    <row r="17566" hidden="1" x14ac:dyDescent="0.25"/>
    <row r="17567" hidden="1" x14ac:dyDescent="0.25"/>
    <row r="17568" hidden="1" x14ac:dyDescent="0.25"/>
    <row r="17569" hidden="1" x14ac:dyDescent="0.25"/>
    <row r="17570" hidden="1" x14ac:dyDescent="0.25"/>
    <row r="17571" hidden="1" x14ac:dyDescent="0.25"/>
    <row r="17572" hidden="1" x14ac:dyDescent="0.25"/>
    <row r="17573" hidden="1" x14ac:dyDescent="0.25"/>
    <row r="17574" hidden="1" x14ac:dyDescent="0.25"/>
    <row r="17575" hidden="1" x14ac:dyDescent="0.25"/>
    <row r="17576" hidden="1" x14ac:dyDescent="0.25"/>
    <row r="17577" hidden="1" x14ac:dyDescent="0.25"/>
    <row r="17578" hidden="1" x14ac:dyDescent="0.25"/>
    <row r="17579" hidden="1" x14ac:dyDescent="0.25"/>
    <row r="17580" hidden="1" x14ac:dyDescent="0.25"/>
    <row r="17581" hidden="1" x14ac:dyDescent="0.25"/>
    <row r="17582" hidden="1" x14ac:dyDescent="0.25"/>
    <row r="17583" hidden="1" x14ac:dyDescent="0.25"/>
    <row r="17584" hidden="1" x14ac:dyDescent="0.25"/>
    <row r="17585" hidden="1" x14ac:dyDescent="0.25"/>
    <row r="17586" hidden="1" x14ac:dyDescent="0.25"/>
    <row r="17587" hidden="1" x14ac:dyDescent="0.25"/>
    <row r="17588" hidden="1" x14ac:dyDescent="0.25"/>
    <row r="17589" hidden="1" x14ac:dyDescent="0.25"/>
    <row r="17590" hidden="1" x14ac:dyDescent="0.25"/>
    <row r="17591" hidden="1" x14ac:dyDescent="0.25"/>
    <row r="17592" hidden="1" x14ac:dyDescent="0.25"/>
    <row r="17593" hidden="1" x14ac:dyDescent="0.25"/>
    <row r="17594" hidden="1" x14ac:dyDescent="0.25"/>
    <row r="17595" hidden="1" x14ac:dyDescent="0.25"/>
    <row r="17596" hidden="1" x14ac:dyDescent="0.25"/>
    <row r="17597" hidden="1" x14ac:dyDescent="0.25"/>
    <row r="17598" hidden="1" x14ac:dyDescent="0.25"/>
    <row r="17599" hidden="1" x14ac:dyDescent="0.25"/>
    <row r="17600" hidden="1" x14ac:dyDescent="0.25"/>
    <row r="17601" hidden="1" x14ac:dyDescent="0.25"/>
    <row r="17602" hidden="1" x14ac:dyDescent="0.25"/>
    <row r="17603" hidden="1" x14ac:dyDescent="0.25"/>
    <row r="17604" hidden="1" x14ac:dyDescent="0.25"/>
    <row r="17605" hidden="1" x14ac:dyDescent="0.25"/>
    <row r="17606" hidden="1" x14ac:dyDescent="0.25"/>
    <row r="17607" hidden="1" x14ac:dyDescent="0.25"/>
    <row r="17608" hidden="1" x14ac:dyDescent="0.25"/>
    <row r="17609" hidden="1" x14ac:dyDescent="0.25"/>
    <row r="17610" hidden="1" x14ac:dyDescent="0.25"/>
    <row r="17611" hidden="1" x14ac:dyDescent="0.25"/>
    <row r="17612" hidden="1" x14ac:dyDescent="0.25"/>
    <row r="17613" hidden="1" x14ac:dyDescent="0.25"/>
    <row r="17614" hidden="1" x14ac:dyDescent="0.25"/>
    <row r="17615" hidden="1" x14ac:dyDescent="0.25"/>
    <row r="17616" hidden="1" x14ac:dyDescent="0.25"/>
    <row r="17617" hidden="1" x14ac:dyDescent="0.25"/>
    <row r="17618" hidden="1" x14ac:dyDescent="0.25"/>
    <row r="17619" hidden="1" x14ac:dyDescent="0.25"/>
    <row r="17620" hidden="1" x14ac:dyDescent="0.25"/>
    <row r="17621" hidden="1" x14ac:dyDescent="0.25"/>
    <row r="17622" hidden="1" x14ac:dyDescent="0.25"/>
    <row r="17623" hidden="1" x14ac:dyDescent="0.25"/>
    <row r="17624" hidden="1" x14ac:dyDescent="0.25"/>
    <row r="17625" hidden="1" x14ac:dyDescent="0.25"/>
    <row r="17626" hidden="1" x14ac:dyDescent="0.25"/>
    <row r="17627" hidden="1" x14ac:dyDescent="0.25"/>
    <row r="17628" hidden="1" x14ac:dyDescent="0.25"/>
    <row r="17629" hidden="1" x14ac:dyDescent="0.25"/>
    <row r="17630" hidden="1" x14ac:dyDescent="0.25"/>
    <row r="17631" hidden="1" x14ac:dyDescent="0.25"/>
    <row r="17632" hidden="1" x14ac:dyDescent="0.25"/>
    <row r="17633" hidden="1" x14ac:dyDescent="0.25"/>
    <row r="17634" hidden="1" x14ac:dyDescent="0.25"/>
    <row r="17635" hidden="1" x14ac:dyDescent="0.25"/>
    <row r="17636" hidden="1" x14ac:dyDescent="0.25"/>
    <row r="17637" hidden="1" x14ac:dyDescent="0.25"/>
    <row r="17638" hidden="1" x14ac:dyDescent="0.25"/>
    <row r="17639" hidden="1" x14ac:dyDescent="0.25"/>
    <row r="17640" hidden="1" x14ac:dyDescent="0.25"/>
    <row r="17641" hidden="1" x14ac:dyDescent="0.25"/>
    <row r="17642" hidden="1" x14ac:dyDescent="0.25"/>
    <row r="17643" hidden="1" x14ac:dyDescent="0.25"/>
    <row r="17644" hidden="1" x14ac:dyDescent="0.25"/>
    <row r="17645" hidden="1" x14ac:dyDescent="0.25"/>
    <row r="17646" hidden="1" x14ac:dyDescent="0.25"/>
    <row r="17647" hidden="1" x14ac:dyDescent="0.25"/>
    <row r="17648" hidden="1" x14ac:dyDescent="0.25"/>
    <row r="17649" hidden="1" x14ac:dyDescent="0.25"/>
    <row r="17650" hidden="1" x14ac:dyDescent="0.25"/>
    <row r="17651" hidden="1" x14ac:dyDescent="0.25"/>
    <row r="17652" hidden="1" x14ac:dyDescent="0.25"/>
    <row r="17653" hidden="1" x14ac:dyDescent="0.25"/>
    <row r="17654" hidden="1" x14ac:dyDescent="0.25"/>
    <row r="17655" hidden="1" x14ac:dyDescent="0.25"/>
    <row r="17656" hidden="1" x14ac:dyDescent="0.25"/>
    <row r="17657" hidden="1" x14ac:dyDescent="0.25"/>
    <row r="17658" hidden="1" x14ac:dyDescent="0.25"/>
    <row r="17659" hidden="1" x14ac:dyDescent="0.25"/>
    <row r="17660" hidden="1" x14ac:dyDescent="0.25"/>
    <row r="17661" hidden="1" x14ac:dyDescent="0.25"/>
    <row r="17662" hidden="1" x14ac:dyDescent="0.25"/>
    <row r="17663" hidden="1" x14ac:dyDescent="0.25"/>
    <row r="17664" hidden="1" x14ac:dyDescent="0.25"/>
    <row r="17665" hidden="1" x14ac:dyDescent="0.25"/>
    <row r="17666" hidden="1" x14ac:dyDescent="0.25"/>
    <row r="17667" hidden="1" x14ac:dyDescent="0.25"/>
    <row r="17668" hidden="1" x14ac:dyDescent="0.25"/>
    <row r="17669" hidden="1" x14ac:dyDescent="0.25"/>
    <row r="17670" hidden="1" x14ac:dyDescent="0.25"/>
    <row r="17671" hidden="1" x14ac:dyDescent="0.25"/>
    <row r="17672" hidden="1" x14ac:dyDescent="0.25"/>
    <row r="17673" hidden="1" x14ac:dyDescent="0.25"/>
    <row r="17674" hidden="1" x14ac:dyDescent="0.25"/>
    <row r="17675" hidden="1" x14ac:dyDescent="0.25"/>
    <row r="17676" hidden="1" x14ac:dyDescent="0.25"/>
    <row r="17677" hidden="1" x14ac:dyDescent="0.25"/>
    <row r="17678" hidden="1" x14ac:dyDescent="0.25"/>
    <row r="17679" hidden="1" x14ac:dyDescent="0.25"/>
    <row r="17680" hidden="1" x14ac:dyDescent="0.25"/>
    <row r="17681" hidden="1" x14ac:dyDescent="0.25"/>
    <row r="17682" hidden="1" x14ac:dyDescent="0.25"/>
    <row r="17683" hidden="1" x14ac:dyDescent="0.25"/>
    <row r="17684" hidden="1" x14ac:dyDescent="0.25"/>
    <row r="17685" hidden="1" x14ac:dyDescent="0.25"/>
    <row r="17686" hidden="1" x14ac:dyDescent="0.25"/>
    <row r="17687" hidden="1" x14ac:dyDescent="0.25"/>
    <row r="17688" hidden="1" x14ac:dyDescent="0.25"/>
    <row r="17689" hidden="1" x14ac:dyDescent="0.25"/>
    <row r="17690" hidden="1" x14ac:dyDescent="0.25"/>
    <row r="17691" hidden="1" x14ac:dyDescent="0.25"/>
    <row r="17692" hidden="1" x14ac:dyDescent="0.25"/>
    <row r="17693" hidden="1" x14ac:dyDescent="0.25"/>
    <row r="17694" hidden="1" x14ac:dyDescent="0.25"/>
    <row r="17695" hidden="1" x14ac:dyDescent="0.25"/>
    <row r="17696" hidden="1" x14ac:dyDescent="0.25"/>
    <row r="17697" hidden="1" x14ac:dyDescent="0.25"/>
    <row r="17698" hidden="1" x14ac:dyDescent="0.25"/>
    <row r="17699" hidden="1" x14ac:dyDescent="0.25"/>
    <row r="17700" hidden="1" x14ac:dyDescent="0.25"/>
    <row r="17701" hidden="1" x14ac:dyDescent="0.25"/>
    <row r="17702" hidden="1" x14ac:dyDescent="0.25"/>
    <row r="17703" hidden="1" x14ac:dyDescent="0.25"/>
    <row r="17704" hidden="1" x14ac:dyDescent="0.25"/>
    <row r="17705" hidden="1" x14ac:dyDescent="0.25"/>
    <row r="17706" hidden="1" x14ac:dyDescent="0.25"/>
    <row r="17707" hidden="1" x14ac:dyDescent="0.25"/>
    <row r="17708" hidden="1" x14ac:dyDescent="0.25"/>
    <row r="17709" hidden="1" x14ac:dyDescent="0.25"/>
    <row r="17710" hidden="1" x14ac:dyDescent="0.25"/>
    <row r="17711" hidden="1" x14ac:dyDescent="0.25"/>
    <row r="17712" hidden="1" x14ac:dyDescent="0.25"/>
    <row r="17713" hidden="1" x14ac:dyDescent="0.25"/>
    <row r="17714" hidden="1" x14ac:dyDescent="0.25"/>
    <row r="17715" hidden="1" x14ac:dyDescent="0.25"/>
    <row r="17716" hidden="1" x14ac:dyDescent="0.25"/>
    <row r="17717" hidden="1" x14ac:dyDescent="0.25"/>
    <row r="17718" hidden="1" x14ac:dyDescent="0.25"/>
    <row r="17719" hidden="1" x14ac:dyDescent="0.25"/>
    <row r="17720" hidden="1" x14ac:dyDescent="0.25"/>
    <row r="17721" hidden="1" x14ac:dyDescent="0.25"/>
    <row r="17722" hidden="1" x14ac:dyDescent="0.25"/>
    <row r="17723" hidden="1" x14ac:dyDescent="0.25"/>
    <row r="17724" hidden="1" x14ac:dyDescent="0.25"/>
    <row r="17725" hidden="1" x14ac:dyDescent="0.25"/>
    <row r="17726" hidden="1" x14ac:dyDescent="0.25"/>
    <row r="17727" hidden="1" x14ac:dyDescent="0.25"/>
    <row r="17728" hidden="1" x14ac:dyDescent="0.25"/>
    <row r="17729" hidden="1" x14ac:dyDescent="0.25"/>
    <row r="17730" hidden="1" x14ac:dyDescent="0.25"/>
    <row r="17731" hidden="1" x14ac:dyDescent="0.25"/>
    <row r="17732" hidden="1" x14ac:dyDescent="0.25"/>
    <row r="17733" hidden="1" x14ac:dyDescent="0.25"/>
    <row r="17734" hidden="1" x14ac:dyDescent="0.25"/>
    <row r="17735" hidden="1" x14ac:dyDescent="0.25"/>
    <row r="17736" hidden="1" x14ac:dyDescent="0.25"/>
    <row r="17737" hidden="1" x14ac:dyDescent="0.25"/>
    <row r="17738" hidden="1" x14ac:dyDescent="0.25"/>
    <row r="17739" hidden="1" x14ac:dyDescent="0.25"/>
    <row r="17740" hidden="1" x14ac:dyDescent="0.25"/>
    <row r="17741" hidden="1" x14ac:dyDescent="0.25"/>
    <row r="17742" hidden="1" x14ac:dyDescent="0.25"/>
    <row r="17743" hidden="1" x14ac:dyDescent="0.25"/>
    <row r="17744" hidden="1" x14ac:dyDescent="0.25"/>
    <row r="17745" hidden="1" x14ac:dyDescent="0.25"/>
    <row r="17746" hidden="1" x14ac:dyDescent="0.25"/>
    <row r="17747" hidden="1" x14ac:dyDescent="0.25"/>
    <row r="17748" hidden="1" x14ac:dyDescent="0.25"/>
    <row r="17749" hidden="1" x14ac:dyDescent="0.25"/>
    <row r="17750" hidden="1" x14ac:dyDescent="0.25"/>
    <row r="17751" hidden="1" x14ac:dyDescent="0.25"/>
    <row r="17752" hidden="1" x14ac:dyDescent="0.25"/>
    <row r="17753" hidden="1" x14ac:dyDescent="0.25"/>
    <row r="17754" hidden="1" x14ac:dyDescent="0.25"/>
    <row r="17755" hidden="1" x14ac:dyDescent="0.25"/>
    <row r="17756" hidden="1" x14ac:dyDescent="0.25"/>
    <row r="17757" hidden="1" x14ac:dyDescent="0.25"/>
    <row r="17758" hidden="1" x14ac:dyDescent="0.25"/>
    <row r="17759" hidden="1" x14ac:dyDescent="0.25"/>
    <row r="17760" hidden="1" x14ac:dyDescent="0.25"/>
    <row r="17761" hidden="1" x14ac:dyDescent="0.25"/>
    <row r="17762" hidden="1" x14ac:dyDescent="0.25"/>
    <row r="17763" hidden="1" x14ac:dyDescent="0.25"/>
    <row r="17764" hidden="1" x14ac:dyDescent="0.25"/>
    <row r="17765" hidden="1" x14ac:dyDescent="0.25"/>
    <row r="17766" hidden="1" x14ac:dyDescent="0.25"/>
    <row r="17767" hidden="1" x14ac:dyDescent="0.25"/>
    <row r="17768" hidden="1" x14ac:dyDescent="0.25"/>
    <row r="17769" hidden="1" x14ac:dyDescent="0.25"/>
    <row r="17770" hidden="1" x14ac:dyDescent="0.25"/>
    <row r="17771" hidden="1" x14ac:dyDescent="0.25"/>
    <row r="17772" hidden="1" x14ac:dyDescent="0.25"/>
    <row r="17773" hidden="1" x14ac:dyDescent="0.25"/>
    <row r="17774" hidden="1" x14ac:dyDescent="0.25"/>
    <row r="17775" hidden="1" x14ac:dyDescent="0.25"/>
    <row r="17776" hidden="1" x14ac:dyDescent="0.25"/>
    <row r="17777" hidden="1" x14ac:dyDescent="0.25"/>
    <row r="17778" hidden="1" x14ac:dyDescent="0.25"/>
    <row r="17779" hidden="1" x14ac:dyDescent="0.25"/>
    <row r="17780" hidden="1" x14ac:dyDescent="0.25"/>
    <row r="17781" hidden="1" x14ac:dyDescent="0.25"/>
    <row r="17782" hidden="1" x14ac:dyDescent="0.25"/>
    <row r="17783" hidden="1" x14ac:dyDescent="0.25"/>
    <row r="17784" hidden="1" x14ac:dyDescent="0.25"/>
    <row r="17785" hidden="1" x14ac:dyDescent="0.25"/>
    <row r="17786" hidden="1" x14ac:dyDescent="0.25"/>
    <row r="17787" hidden="1" x14ac:dyDescent="0.25"/>
    <row r="17788" hidden="1" x14ac:dyDescent="0.25"/>
    <row r="17789" hidden="1" x14ac:dyDescent="0.25"/>
    <row r="17790" hidden="1" x14ac:dyDescent="0.25"/>
    <row r="17791" hidden="1" x14ac:dyDescent="0.25"/>
    <row r="17792" hidden="1" x14ac:dyDescent="0.25"/>
    <row r="17793" hidden="1" x14ac:dyDescent="0.25"/>
    <row r="17794" hidden="1" x14ac:dyDescent="0.25"/>
    <row r="17795" hidden="1" x14ac:dyDescent="0.25"/>
    <row r="17796" hidden="1" x14ac:dyDescent="0.25"/>
    <row r="17797" hidden="1" x14ac:dyDescent="0.25"/>
    <row r="17798" hidden="1" x14ac:dyDescent="0.25"/>
    <row r="17799" hidden="1" x14ac:dyDescent="0.25"/>
    <row r="17800" hidden="1" x14ac:dyDescent="0.25"/>
    <row r="17801" hidden="1" x14ac:dyDescent="0.25"/>
    <row r="17802" hidden="1" x14ac:dyDescent="0.25"/>
    <row r="17803" hidden="1" x14ac:dyDescent="0.25"/>
    <row r="17804" hidden="1" x14ac:dyDescent="0.25"/>
    <row r="17805" hidden="1" x14ac:dyDescent="0.25"/>
    <row r="17806" hidden="1" x14ac:dyDescent="0.25"/>
    <row r="17807" hidden="1" x14ac:dyDescent="0.25"/>
    <row r="17808" hidden="1" x14ac:dyDescent="0.25"/>
    <row r="17809" hidden="1" x14ac:dyDescent="0.25"/>
    <row r="17810" hidden="1" x14ac:dyDescent="0.25"/>
    <row r="17811" hidden="1" x14ac:dyDescent="0.25"/>
    <row r="17812" hidden="1" x14ac:dyDescent="0.25"/>
    <row r="17813" hidden="1" x14ac:dyDescent="0.25"/>
    <row r="17814" hidden="1" x14ac:dyDescent="0.25"/>
    <row r="17815" hidden="1" x14ac:dyDescent="0.25"/>
    <row r="17816" hidden="1" x14ac:dyDescent="0.25"/>
    <row r="17817" hidden="1" x14ac:dyDescent="0.25"/>
    <row r="17818" hidden="1" x14ac:dyDescent="0.25"/>
    <row r="17819" hidden="1" x14ac:dyDescent="0.25"/>
    <row r="17820" hidden="1" x14ac:dyDescent="0.25"/>
    <row r="17821" hidden="1" x14ac:dyDescent="0.25"/>
    <row r="17822" hidden="1" x14ac:dyDescent="0.25"/>
    <row r="17823" hidden="1" x14ac:dyDescent="0.25"/>
    <row r="17824" hidden="1" x14ac:dyDescent="0.25"/>
    <row r="17825" hidden="1" x14ac:dyDescent="0.25"/>
    <row r="17826" hidden="1" x14ac:dyDescent="0.25"/>
    <row r="17827" hidden="1" x14ac:dyDescent="0.25"/>
    <row r="17828" hidden="1" x14ac:dyDescent="0.25"/>
    <row r="17829" hidden="1" x14ac:dyDescent="0.25"/>
    <row r="17830" hidden="1" x14ac:dyDescent="0.25"/>
    <row r="17831" hidden="1" x14ac:dyDescent="0.25"/>
    <row r="17832" hidden="1" x14ac:dyDescent="0.25"/>
    <row r="17833" hidden="1" x14ac:dyDescent="0.25"/>
    <row r="17834" hidden="1" x14ac:dyDescent="0.25"/>
    <row r="17835" hidden="1" x14ac:dyDescent="0.25"/>
    <row r="17836" hidden="1" x14ac:dyDescent="0.25"/>
    <row r="17837" hidden="1" x14ac:dyDescent="0.25"/>
    <row r="17838" hidden="1" x14ac:dyDescent="0.25"/>
    <row r="17839" hidden="1" x14ac:dyDescent="0.25"/>
    <row r="17840" hidden="1" x14ac:dyDescent="0.25"/>
    <row r="17841" hidden="1" x14ac:dyDescent="0.25"/>
    <row r="17842" hidden="1" x14ac:dyDescent="0.25"/>
    <row r="17843" hidden="1" x14ac:dyDescent="0.25"/>
    <row r="17844" hidden="1" x14ac:dyDescent="0.25"/>
    <row r="17845" hidden="1" x14ac:dyDescent="0.25"/>
    <row r="17846" hidden="1" x14ac:dyDescent="0.25"/>
    <row r="17847" hidden="1" x14ac:dyDescent="0.25"/>
    <row r="17848" hidden="1" x14ac:dyDescent="0.25"/>
    <row r="17849" hidden="1" x14ac:dyDescent="0.25"/>
    <row r="17850" hidden="1" x14ac:dyDescent="0.25"/>
    <row r="17851" hidden="1" x14ac:dyDescent="0.25"/>
    <row r="17852" hidden="1" x14ac:dyDescent="0.25"/>
    <row r="17853" hidden="1" x14ac:dyDescent="0.25"/>
    <row r="17854" hidden="1" x14ac:dyDescent="0.25"/>
    <row r="17855" hidden="1" x14ac:dyDescent="0.25"/>
    <row r="17856" hidden="1" x14ac:dyDescent="0.25"/>
    <row r="17857" hidden="1" x14ac:dyDescent="0.25"/>
    <row r="17858" hidden="1" x14ac:dyDescent="0.25"/>
    <row r="17859" hidden="1" x14ac:dyDescent="0.25"/>
    <row r="17860" hidden="1" x14ac:dyDescent="0.25"/>
    <row r="17861" hidden="1" x14ac:dyDescent="0.25"/>
    <row r="17862" hidden="1" x14ac:dyDescent="0.25"/>
    <row r="17863" hidden="1" x14ac:dyDescent="0.25"/>
    <row r="17864" hidden="1" x14ac:dyDescent="0.25"/>
    <row r="17865" hidden="1" x14ac:dyDescent="0.25"/>
    <row r="17866" hidden="1" x14ac:dyDescent="0.25"/>
    <row r="17867" hidden="1" x14ac:dyDescent="0.25"/>
    <row r="17868" hidden="1" x14ac:dyDescent="0.25"/>
    <row r="17869" hidden="1" x14ac:dyDescent="0.25"/>
    <row r="17870" hidden="1" x14ac:dyDescent="0.25"/>
    <row r="17871" hidden="1" x14ac:dyDescent="0.25"/>
    <row r="17872" hidden="1" x14ac:dyDescent="0.25"/>
    <row r="17873" hidden="1" x14ac:dyDescent="0.25"/>
    <row r="17874" hidden="1" x14ac:dyDescent="0.25"/>
    <row r="17875" hidden="1" x14ac:dyDescent="0.25"/>
    <row r="17876" hidden="1" x14ac:dyDescent="0.25"/>
    <row r="17877" hidden="1" x14ac:dyDescent="0.25"/>
    <row r="17878" hidden="1" x14ac:dyDescent="0.25"/>
    <row r="17879" hidden="1" x14ac:dyDescent="0.25"/>
    <row r="17880" hidden="1" x14ac:dyDescent="0.25"/>
    <row r="17881" hidden="1" x14ac:dyDescent="0.25"/>
    <row r="17882" hidden="1" x14ac:dyDescent="0.25"/>
    <row r="17883" hidden="1" x14ac:dyDescent="0.25"/>
    <row r="17884" hidden="1" x14ac:dyDescent="0.25"/>
    <row r="17885" hidden="1" x14ac:dyDescent="0.25"/>
    <row r="17886" hidden="1" x14ac:dyDescent="0.25"/>
    <row r="17887" hidden="1" x14ac:dyDescent="0.25"/>
    <row r="17888" hidden="1" x14ac:dyDescent="0.25"/>
    <row r="17889" hidden="1" x14ac:dyDescent="0.25"/>
    <row r="17890" hidden="1" x14ac:dyDescent="0.25"/>
    <row r="17891" hidden="1" x14ac:dyDescent="0.25"/>
    <row r="17892" hidden="1" x14ac:dyDescent="0.25"/>
    <row r="17893" hidden="1" x14ac:dyDescent="0.25"/>
    <row r="17894" hidden="1" x14ac:dyDescent="0.25"/>
    <row r="17895" hidden="1" x14ac:dyDescent="0.25"/>
    <row r="17896" hidden="1" x14ac:dyDescent="0.25"/>
    <row r="17897" hidden="1" x14ac:dyDescent="0.25"/>
    <row r="17898" hidden="1" x14ac:dyDescent="0.25"/>
    <row r="17899" hidden="1" x14ac:dyDescent="0.25"/>
    <row r="17900" hidden="1" x14ac:dyDescent="0.25"/>
    <row r="17901" hidden="1" x14ac:dyDescent="0.25"/>
    <row r="17902" hidden="1" x14ac:dyDescent="0.25"/>
    <row r="17903" hidden="1" x14ac:dyDescent="0.25"/>
    <row r="17904" hidden="1" x14ac:dyDescent="0.25"/>
    <row r="17905" hidden="1" x14ac:dyDescent="0.25"/>
    <row r="17906" hidden="1" x14ac:dyDescent="0.25"/>
    <row r="17907" hidden="1" x14ac:dyDescent="0.25"/>
    <row r="17908" hidden="1" x14ac:dyDescent="0.25"/>
    <row r="17909" hidden="1" x14ac:dyDescent="0.25"/>
    <row r="17910" hidden="1" x14ac:dyDescent="0.25"/>
    <row r="17911" hidden="1" x14ac:dyDescent="0.25"/>
    <row r="17912" hidden="1" x14ac:dyDescent="0.25"/>
    <row r="17913" hidden="1" x14ac:dyDescent="0.25"/>
    <row r="17914" hidden="1" x14ac:dyDescent="0.25"/>
    <row r="17915" hidden="1" x14ac:dyDescent="0.25"/>
    <row r="17916" hidden="1" x14ac:dyDescent="0.25"/>
    <row r="17917" hidden="1" x14ac:dyDescent="0.25"/>
    <row r="17918" hidden="1" x14ac:dyDescent="0.25"/>
    <row r="17919" hidden="1" x14ac:dyDescent="0.25"/>
    <row r="17920" hidden="1" x14ac:dyDescent="0.25"/>
    <row r="17921" hidden="1" x14ac:dyDescent="0.25"/>
    <row r="17922" hidden="1" x14ac:dyDescent="0.25"/>
    <row r="17923" hidden="1" x14ac:dyDescent="0.25"/>
    <row r="17924" hidden="1" x14ac:dyDescent="0.25"/>
    <row r="17925" hidden="1" x14ac:dyDescent="0.25"/>
    <row r="17926" hidden="1" x14ac:dyDescent="0.25"/>
    <row r="17927" hidden="1" x14ac:dyDescent="0.25"/>
    <row r="17928" hidden="1" x14ac:dyDescent="0.25"/>
    <row r="17929" hidden="1" x14ac:dyDescent="0.25"/>
    <row r="17930" hidden="1" x14ac:dyDescent="0.25"/>
    <row r="17931" hidden="1" x14ac:dyDescent="0.25"/>
    <row r="17932" hidden="1" x14ac:dyDescent="0.25"/>
    <row r="17933" hidden="1" x14ac:dyDescent="0.25"/>
    <row r="17934" hidden="1" x14ac:dyDescent="0.25"/>
    <row r="17935" hidden="1" x14ac:dyDescent="0.25"/>
    <row r="17936" hidden="1" x14ac:dyDescent="0.25"/>
    <row r="17937" hidden="1" x14ac:dyDescent="0.25"/>
    <row r="17938" hidden="1" x14ac:dyDescent="0.25"/>
    <row r="17939" hidden="1" x14ac:dyDescent="0.25"/>
    <row r="17940" hidden="1" x14ac:dyDescent="0.25"/>
    <row r="17941" hidden="1" x14ac:dyDescent="0.25"/>
    <row r="17942" hidden="1" x14ac:dyDescent="0.25"/>
    <row r="17943" hidden="1" x14ac:dyDescent="0.25"/>
    <row r="17944" hidden="1" x14ac:dyDescent="0.25"/>
    <row r="17945" hidden="1" x14ac:dyDescent="0.25"/>
    <row r="17946" hidden="1" x14ac:dyDescent="0.25"/>
    <row r="17947" hidden="1" x14ac:dyDescent="0.25"/>
    <row r="17948" hidden="1" x14ac:dyDescent="0.25"/>
    <row r="17949" hidden="1" x14ac:dyDescent="0.25"/>
    <row r="17950" hidden="1" x14ac:dyDescent="0.25"/>
    <row r="17951" hidden="1" x14ac:dyDescent="0.25"/>
    <row r="17952" hidden="1" x14ac:dyDescent="0.25"/>
    <row r="17953" hidden="1" x14ac:dyDescent="0.25"/>
    <row r="17954" hidden="1" x14ac:dyDescent="0.25"/>
    <row r="17955" hidden="1" x14ac:dyDescent="0.25"/>
    <row r="17956" hidden="1" x14ac:dyDescent="0.25"/>
    <row r="17957" hidden="1" x14ac:dyDescent="0.25"/>
    <row r="17958" hidden="1" x14ac:dyDescent="0.25"/>
    <row r="17959" hidden="1" x14ac:dyDescent="0.25"/>
    <row r="17960" hidden="1" x14ac:dyDescent="0.25"/>
    <row r="17961" hidden="1" x14ac:dyDescent="0.25"/>
    <row r="17962" hidden="1" x14ac:dyDescent="0.25"/>
    <row r="17963" hidden="1" x14ac:dyDescent="0.25"/>
    <row r="17964" hidden="1" x14ac:dyDescent="0.25"/>
    <row r="17965" hidden="1" x14ac:dyDescent="0.25"/>
    <row r="17966" hidden="1" x14ac:dyDescent="0.25"/>
    <row r="17967" hidden="1" x14ac:dyDescent="0.25"/>
    <row r="17968" hidden="1" x14ac:dyDescent="0.25"/>
    <row r="17969" hidden="1" x14ac:dyDescent="0.25"/>
    <row r="17970" hidden="1" x14ac:dyDescent="0.25"/>
    <row r="17971" hidden="1" x14ac:dyDescent="0.25"/>
    <row r="17972" hidden="1" x14ac:dyDescent="0.25"/>
    <row r="17973" hidden="1" x14ac:dyDescent="0.25"/>
    <row r="17974" hidden="1" x14ac:dyDescent="0.25"/>
    <row r="17975" hidden="1" x14ac:dyDescent="0.25"/>
    <row r="17976" hidden="1" x14ac:dyDescent="0.25"/>
    <row r="17977" hidden="1" x14ac:dyDescent="0.25"/>
    <row r="17978" hidden="1" x14ac:dyDescent="0.25"/>
    <row r="17979" hidden="1" x14ac:dyDescent="0.25"/>
    <row r="17980" hidden="1" x14ac:dyDescent="0.25"/>
    <row r="17981" hidden="1" x14ac:dyDescent="0.25"/>
    <row r="17982" hidden="1" x14ac:dyDescent="0.25"/>
    <row r="17983" hidden="1" x14ac:dyDescent="0.25"/>
    <row r="17984" hidden="1" x14ac:dyDescent="0.25"/>
    <row r="17985" hidden="1" x14ac:dyDescent="0.25"/>
    <row r="17986" hidden="1" x14ac:dyDescent="0.25"/>
    <row r="17987" hidden="1" x14ac:dyDescent="0.25"/>
    <row r="17988" hidden="1" x14ac:dyDescent="0.25"/>
    <row r="17989" hidden="1" x14ac:dyDescent="0.25"/>
    <row r="17990" hidden="1" x14ac:dyDescent="0.25"/>
    <row r="17991" hidden="1" x14ac:dyDescent="0.25"/>
    <row r="17992" hidden="1" x14ac:dyDescent="0.25"/>
    <row r="17993" hidden="1" x14ac:dyDescent="0.25"/>
    <row r="17994" hidden="1" x14ac:dyDescent="0.25"/>
    <row r="17995" hidden="1" x14ac:dyDescent="0.25"/>
    <row r="17996" hidden="1" x14ac:dyDescent="0.25"/>
    <row r="17997" hidden="1" x14ac:dyDescent="0.25"/>
    <row r="17998" hidden="1" x14ac:dyDescent="0.25"/>
    <row r="17999" hidden="1" x14ac:dyDescent="0.25"/>
    <row r="18000" hidden="1" x14ac:dyDescent="0.25"/>
    <row r="18001" hidden="1" x14ac:dyDescent="0.25"/>
    <row r="18002" hidden="1" x14ac:dyDescent="0.25"/>
    <row r="18003" hidden="1" x14ac:dyDescent="0.25"/>
    <row r="18004" hidden="1" x14ac:dyDescent="0.25"/>
    <row r="18005" hidden="1" x14ac:dyDescent="0.25"/>
    <row r="18006" hidden="1" x14ac:dyDescent="0.25"/>
    <row r="18007" hidden="1" x14ac:dyDescent="0.25"/>
    <row r="18008" hidden="1" x14ac:dyDescent="0.25"/>
    <row r="18009" hidden="1" x14ac:dyDescent="0.25"/>
    <row r="18010" hidden="1" x14ac:dyDescent="0.25"/>
    <row r="18011" hidden="1" x14ac:dyDescent="0.25"/>
    <row r="18012" hidden="1" x14ac:dyDescent="0.25"/>
    <row r="18013" hidden="1" x14ac:dyDescent="0.25"/>
    <row r="18014" hidden="1" x14ac:dyDescent="0.25"/>
    <row r="18015" hidden="1" x14ac:dyDescent="0.25"/>
    <row r="18016" hidden="1" x14ac:dyDescent="0.25"/>
    <row r="18017" hidden="1" x14ac:dyDescent="0.25"/>
    <row r="18018" hidden="1" x14ac:dyDescent="0.25"/>
    <row r="18019" hidden="1" x14ac:dyDescent="0.25"/>
    <row r="18020" hidden="1" x14ac:dyDescent="0.25"/>
    <row r="18021" hidden="1" x14ac:dyDescent="0.25"/>
    <row r="18022" hidden="1" x14ac:dyDescent="0.25"/>
    <row r="18023" hidden="1" x14ac:dyDescent="0.25"/>
    <row r="18024" hidden="1" x14ac:dyDescent="0.25"/>
    <row r="18025" hidden="1" x14ac:dyDescent="0.25"/>
    <row r="18026" hidden="1" x14ac:dyDescent="0.25"/>
    <row r="18027" hidden="1" x14ac:dyDescent="0.25"/>
    <row r="18028" hidden="1" x14ac:dyDescent="0.25"/>
    <row r="18029" hidden="1" x14ac:dyDescent="0.25"/>
    <row r="18030" hidden="1" x14ac:dyDescent="0.25"/>
    <row r="18031" hidden="1" x14ac:dyDescent="0.25"/>
    <row r="18032" hidden="1" x14ac:dyDescent="0.25"/>
    <row r="18033" hidden="1" x14ac:dyDescent="0.25"/>
    <row r="18034" hidden="1" x14ac:dyDescent="0.25"/>
    <row r="18035" hidden="1" x14ac:dyDescent="0.25"/>
    <row r="18036" hidden="1" x14ac:dyDescent="0.25"/>
    <row r="18037" hidden="1" x14ac:dyDescent="0.25"/>
    <row r="18038" hidden="1" x14ac:dyDescent="0.25"/>
    <row r="18039" hidden="1" x14ac:dyDescent="0.25"/>
    <row r="18040" hidden="1" x14ac:dyDescent="0.25"/>
    <row r="18041" hidden="1" x14ac:dyDescent="0.25"/>
    <row r="18042" hidden="1" x14ac:dyDescent="0.25"/>
    <row r="18043" hidden="1" x14ac:dyDescent="0.25"/>
    <row r="18044" hidden="1" x14ac:dyDescent="0.25"/>
    <row r="18045" hidden="1" x14ac:dyDescent="0.25"/>
    <row r="18046" hidden="1" x14ac:dyDescent="0.25"/>
    <row r="18047" hidden="1" x14ac:dyDescent="0.25"/>
    <row r="18048" hidden="1" x14ac:dyDescent="0.25"/>
    <row r="18049" hidden="1" x14ac:dyDescent="0.25"/>
    <row r="18050" hidden="1" x14ac:dyDescent="0.25"/>
    <row r="18051" hidden="1" x14ac:dyDescent="0.25"/>
    <row r="18052" hidden="1" x14ac:dyDescent="0.25"/>
    <row r="18053" hidden="1" x14ac:dyDescent="0.25"/>
    <row r="18054" hidden="1" x14ac:dyDescent="0.25"/>
    <row r="18055" hidden="1" x14ac:dyDescent="0.25"/>
    <row r="18056" hidden="1" x14ac:dyDescent="0.25"/>
    <row r="18057" hidden="1" x14ac:dyDescent="0.25"/>
    <row r="18058" hidden="1" x14ac:dyDescent="0.25"/>
    <row r="18059" hidden="1" x14ac:dyDescent="0.25"/>
    <row r="18060" hidden="1" x14ac:dyDescent="0.25"/>
    <row r="18061" hidden="1" x14ac:dyDescent="0.25"/>
    <row r="18062" hidden="1" x14ac:dyDescent="0.25"/>
    <row r="18063" hidden="1" x14ac:dyDescent="0.25"/>
    <row r="18064" hidden="1" x14ac:dyDescent="0.25"/>
    <row r="18065" hidden="1" x14ac:dyDescent="0.25"/>
    <row r="18066" hidden="1" x14ac:dyDescent="0.25"/>
    <row r="18067" hidden="1" x14ac:dyDescent="0.25"/>
    <row r="18068" hidden="1" x14ac:dyDescent="0.25"/>
    <row r="18069" hidden="1" x14ac:dyDescent="0.25"/>
    <row r="18070" hidden="1" x14ac:dyDescent="0.25"/>
    <row r="18071" hidden="1" x14ac:dyDescent="0.25"/>
    <row r="18072" hidden="1" x14ac:dyDescent="0.25"/>
    <row r="18073" hidden="1" x14ac:dyDescent="0.25"/>
    <row r="18074" hidden="1" x14ac:dyDescent="0.25"/>
    <row r="18075" hidden="1" x14ac:dyDescent="0.25"/>
    <row r="18076" hidden="1" x14ac:dyDescent="0.25"/>
    <row r="18077" hidden="1" x14ac:dyDescent="0.25"/>
    <row r="18078" hidden="1" x14ac:dyDescent="0.25"/>
    <row r="18079" hidden="1" x14ac:dyDescent="0.25"/>
    <row r="18080" hidden="1" x14ac:dyDescent="0.25"/>
    <row r="18081" hidden="1" x14ac:dyDescent="0.25"/>
    <row r="18082" hidden="1" x14ac:dyDescent="0.25"/>
    <row r="18083" hidden="1" x14ac:dyDescent="0.25"/>
    <row r="18084" hidden="1" x14ac:dyDescent="0.25"/>
    <row r="18085" hidden="1" x14ac:dyDescent="0.25"/>
    <row r="18086" hidden="1" x14ac:dyDescent="0.25"/>
    <row r="18087" hidden="1" x14ac:dyDescent="0.25"/>
    <row r="18088" hidden="1" x14ac:dyDescent="0.25"/>
    <row r="18089" hidden="1" x14ac:dyDescent="0.25"/>
    <row r="18090" hidden="1" x14ac:dyDescent="0.25"/>
    <row r="18091" hidden="1" x14ac:dyDescent="0.25"/>
    <row r="18092" hidden="1" x14ac:dyDescent="0.25"/>
    <row r="18093" hidden="1" x14ac:dyDescent="0.25"/>
    <row r="18094" hidden="1" x14ac:dyDescent="0.25"/>
    <row r="18095" hidden="1" x14ac:dyDescent="0.25"/>
    <row r="18096" hidden="1" x14ac:dyDescent="0.25"/>
    <row r="18097" hidden="1" x14ac:dyDescent="0.25"/>
    <row r="18098" hidden="1" x14ac:dyDescent="0.25"/>
    <row r="18099" hidden="1" x14ac:dyDescent="0.25"/>
    <row r="18100" hidden="1" x14ac:dyDescent="0.25"/>
    <row r="18101" hidden="1" x14ac:dyDescent="0.25"/>
    <row r="18102" hidden="1" x14ac:dyDescent="0.25"/>
    <row r="18103" hidden="1" x14ac:dyDescent="0.25"/>
    <row r="18104" hidden="1" x14ac:dyDescent="0.25"/>
    <row r="18105" hidden="1" x14ac:dyDescent="0.25"/>
    <row r="18106" hidden="1" x14ac:dyDescent="0.25"/>
    <row r="18107" hidden="1" x14ac:dyDescent="0.25"/>
    <row r="18108" hidden="1" x14ac:dyDescent="0.25"/>
    <row r="18109" hidden="1" x14ac:dyDescent="0.25"/>
    <row r="18110" hidden="1" x14ac:dyDescent="0.25"/>
    <row r="18111" hidden="1" x14ac:dyDescent="0.25"/>
    <row r="18112" hidden="1" x14ac:dyDescent="0.25"/>
    <row r="18113" hidden="1" x14ac:dyDescent="0.25"/>
    <row r="18114" hidden="1" x14ac:dyDescent="0.25"/>
    <row r="18115" hidden="1" x14ac:dyDescent="0.25"/>
    <row r="18116" hidden="1" x14ac:dyDescent="0.25"/>
    <row r="18117" hidden="1" x14ac:dyDescent="0.25"/>
    <row r="18118" hidden="1" x14ac:dyDescent="0.25"/>
    <row r="18119" hidden="1" x14ac:dyDescent="0.25"/>
    <row r="18120" hidden="1" x14ac:dyDescent="0.25"/>
    <row r="18121" hidden="1" x14ac:dyDescent="0.25"/>
    <row r="18122" hidden="1" x14ac:dyDescent="0.25"/>
    <row r="18123" hidden="1" x14ac:dyDescent="0.25"/>
    <row r="18124" hidden="1" x14ac:dyDescent="0.25"/>
    <row r="18125" hidden="1" x14ac:dyDescent="0.25"/>
    <row r="18126" hidden="1" x14ac:dyDescent="0.25"/>
    <row r="18127" hidden="1" x14ac:dyDescent="0.25"/>
    <row r="18128" hidden="1" x14ac:dyDescent="0.25"/>
    <row r="18129" hidden="1" x14ac:dyDescent="0.25"/>
    <row r="18130" hidden="1" x14ac:dyDescent="0.25"/>
    <row r="18131" hidden="1" x14ac:dyDescent="0.25"/>
    <row r="18132" hidden="1" x14ac:dyDescent="0.25"/>
    <row r="18133" hidden="1" x14ac:dyDescent="0.25"/>
    <row r="18134" hidden="1" x14ac:dyDescent="0.25"/>
    <row r="18135" hidden="1" x14ac:dyDescent="0.25"/>
    <row r="18136" hidden="1" x14ac:dyDescent="0.25"/>
    <row r="18137" hidden="1" x14ac:dyDescent="0.25"/>
    <row r="18138" hidden="1" x14ac:dyDescent="0.25"/>
    <row r="18139" hidden="1" x14ac:dyDescent="0.25"/>
    <row r="18140" hidden="1" x14ac:dyDescent="0.25"/>
    <row r="18141" hidden="1" x14ac:dyDescent="0.25"/>
    <row r="18142" hidden="1" x14ac:dyDescent="0.25"/>
    <row r="18143" hidden="1" x14ac:dyDescent="0.25"/>
    <row r="18144" hidden="1" x14ac:dyDescent="0.25"/>
    <row r="18145" hidden="1" x14ac:dyDescent="0.25"/>
    <row r="18146" hidden="1" x14ac:dyDescent="0.25"/>
    <row r="18147" hidden="1" x14ac:dyDescent="0.25"/>
    <row r="18148" hidden="1" x14ac:dyDescent="0.25"/>
    <row r="18149" hidden="1" x14ac:dyDescent="0.25"/>
    <row r="18150" hidden="1" x14ac:dyDescent="0.25"/>
    <row r="18151" hidden="1" x14ac:dyDescent="0.25"/>
    <row r="18152" hidden="1" x14ac:dyDescent="0.25"/>
    <row r="18153" hidden="1" x14ac:dyDescent="0.25"/>
    <row r="18154" hidden="1" x14ac:dyDescent="0.25"/>
    <row r="18155" hidden="1" x14ac:dyDescent="0.25"/>
    <row r="18156" hidden="1" x14ac:dyDescent="0.25"/>
    <row r="18157" hidden="1" x14ac:dyDescent="0.25"/>
    <row r="18158" hidden="1" x14ac:dyDescent="0.25"/>
    <row r="18159" hidden="1" x14ac:dyDescent="0.25"/>
    <row r="18160" hidden="1" x14ac:dyDescent="0.25"/>
    <row r="18161" hidden="1" x14ac:dyDescent="0.25"/>
    <row r="18162" hidden="1" x14ac:dyDescent="0.25"/>
    <row r="18163" hidden="1" x14ac:dyDescent="0.25"/>
    <row r="18164" hidden="1" x14ac:dyDescent="0.25"/>
    <row r="18165" hidden="1" x14ac:dyDescent="0.25"/>
    <row r="18166" hidden="1" x14ac:dyDescent="0.25"/>
    <row r="18167" hidden="1" x14ac:dyDescent="0.25"/>
    <row r="18168" hidden="1" x14ac:dyDescent="0.25"/>
    <row r="18169" hidden="1" x14ac:dyDescent="0.25"/>
    <row r="18170" hidden="1" x14ac:dyDescent="0.25"/>
    <row r="18171" hidden="1" x14ac:dyDescent="0.25"/>
    <row r="18172" hidden="1" x14ac:dyDescent="0.25"/>
    <row r="18173" hidden="1" x14ac:dyDescent="0.25"/>
    <row r="18174" hidden="1" x14ac:dyDescent="0.25"/>
    <row r="18175" hidden="1" x14ac:dyDescent="0.25"/>
    <row r="18176" hidden="1" x14ac:dyDescent="0.25"/>
    <row r="18177" hidden="1" x14ac:dyDescent="0.25"/>
    <row r="18178" hidden="1" x14ac:dyDescent="0.25"/>
    <row r="18179" hidden="1" x14ac:dyDescent="0.25"/>
    <row r="18180" hidden="1" x14ac:dyDescent="0.25"/>
    <row r="18181" hidden="1" x14ac:dyDescent="0.25"/>
    <row r="18182" hidden="1" x14ac:dyDescent="0.25"/>
    <row r="18183" hidden="1" x14ac:dyDescent="0.25"/>
    <row r="18184" hidden="1" x14ac:dyDescent="0.25"/>
    <row r="18185" hidden="1" x14ac:dyDescent="0.25"/>
    <row r="18186" hidden="1" x14ac:dyDescent="0.25"/>
    <row r="18187" hidden="1" x14ac:dyDescent="0.25"/>
    <row r="18188" hidden="1" x14ac:dyDescent="0.25"/>
    <row r="18189" hidden="1" x14ac:dyDescent="0.25"/>
    <row r="18190" hidden="1" x14ac:dyDescent="0.25"/>
    <row r="18191" hidden="1" x14ac:dyDescent="0.25"/>
    <row r="18192" hidden="1" x14ac:dyDescent="0.25"/>
    <row r="18193" hidden="1" x14ac:dyDescent="0.25"/>
    <row r="18194" hidden="1" x14ac:dyDescent="0.25"/>
    <row r="18195" hidden="1" x14ac:dyDescent="0.25"/>
    <row r="18196" hidden="1" x14ac:dyDescent="0.25"/>
    <row r="18197" hidden="1" x14ac:dyDescent="0.25"/>
    <row r="18198" hidden="1" x14ac:dyDescent="0.25"/>
    <row r="18199" hidden="1" x14ac:dyDescent="0.25"/>
    <row r="18200" hidden="1" x14ac:dyDescent="0.25"/>
    <row r="18201" hidden="1" x14ac:dyDescent="0.25"/>
    <row r="18202" hidden="1" x14ac:dyDescent="0.25"/>
    <row r="18203" hidden="1" x14ac:dyDescent="0.25"/>
    <row r="18204" hidden="1" x14ac:dyDescent="0.25"/>
    <row r="18205" hidden="1" x14ac:dyDescent="0.25"/>
    <row r="18206" hidden="1" x14ac:dyDescent="0.25"/>
    <row r="18207" hidden="1" x14ac:dyDescent="0.25"/>
    <row r="18208" hidden="1" x14ac:dyDescent="0.25"/>
    <row r="18209" hidden="1" x14ac:dyDescent="0.25"/>
    <row r="18210" hidden="1" x14ac:dyDescent="0.25"/>
    <row r="18211" hidden="1" x14ac:dyDescent="0.25"/>
    <row r="18212" hidden="1" x14ac:dyDescent="0.25"/>
    <row r="18213" hidden="1" x14ac:dyDescent="0.25"/>
    <row r="18214" hidden="1" x14ac:dyDescent="0.25"/>
    <row r="18215" hidden="1" x14ac:dyDescent="0.25"/>
    <row r="18216" hidden="1" x14ac:dyDescent="0.25"/>
    <row r="18217" hidden="1" x14ac:dyDescent="0.25"/>
    <row r="18218" hidden="1" x14ac:dyDescent="0.25"/>
    <row r="18219" hidden="1" x14ac:dyDescent="0.25"/>
    <row r="18220" hidden="1" x14ac:dyDescent="0.25"/>
    <row r="18221" hidden="1" x14ac:dyDescent="0.25"/>
    <row r="18222" hidden="1" x14ac:dyDescent="0.25"/>
    <row r="18223" hidden="1" x14ac:dyDescent="0.25"/>
    <row r="18224" hidden="1" x14ac:dyDescent="0.25"/>
    <row r="18225" hidden="1" x14ac:dyDescent="0.25"/>
    <row r="18226" hidden="1" x14ac:dyDescent="0.25"/>
    <row r="18227" hidden="1" x14ac:dyDescent="0.25"/>
    <row r="18228" hidden="1" x14ac:dyDescent="0.25"/>
    <row r="18229" hidden="1" x14ac:dyDescent="0.25"/>
    <row r="18230" hidden="1" x14ac:dyDescent="0.25"/>
    <row r="18231" hidden="1" x14ac:dyDescent="0.25"/>
    <row r="18232" hidden="1" x14ac:dyDescent="0.25"/>
    <row r="18233" hidden="1" x14ac:dyDescent="0.25"/>
    <row r="18234" hidden="1" x14ac:dyDescent="0.25"/>
    <row r="18235" hidden="1" x14ac:dyDescent="0.25"/>
    <row r="18236" hidden="1" x14ac:dyDescent="0.25"/>
    <row r="18237" hidden="1" x14ac:dyDescent="0.25"/>
    <row r="18238" hidden="1" x14ac:dyDescent="0.25"/>
    <row r="18239" hidden="1" x14ac:dyDescent="0.25"/>
    <row r="18240" hidden="1" x14ac:dyDescent="0.25"/>
    <row r="18241" hidden="1" x14ac:dyDescent="0.25"/>
    <row r="18242" hidden="1" x14ac:dyDescent="0.25"/>
    <row r="18243" hidden="1" x14ac:dyDescent="0.25"/>
    <row r="18244" hidden="1" x14ac:dyDescent="0.25"/>
    <row r="18245" hidden="1" x14ac:dyDescent="0.25"/>
    <row r="18246" hidden="1" x14ac:dyDescent="0.25"/>
    <row r="18247" hidden="1" x14ac:dyDescent="0.25"/>
    <row r="18248" hidden="1" x14ac:dyDescent="0.25"/>
    <row r="18249" hidden="1" x14ac:dyDescent="0.25"/>
    <row r="18250" hidden="1" x14ac:dyDescent="0.25"/>
    <row r="18251" hidden="1" x14ac:dyDescent="0.25"/>
    <row r="18252" hidden="1" x14ac:dyDescent="0.25"/>
    <row r="18253" hidden="1" x14ac:dyDescent="0.25"/>
    <row r="18254" hidden="1" x14ac:dyDescent="0.25"/>
    <row r="18255" hidden="1" x14ac:dyDescent="0.25"/>
    <row r="18256" hidden="1" x14ac:dyDescent="0.25"/>
    <row r="18257" hidden="1" x14ac:dyDescent="0.25"/>
    <row r="18258" hidden="1" x14ac:dyDescent="0.25"/>
    <row r="18259" hidden="1" x14ac:dyDescent="0.25"/>
    <row r="18260" hidden="1" x14ac:dyDescent="0.25"/>
    <row r="18261" hidden="1" x14ac:dyDescent="0.25"/>
    <row r="18262" hidden="1" x14ac:dyDescent="0.25"/>
    <row r="18263" hidden="1" x14ac:dyDescent="0.25"/>
    <row r="18264" hidden="1" x14ac:dyDescent="0.25"/>
    <row r="18265" hidden="1" x14ac:dyDescent="0.25"/>
    <row r="18266" hidden="1" x14ac:dyDescent="0.25"/>
    <row r="18267" hidden="1" x14ac:dyDescent="0.25"/>
    <row r="18268" hidden="1" x14ac:dyDescent="0.25"/>
    <row r="18269" hidden="1" x14ac:dyDescent="0.25"/>
    <row r="18270" hidden="1" x14ac:dyDescent="0.25"/>
    <row r="18271" hidden="1" x14ac:dyDescent="0.25"/>
    <row r="18272" hidden="1" x14ac:dyDescent="0.25"/>
    <row r="18273" hidden="1" x14ac:dyDescent="0.25"/>
    <row r="18274" hidden="1" x14ac:dyDescent="0.25"/>
    <row r="18275" hidden="1" x14ac:dyDescent="0.25"/>
    <row r="18276" hidden="1" x14ac:dyDescent="0.25"/>
    <row r="18277" hidden="1" x14ac:dyDescent="0.25"/>
    <row r="18278" hidden="1" x14ac:dyDescent="0.25"/>
    <row r="18279" hidden="1" x14ac:dyDescent="0.25"/>
    <row r="18280" hidden="1" x14ac:dyDescent="0.25"/>
    <row r="18281" hidden="1" x14ac:dyDescent="0.25"/>
    <row r="18282" hidden="1" x14ac:dyDescent="0.25"/>
    <row r="18283" hidden="1" x14ac:dyDescent="0.25"/>
    <row r="18284" hidden="1" x14ac:dyDescent="0.25"/>
    <row r="18285" hidden="1" x14ac:dyDescent="0.25"/>
    <row r="18286" hidden="1" x14ac:dyDescent="0.25"/>
    <row r="18287" hidden="1" x14ac:dyDescent="0.25"/>
    <row r="18288" hidden="1" x14ac:dyDescent="0.25"/>
    <row r="18289" hidden="1" x14ac:dyDescent="0.25"/>
    <row r="18290" hidden="1" x14ac:dyDescent="0.25"/>
    <row r="18291" hidden="1" x14ac:dyDescent="0.25"/>
    <row r="18292" hidden="1" x14ac:dyDescent="0.25"/>
    <row r="18293" hidden="1" x14ac:dyDescent="0.25"/>
    <row r="18294" hidden="1" x14ac:dyDescent="0.25"/>
    <row r="18295" hidden="1" x14ac:dyDescent="0.25"/>
    <row r="18296" hidden="1" x14ac:dyDescent="0.25"/>
    <row r="18297" hidden="1" x14ac:dyDescent="0.25"/>
    <row r="18298" hidden="1" x14ac:dyDescent="0.25"/>
    <row r="18299" hidden="1" x14ac:dyDescent="0.25"/>
    <row r="18300" hidden="1" x14ac:dyDescent="0.25"/>
    <row r="18301" hidden="1" x14ac:dyDescent="0.25"/>
    <row r="18302" hidden="1" x14ac:dyDescent="0.25"/>
    <row r="18303" hidden="1" x14ac:dyDescent="0.25"/>
    <row r="18304" hidden="1" x14ac:dyDescent="0.25"/>
    <row r="18305" hidden="1" x14ac:dyDescent="0.25"/>
    <row r="18306" hidden="1" x14ac:dyDescent="0.25"/>
    <row r="18307" hidden="1" x14ac:dyDescent="0.25"/>
    <row r="18308" hidden="1" x14ac:dyDescent="0.25"/>
    <row r="18309" hidden="1" x14ac:dyDescent="0.25"/>
    <row r="18310" hidden="1" x14ac:dyDescent="0.25"/>
    <row r="18311" hidden="1" x14ac:dyDescent="0.25"/>
    <row r="18312" hidden="1" x14ac:dyDescent="0.25"/>
    <row r="18313" hidden="1" x14ac:dyDescent="0.25"/>
    <row r="18314" hidden="1" x14ac:dyDescent="0.25"/>
    <row r="18315" hidden="1" x14ac:dyDescent="0.25"/>
    <row r="18316" hidden="1" x14ac:dyDescent="0.25"/>
    <row r="18317" hidden="1" x14ac:dyDescent="0.25"/>
    <row r="18318" hidden="1" x14ac:dyDescent="0.25"/>
    <row r="18319" hidden="1" x14ac:dyDescent="0.25"/>
    <row r="18320" hidden="1" x14ac:dyDescent="0.25"/>
    <row r="18321" hidden="1" x14ac:dyDescent="0.25"/>
    <row r="18322" hidden="1" x14ac:dyDescent="0.25"/>
    <row r="18323" hidden="1" x14ac:dyDescent="0.25"/>
    <row r="18324" hidden="1" x14ac:dyDescent="0.25"/>
    <row r="18325" hidden="1" x14ac:dyDescent="0.25"/>
    <row r="18326" hidden="1" x14ac:dyDescent="0.25"/>
    <row r="18327" hidden="1" x14ac:dyDescent="0.25"/>
    <row r="18328" hidden="1" x14ac:dyDescent="0.25"/>
    <row r="18329" hidden="1" x14ac:dyDescent="0.25"/>
    <row r="18330" hidden="1" x14ac:dyDescent="0.25"/>
    <row r="18331" hidden="1" x14ac:dyDescent="0.25"/>
    <row r="18332" hidden="1" x14ac:dyDescent="0.25"/>
    <row r="18333" hidden="1" x14ac:dyDescent="0.25"/>
    <row r="18334" hidden="1" x14ac:dyDescent="0.25"/>
    <row r="18335" hidden="1" x14ac:dyDescent="0.25"/>
    <row r="18336" hidden="1" x14ac:dyDescent="0.25"/>
    <row r="18337" hidden="1" x14ac:dyDescent="0.25"/>
    <row r="18338" hidden="1" x14ac:dyDescent="0.25"/>
    <row r="18339" hidden="1" x14ac:dyDescent="0.25"/>
    <row r="18340" hidden="1" x14ac:dyDescent="0.25"/>
    <row r="18341" hidden="1" x14ac:dyDescent="0.25"/>
    <row r="18342" hidden="1" x14ac:dyDescent="0.25"/>
    <row r="18343" hidden="1" x14ac:dyDescent="0.25"/>
    <row r="18344" hidden="1" x14ac:dyDescent="0.25"/>
    <row r="18345" hidden="1" x14ac:dyDescent="0.25"/>
    <row r="18346" hidden="1" x14ac:dyDescent="0.25"/>
    <row r="18347" hidden="1" x14ac:dyDescent="0.25"/>
    <row r="18348" hidden="1" x14ac:dyDescent="0.25"/>
    <row r="18349" hidden="1" x14ac:dyDescent="0.25"/>
    <row r="18350" hidden="1" x14ac:dyDescent="0.25"/>
    <row r="18351" hidden="1" x14ac:dyDescent="0.25"/>
    <row r="18352" hidden="1" x14ac:dyDescent="0.25"/>
    <row r="18353" hidden="1" x14ac:dyDescent="0.25"/>
    <row r="18354" hidden="1" x14ac:dyDescent="0.25"/>
    <row r="18355" hidden="1" x14ac:dyDescent="0.25"/>
    <row r="18356" hidden="1" x14ac:dyDescent="0.25"/>
    <row r="18357" hidden="1" x14ac:dyDescent="0.25"/>
    <row r="18358" hidden="1" x14ac:dyDescent="0.25"/>
    <row r="18359" hidden="1" x14ac:dyDescent="0.25"/>
    <row r="18360" hidden="1" x14ac:dyDescent="0.25"/>
    <row r="18361" hidden="1" x14ac:dyDescent="0.25"/>
    <row r="18362" hidden="1" x14ac:dyDescent="0.25"/>
    <row r="18363" hidden="1" x14ac:dyDescent="0.25"/>
    <row r="18364" hidden="1" x14ac:dyDescent="0.25"/>
    <row r="18365" hidden="1" x14ac:dyDescent="0.25"/>
    <row r="18366" hidden="1" x14ac:dyDescent="0.25"/>
    <row r="18367" hidden="1" x14ac:dyDescent="0.25"/>
    <row r="18368" hidden="1" x14ac:dyDescent="0.25"/>
    <row r="18369" hidden="1" x14ac:dyDescent="0.25"/>
    <row r="18370" hidden="1" x14ac:dyDescent="0.25"/>
    <row r="18371" hidden="1" x14ac:dyDescent="0.25"/>
    <row r="18372" hidden="1" x14ac:dyDescent="0.25"/>
    <row r="18373" hidden="1" x14ac:dyDescent="0.25"/>
    <row r="18374" hidden="1" x14ac:dyDescent="0.25"/>
    <row r="18375" hidden="1" x14ac:dyDescent="0.25"/>
    <row r="18376" hidden="1" x14ac:dyDescent="0.25"/>
    <row r="18377" hidden="1" x14ac:dyDescent="0.25"/>
    <row r="18378" hidden="1" x14ac:dyDescent="0.25"/>
    <row r="18379" hidden="1" x14ac:dyDescent="0.25"/>
    <row r="18380" hidden="1" x14ac:dyDescent="0.25"/>
    <row r="18381" hidden="1" x14ac:dyDescent="0.25"/>
    <row r="18382" hidden="1" x14ac:dyDescent="0.25"/>
    <row r="18383" hidden="1" x14ac:dyDescent="0.25"/>
    <row r="18384" hidden="1" x14ac:dyDescent="0.25"/>
    <row r="18385" hidden="1" x14ac:dyDescent="0.25"/>
    <row r="18386" hidden="1" x14ac:dyDescent="0.25"/>
    <row r="18387" hidden="1" x14ac:dyDescent="0.25"/>
    <row r="18388" hidden="1" x14ac:dyDescent="0.25"/>
    <row r="18389" hidden="1" x14ac:dyDescent="0.25"/>
    <row r="18390" hidden="1" x14ac:dyDescent="0.25"/>
    <row r="18391" hidden="1" x14ac:dyDescent="0.25"/>
    <row r="18392" hidden="1" x14ac:dyDescent="0.25"/>
    <row r="18393" hidden="1" x14ac:dyDescent="0.25"/>
    <row r="18394" hidden="1" x14ac:dyDescent="0.25"/>
    <row r="18395" hidden="1" x14ac:dyDescent="0.25"/>
    <row r="18396" hidden="1" x14ac:dyDescent="0.25"/>
    <row r="18397" hidden="1" x14ac:dyDescent="0.25"/>
    <row r="18398" hidden="1" x14ac:dyDescent="0.25"/>
    <row r="18399" hidden="1" x14ac:dyDescent="0.25"/>
    <row r="18400" hidden="1" x14ac:dyDescent="0.25"/>
    <row r="18401" hidden="1" x14ac:dyDescent="0.25"/>
    <row r="18402" hidden="1" x14ac:dyDescent="0.25"/>
    <row r="18403" hidden="1" x14ac:dyDescent="0.25"/>
    <row r="18404" hidden="1" x14ac:dyDescent="0.25"/>
    <row r="18405" hidden="1" x14ac:dyDescent="0.25"/>
    <row r="18406" hidden="1" x14ac:dyDescent="0.25"/>
    <row r="18407" hidden="1" x14ac:dyDescent="0.25"/>
    <row r="18408" hidden="1" x14ac:dyDescent="0.25"/>
    <row r="18409" hidden="1" x14ac:dyDescent="0.25"/>
    <row r="18410" hidden="1" x14ac:dyDescent="0.25"/>
    <row r="18411" hidden="1" x14ac:dyDescent="0.25"/>
    <row r="18412" hidden="1" x14ac:dyDescent="0.25"/>
    <row r="18413" hidden="1" x14ac:dyDescent="0.25"/>
    <row r="18414" hidden="1" x14ac:dyDescent="0.25"/>
    <row r="18415" hidden="1" x14ac:dyDescent="0.25"/>
    <row r="18416" hidden="1" x14ac:dyDescent="0.25"/>
    <row r="18417" hidden="1" x14ac:dyDescent="0.25"/>
    <row r="18418" hidden="1" x14ac:dyDescent="0.25"/>
    <row r="18419" hidden="1" x14ac:dyDescent="0.25"/>
    <row r="18420" hidden="1" x14ac:dyDescent="0.25"/>
    <row r="18421" hidden="1" x14ac:dyDescent="0.25"/>
    <row r="18422" hidden="1" x14ac:dyDescent="0.25"/>
    <row r="18423" hidden="1" x14ac:dyDescent="0.25"/>
    <row r="18424" hidden="1" x14ac:dyDescent="0.25"/>
    <row r="18425" hidden="1" x14ac:dyDescent="0.25"/>
    <row r="18426" hidden="1" x14ac:dyDescent="0.25"/>
    <row r="18427" hidden="1" x14ac:dyDescent="0.25"/>
    <row r="18428" hidden="1" x14ac:dyDescent="0.25"/>
    <row r="18429" hidden="1" x14ac:dyDescent="0.25"/>
    <row r="18430" hidden="1" x14ac:dyDescent="0.25"/>
    <row r="18431" hidden="1" x14ac:dyDescent="0.25"/>
    <row r="18432" hidden="1" x14ac:dyDescent="0.25"/>
    <row r="18433" hidden="1" x14ac:dyDescent="0.25"/>
    <row r="18434" hidden="1" x14ac:dyDescent="0.25"/>
    <row r="18435" hidden="1" x14ac:dyDescent="0.25"/>
    <row r="18436" hidden="1" x14ac:dyDescent="0.25"/>
    <row r="18437" hidden="1" x14ac:dyDescent="0.25"/>
    <row r="18438" hidden="1" x14ac:dyDescent="0.25"/>
    <row r="18439" hidden="1" x14ac:dyDescent="0.25"/>
    <row r="18440" hidden="1" x14ac:dyDescent="0.25"/>
    <row r="18441" hidden="1" x14ac:dyDescent="0.25"/>
    <row r="18442" hidden="1" x14ac:dyDescent="0.25"/>
    <row r="18443" hidden="1" x14ac:dyDescent="0.25"/>
    <row r="18444" hidden="1" x14ac:dyDescent="0.25"/>
    <row r="18445" hidden="1" x14ac:dyDescent="0.25"/>
    <row r="18446" hidden="1" x14ac:dyDescent="0.25"/>
    <row r="18447" hidden="1" x14ac:dyDescent="0.25"/>
    <row r="18448" hidden="1" x14ac:dyDescent="0.25"/>
    <row r="18449" hidden="1" x14ac:dyDescent="0.25"/>
    <row r="18450" hidden="1" x14ac:dyDescent="0.25"/>
    <row r="18451" hidden="1" x14ac:dyDescent="0.25"/>
    <row r="18452" hidden="1" x14ac:dyDescent="0.25"/>
    <row r="18453" hidden="1" x14ac:dyDescent="0.25"/>
    <row r="18454" hidden="1" x14ac:dyDescent="0.25"/>
    <row r="18455" hidden="1" x14ac:dyDescent="0.25"/>
    <row r="18456" hidden="1" x14ac:dyDescent="0.25"/>
    <row r="18457" hidden="1" x14ac:dyDescent="0.25"/>
    <row r="18458" hidden="1" x14ac:dyDescent="0.25"/>
    <row r="18459" hidden="1" x14ac:dyDescent="0.25"/>
    <row r="18460" hidden="1" x14ac:dyDescent="0.25"/>
    <row r="18461" hidden="1" x14ac:dyDescent="0.25"/>
    <row r="18462" hidden="1" x14ac:dyDescent="0.25"/>
    <row r="18463" hidden="1" x14ac:dyDescent="0.25"/>
    <row r="18464" hidden="1" x14ac:dyDescent="0.25"/>
    <row r="18465" hidden="1" x14ac:dyDescent="0.25"/>
    <row r="18466" hidden="1" x14ac:dyDescent="0.25"/>
    <row r="18467" hidden="1" x14ac:dyDescent="0.25"/>
    <row r="18468" hidden="1" x14ac:dyDescent="0.25"/>
    <row r="18469" hidden="1" x14ac:dyDescent="0.25"/>
    <row r="18470" hidden="1" x14ac:dyDescent="0.25"/>
    <row r="18471" hidden="1" x14ac:dyDescent="0.25"/>
    <row r="18472" hidden="1" x14ac:dyDescent="0.25"/>
    <row r="18473" hidden="1" x14ac:dyDescent="0.25"/>
    <row r="18474" hidden="1" x14ac:dyDescent="0.25"/>
    <row r="18475" hidden="1" x14ac:dyDescent="0.25"/>
    <row r="18476" hidden="1" x14ac:dyDescent="0.25"/>
    <row r="18477" hidden="1" x14ac:dyDescent="0.25"/>
    <row r="18478" hidden="1" x14ac:dyDescent="0.25"/>
    <row r="18479" hidden="1" x14ac:dyDescent="0.25"/>
    <row r="18480" hidden="1" x14ac:dyDescent="0.25"/>
    <row r="18481" hidden="1" x14ac:dyDescent="0.25"/>
    <row r="18482" hidden="1" x14ac:dyDescent="0.25"/>
    <row r="18483" hidden="1" x14ac:dyDescent="0.25"/>
    <row r="18484" hidden="1" x14ac:dyDescent="0.25"/>
    <row r="18485" hidden="1" x14ac:dyDescent="0.25"/>
    <row r="18486" hidden="1" x14ac:dyDescent="0.25"/>
    <row r="18487" hidden="1" x14ac:dyDescent="0.25"/>
    <row r="18488" hidden="1" x14ac:dyDescent="0.25"/>
    <row r="18489" hidden="1" x14ac:dyDescent="0.25"/>
    <row r="18490" hidden="1" x14ac:dyDescent="0.25"/>
    <row r="18491" hidden="1" x14ac:dyDescent="0.25"/>
    <row r="18492" hidden="1" x14ac:dyDescent="0.25"/>
    <row r="18493" hidden="1" x14ac:dyDescent="0.25"/>
    <row r="18494" hidden="1" x14ac:dyDescent="0.25"/>
    <row r="18495" hidden="1" x14ac:dyDescent="0.25"/>
    <row r="18496" hidden="1" x14ac:dyDescent="0.25"/>
    <row r="18497" hidden="1" x14ac:dyDescent="0.25"/>
    <row r="18498" hidden="1" x14ac:dyDescent="0.25"/>
    <row r="18499" hidden="1" x14ac:dyDescent="0.25"/>
    <row r="18500" hidden="1" x14ac:dyDescent="0.25"/>
    <row r="18501" hidden="1" x14ac:dyDescent="0.25"/>
    <row r="18502" hidden="1" x14ac:dyDescent="0.25"/>
    <row r="18503" hidden="1" x14ac:dyDescent="0.25"/>
    <row r="18504" hidden="1" x14ac:dyDescent="0.25"/>
    <row r="18505" hidden="1" x14ac:dyDescent="0.25"/>
    <row r="18506" hidden="1" x14ac:dyDescent="0.25"/>
    <row r="18507" hidden="1" x14ac:dyDescent="0.25"/>
    <row r="18508" hidden="1" x14ac:dyDescent="0.25"/>
    <row r="18509" hidden="1" x14ac:dyDescent="0.25"/>
    <row r="18510" hidden="1" x14ac:dyDescent="0.25"/>
    <row r="18511" hidden="1" x14ac:dyDescent="0.25"/>
    <row r="18512" hidden="1" x14ac:dyDescent="0.25"/>
    <row r="18513" hidden="1" x14ac:dyDescent="0.25"/>
    <row r="18514" hidden="1" x14ac:dyDescent="0.25"/>
    <row r="18515" hidden="1" x14ac:dyDescent="0.25"/>
    <row r="18516" hidden="1" x14ac:dyDescent="0.25"/>
    <row r="18517" hidden="1" x14ac:dyDescent="0.25"/>
    <row r="18518" hidden="1" x14ac:dyDescent="0.25"/>
    <row r="18519" hidden="1" x14ac:dyDescent="0.25"/>
    <row r="18520" hidden="1" x14ac:dyDescent="0.25"/>
    <row r="18521" hidden="1" x14ac:dyDescent="0.25"/>
    <row r="18522" hidden="1" x14ac:dyDescent="0.25"/>
    <row r="18523" hidden="1" x14ac:dyDescent="0.25"/>
    <row r="18524" hidden="1" x14ac:dyDescent="0.25"/>
    <row r="18525" hidden="1" x14ac:dyDescent="0.25"/>
    <row r="18526" hidden="1" x14ac:dyDescent="0.25"/>
    <row r="18527" hidden="1" x14ac:dyDescent="0.25"/>
    <row r="18528" hidden="1" x14ac:dyDescent="0.25"/>
    <row r="18529" hidden="1" x14ac:dyDescent="0.25"/>
    <row r="18530" hidden="1" x14ac:dyDescent="0.25"/>
    <row r="18531" hidden="1" x14ac:dyDescent="0.25"/>
    <row r="18532" hidden="1" x14ac:dyDescent="0.25"/>
    <row r="18533" hidden="1" x14ac:dyDescent="0.25"/>
    <row r="18534" hidden="1" x14ac:dyDescent="0.25"/>
    <row r="18535" hidden="1" x14ac:dyDescent="0.25"/>
    <row r="18536" hidden="1" x14ac:dyDescent="0.25"/>
    <row r="18537" hidden="1" x14ac:dyDescent="0.25"/>
    <row r="18538" hidden="1" x14ac:dyDescent="0.25"/>
    <row r="18539" hidden="1" x14ac:dyDescent="0.25"/>
    <row r="18540" hidden="1" x14ac:dyDescent="0.25"/>
    <row r="18541" hidden="1" x14ac:dyDescent="0.25"/>
    <row r="18542" hidden="1" x14ac:dyDescent="0.25"/>
    <row r="18543" hidden="1" x14ac:dyDescent="0.25"/>
    <row r="18544" hidden="1" x14ac:dyDescent="0.25"/>
    <row r="18545" hidden="1" x14ac:dyDescent="0.25"/>
    <row r="18546" hidden="1" x14ac:dyDescent="0.25"/>
    <row r="18547" hidden="1" x14ac:dyDescent="0.25"/>
    <row r="18548" hidden="1" x14ac:dyDescent="0.25"/>
    <row r="18549" hidden="1" x14ac:dyDescent="0.25"/>
    <row r="18550" hidden="1" x14ac:dyDescent="0.25"/>
    <row r="18551" hidden="1" x14ac:dyDescent="0.25"/>
    <row r="18552" hidden="1" x14ac:dyDescent="0.25"/>
    <row r="18553" hidden="1" x14ac:dyDescent="0.25"/>
    <row r="18554" hidden="1" x14ac:dyDescent="0.25"/>
    <row r="18555" hidden="1" x14ac:dyDescent="0.25"/>
    <row r="18556" hidden="1" x14ac:dyDescent="0.25"/>
    <row r="18557" hidden="1" x14ac:dyDescent="0.25"/>
    <row r="18558" hidden="1" x14ac:dyDescent="0.25"/>
    <row r="18559" hidden="1" x14ac:dyDescent="0.25"/>
    <row r="18560" hidden="1" x14ac:dyDescent="0.25"/>
    <row r="18561" hidden="1" x14ac:dyDescent="0.25"/>
    <row r="18562" hidden="1" x14ac:dyDescent="0.25"/>
    <row r="18563" hidden="1" x14ac:dyDescent="0.25"/>
    <row r="18564" hidden="1" x14ac:dyDescent="0.25"/>
    <row r="18565" hidden="1" x14ac:dyDescent="0.25"/>
    <row r="18566" hidden="1" x14ac:dyDescent="0.25"/>
    <row r="18567" hidden="1" x14ac:dyDescent="0.25"/>
    <row r="18568" hidden="1" x14ac:dyDescent="0.25"/>
    <row r="18569" hidden="1" x14ac:dyDescent="0.25"/>
    <row r="18570" hidden="1" x14ac:dyDescent="0.25"/>
    <row r="18571" hidden="1" x14ac:dyDescent="0.25"/>
    <row r="18572" hidden="1" x14ac:dyDescent="0.25"/>
    <row r="18573" hidden="1" x14ac:dyDescent="0.25"/>
    <row r="18574" hidden="1" x14ac:dyDescent="0.25"/>
    <row r="18575" hidden="1" x14ac:dyDescent="0.25"/>
    <row r="18576" hidden="1" x14ac:dyDescent="0.25"/>
    <row r="18577" hidden="1" x14ac:dyDescent="0.25"/>
    <row r="18578" hidden="1" x14ac:dyDescent="0.25"/>
    <row r="18579" hidden="1" x14ac:dyDescent="0.25"/>
    <row r="18580" hidden="1" x14ac:dyDescent="0.25"/>
    <row r="18581" hidden="1" x14ac:dyDescent="0.25"/>
    <row r="18582" hidden="1" x14ac:dyDescent="0.25"/>
    <row r="18583" hidden="1" x14ac:dyDescent="0.25"/>
    <row r="18584" hidden="1" x14ac:dyDescent="0.25"/>
    <row r="18585" hidden="1" x14ac:dyDescent="0.25"/>
    <row r="18586" hidden="1" x14ac:dyDescent="0.25"/>
    <row r="18587" hidden="1" x14ac:dyDescent="0.25"/>
    <row r="18588" hidden="1" x14ac:dyDescent="0.25"/>
    <row r="18589" hidden="1" x14ac:dyDescent="0.25"/>
    <row r="18590" hidden="1" x14ac:dyDescent="0.25"/>
    <row r="18591" hidden="1" x14ac:dyDescent="0.25"/>
    <row r="18592" hidden="1" x14ac:dyDescent="0.25"/>
    <row r="18593" hidden="1" x14ac:dyDescent="0.25"/>
    <row r="18594" hidden="1" x14ac:dyDescent="0.25"/>
    <row r="18595" hidden="1" x14ac:dyDescent="0.25"/>
    <row r="18596" hidden="1" x14ac:dyDescent="0.25"/>
    <row r="18597" hidden="1" x14ac:dyDescent="0.25"/>
    <row r="18598" hidden="1" x14ac:dyDescent="0.25"/>
    <row r="18599" hidden="1" x14ac:dyDescent="0.25"/>
    <row r="18600" hidden="1" x14ac:dyDescent="0.25"/>
    <row r="18601" hidden="1" x14ac:dyDescent="0.25"/>
    <row r="18602" hidden="1" x14ac:dyDescent="0.25"/>
    <row r="18603" hidden="1" x14ac:dyDescent="0.25"/>
    <row r="18604" hidden="1" x14ac:dyDescent="0.25"/>
    <row r="18605" hidden="1" x14ac:dyDescent="0.25"/>
    <row r="18606" hidden="1" x14ac:dyDescent="0.25"/>
    <row r="18607" hidden="1" x14ac:dyDescent="0.25"/>
    <row r="18608" hidden="1" x14ac:dyDescent="0.25"/>
    <row r="18609" hidden="1" x14ac:dyDescent="0.25"/>
    <row r="18610" hidden="1" x14ac:dyDescent="0.25"/>
    <row r="18611" hidden="1" x14ac:dyDescent="0.25"/>
    <row r="18612" hidden="1" x14ac:dyDescent="0.25"/>
    <row r="18613" hidden="1" x14ac:dyDescent="0.25"/>
    <row r="18614" hidden="1" x14ac:dyDescent="0.25"/>
    <row r="18615" hidden="1" x14ac:dyDescent="0.25"/>
    <row r="18616" hidden="1" x14ac:dyDescent="0.25"/>
    <row r="18617" hidden="1" x14ac:dyDescent="0.25"/>
    <row r="18618" hidden="1" x14ac:dyDescent="0.25"/>
    <row r="18619" hidden="1" x14ac:dyDescent="0.25"/>
    <row r="18620" hidden="1" x14ac:dyDescent="0.25"/>
    <row r="18621" hidden="1" x14ac:dyDescent="0.25"/>
    <row r="18622" hidden="1" x14ac:dyDescent="0.25"/>
    <row r="18623" hidden="1" x14ac:dyDescent="0.25"/>
    <row r="18624" hidden="1" x14ac:dyDescent="0.25"/>
    <row r="18625" hidden="1" x14ac:dyDescent="0.25"/>
    <row r="18626" hidden="1" x14ac:dyDescent="0.25"/>
    <row r="18627" hidden="1" x14ac:dyDescent="0.25"/>
    <row r="18628" hidden="1" x14ac:dyDescent="0.25"/>
    <row r="18629" hidden="1" x14ac:dyDescent="0.25"/>
    <row r="18630" hidden="1" x14ac:dyDescent="0.25"/>
    <row r="18631" hidden="1" x14ac:dyDescent="0.25"/>
    <row r="18632" hidden="1" x14ac:dyDescent="0.25"/>
    <row r="18633" hidden="1" x14ac:dyDescent="0.25"/>
    <row r="18634" hidden="1" x14ac:dyDescent="0.25"/>
    <row r="18635" hidden="1" x14ac:dyDescent="0.25"/>
    <row r="18636" hidden="1" x14ac:dyDescent="0.25"/>
    <row r="18637" hidden="1" x14ac:dyDescent="0.25"/>
    <row r="18638" hidden="1" x14ac:dyDescent="0.25"/>
    <row r="18639" hidden="1" x14ac:dyDescent="0.25"/>
    <row r="18640" hidden="1" x14ac:dyDescent="0.25"/>
    <row r="18641" hidden="1" x14ac:dyDescent="0.25"/>
    <row r="18642" hidden="1" x14ac:dyDescent="0.25"/>
    <row r="18643" hidden="1" x14ac:dyDescent="0.25"/>
    <row r="18644" hidden="1" x14ac:dyDescent="0.25"/>
    <row r="18645" hidden="1" x14ac:dyDescent="0.25"/>
    <row r="18646" hidden="1" x14ac:dyDescent="0.25"/>
    <row r="18647" hidden="1" x14ac:dyDescent="0.25"/>
    <row r="18648" hidden="1" x14ac:dyDescent="0.25"/>
    <row r="18649" hidden="1" x14ac:dyDescent="0.25"/>
    <row r="18650" hidden="1" x14ac:dyDescent="0.25"/>
    <row r="18651" hidden="1" x14ac:dyDescent="0.25"/>
    <row r="18652" hidden="1" x14ac:dyDescent="0.25"/>
    <row r="18653" hidden="1" x14ac:dyDescent="0.25"/>
    <row r="18654" hidden="1" x14ac:dyDescent="0.25"/>
    <row r="18655" hidden="1" x14ac:dyDescent="0.25"/>
    <row r="18656" hidden="1" x14ac:dyDescent="0.25"/>
    <row r="18657" hidden="1" x14ac:dyDescent="0.25"/>
    <row r="18658" hidden="1" x14ac:dyDescent="0.25"/>
    <row r="18659" hidden="1" x14ac:dyDescent="0.25"/>
    <row r="18660" hidden="1" x14ac:dyDescent="0.25"/>
    <row r="18661" hidden="1" x14ac:dyDescent="0.25"/>
    <row r="18662" hidden="1" x14ac:dyDescent="0.25"/>
    <row r="18663" hidden="1" x14ac:dyDescent="0.25"/>
    <row r="18664" hidden="1" x14ac:dyDescent="0.25"/>
    <row r="18665" hidden="1" x14ac:dyDescent="0.25"/>
    <row r="18666" hidden="1" x14ac:dyDescent="0.25"/>
    <row r="18667" hidden="1" x14ac:dyDescent="0.25"/>
    <row r="18668" hidden="1" x14ac:dyDescent="0.25"/>
    <row r="18669" hidden="1" x14ac:dyDescent="0.25"/>
    <row r="18670" hidden="1" x14ac:dyDescent="0.25"/>
    <row r="18671" hidden="1" x14ac:dyDescent="0.25"/>
    <row r="18672" hidden="1" x14ac:dyDescent="0.25"/>
    <row r="18673" hidden="1" x14ac:dyDescent="0.25"/>
    <row r="18674" hidden="1" x14ac:dyDescent="0.25"/>
    <row r="18675" hidden="1" x14ac:dyDescent="0.25"/>
    <row r="18676" hidden="1" x14ac:dyDescent="0.25"/>
    <row r="18677" hidden="1" x14ac:dyDescent="0.25"/>
    <row r="18678" hidden="1" x14ac:dyDescent="0.25"/>
    <row r="18679" hidden="1" x14ac:dyDescent="0.25"/>
    <row r="18680" hidden="1" x14ac:dyDescent="0.25"/>
    <row r="18681" hidden="1" x14ac:dyDescent="0.25"/>
    <row r="18682" hidden="1" x14ac:dyDescent="0.25"/>
    <row r="18683" hidden="1" x14ac:dyDescent="0.25"/>
    <row r="18684" hidden="1" x14ac:dyDescent="0.25"/>
    <row r="18685" hidden="1" x14ac:dyDescent="0.25"/>
    <row r="18686" hidden="1" x14ac:dyDescent="0.25"/>
    <row r="18687" hidden="1" x14ac:dyDescent="0.25"/>
    <row r="18688" hidden="1" x14ac:dyDescent="0.25"/>
    <row r="18689" hidden="1" x14ac:dyDescent="0.25"/>
    <row r="18690" hidden="1" x14ac:dyDescent="0.25"/>
    <row r="18691" hidden="1" x14ac:dyDescent="0.25"/>
    <row r="18692" hidden="1" x14ac:dyDescent="0.25"/>
    <row r="18693" hidden="1" x14ac:dyDescent="0.25"/>
    <row r="18694" hidden="1" x14ac:dyDescent="0.25"/>
    <row r="18695" hidden="1" x14ac:dyDescent="0.25"/>
    <row r="18696" hidden="1" x14ac:dyDescent="0.25"/>
    <row r="18697" hidden="1" x14ac:dyDescent="0.25"/>
    <row r="18698" hidden="1" x14ac:dyDescent="0.25"/>
    <row r="18699" hidden="1" x14ac:dyDescent="0.25"/>
    <row r="18700" hidden="1" x14ac:dyDescent="0.25"/>
    <row r="18701" hidden="1" x14ac:dyDescent="0.25"/>
    <row r="18702" hidden="1" x14ac:dyDescent="0.25"/>
    <row r="18703" hidden="1" x14ac:dyDescent="0.25"/>
    <row r="18704" hidden="1" x14ac:dyDescent="0.25"/>
    <row r="18705" hidden="1" x14ac:dyDescent="0.25"/>
    <row r="18706" hidden="1" x14ac:dyDescent="0.25"/>
    <row r="18707" hidden="1" x14ac:dyDescent="0.25"/>
    <row r="18708" hidden="1" x14ac:dyDescent="0.25"/>
    <row r="18709" hidden="1" x14ac:dyDescent="0.25"/>
    <row r="18710" hidden="1" x14ac:dyDescent="0.25"/>
    <row r="18711" hidden="1" x14ac:dyDescent="0.25"/>
    <row r="18712" hidden="1" x14ac:dyDescent="0.25"/>
    <row r="18713" hidden="1" x14ac:dyDescent="0.25"/>
    <row r="18714" hidden="1" x14ac:dyDescent="0.25"/>
    <row r="18715" hidden="1" x14ac:dyDescent="0.25"/>
    <row r="18716" hidden="1" x14ac:dyDescent="0.25"/>
    <row r="18717" hidden="1" x14ac:dyDescent="0.25"/>
    <row r="18718" hidden="1" x14ac:dyDescent="0.25"/>
    <row r="18719" hidden="1" x14ac:dyDescent="0.25"/>
    <row r="18720" hidden="1" x14ac:dyDescent="0.25"/>
    <row r="18721" hidden="1" x14ac:dyDescent="0.25"/>
    <row r="18722" hidden="1" x14ac:dyDescent="0.25"/>
    <row r="18723" hidden="1" x14ac:dyDescent="0.25"/>
    <row r="18724" hidden="1" x14ac:dyDescent="0.25"/>
    <row r="18725" hidden="1" x14ac:dyDescent="0.25"/>
    <row r="18726" hidden="1" x14ac:dyDescent="0.25"/>
    <row r="18727" hidden="1" x14ac:dyDescent="0.25"/>
    <row r="18728" hidden="1" x14ac:dyDescent="0.25"/>
    <row r="18729" hidden="1" x14ac:dyDescent="0.25"/>
    <row r="18730" hidden="1" x14ac:dyDescent="0.25"/>
    <row r="18731" hidden="1" x14ac:dyDescent="0.25"/>
    <row r="18732" hidden="1" x14ac:dyDescent="0.25"/>
    <row r="18733" hidden="1" x14ac:dyDescent="0.25"/>
    <row r="18734" hidden="1" x14ac:dyDescent="0.25"/>
    <row r="18735" hidden="1" x14ac:dyDescent="0.25"/>
    <row r="18736" hidden="1" x14ac:dyDescent="0.25"/>
    <row r="18737" hidden="1" x14ac:dyDescent="0.25"/>
    <row r="18738" hidden="1" x14ac:dyDescent="0.25"/>
    <row r="18739" hidden="1" x14ac:dyDescent="0.25"/>
    <row r="18740" hidden="1" x14ac:dyDescent="0.25"/>
    <row r="18741" hidden="1" x14ac:dyDescent="0.25"/>
    <row r="18742" hidden="1" x14ac:dyDescent="0.25"/>
    <row r="18743" hidden="1" x14ac:dyDescent="0.25"/>
    <row r="18744" hidden="1" x14ac:dyDescent="0.25"/>
    <row r="18745" hidden="1" x14ac:dyDescent="0.25"/>
    <row r="18746" hidden="1" x14ac:dyDescent="0.25"/>
    <row r="18747" hidden="1" x14ac:dyDescent="0.25"/>
    <row r="18748" hidden="1" x14ac:dyDescent="0.25"/>
    <row r="18749" hidden="1" x14ac:dyDescent="0.25"/>
    <row r="18750" hidden="1" x14ac:dyDescent="0.25"/>
    <row r="18751" hidden="1" x14ac:dyDescent="0.25"/>
    <row r="18752" hidden="1" x14ac:dyDescent="0.25"/>
    <row r="18753" hidden="1" x14ac:dyDescent="0.25"/>
    <row r="18754" hidden="1" x14ac:dyDescent="0.25"/>
    <row r="18755" hidden="1" x14ac:dyDescent="0.25"/>
    <row r="18756" hidden="1" x14ac:dyDescent="0.25"/>
    <row r="18757" hidden="1" x14ac:dyDescent="0.25"/>
    <row r="18758" hidden="1" x14ac:dyDescent="0.25"/>
    <row r="18759" hidden="1" x14ac:dyDescent="0.25"/>
    <row r="18760" hidden="1" x14ac:dyDescent="0.25"/>
    <row r="18761" hidden="1" x14ac:dyDescent="0.25"/>
    <row r="18762" hidden="1" x14ac:dyDescent="0.25"/>
    <row r="18763" hidden="1" x14ac:dyDescent="0.25"/>
    <row r="18764" hidden="1" x14ac:dyDescent="0.25"/>
    <row r="18765" hidden="1" x14ac:dyDescent="0.25"/>
    <row r="18766" hidden="1" x14ac:dyDescent="0.25"/>
    <row r="18767" hidden="1" x14ac:dyDescent="0.25"/>
    <row r="18768" hidden="1" x14ac:dyDescent="0.25"/>
    <row r="18769" hidden="1" x14ac:dyDescent="0.25"/>
    <row r="18770" hidden="1" x14ac:dyDescent="0.25"/>
    <row r="18771" hidden="1" x14ac:dyDescent="0.25"/>
    <row r="18772" hidden="1" x14ac:dyDescent="0.25"/>
    <row r="18773" hidden="1" x14ac:dyDescent="0.25"/>
    <row r="18774" hidden="1" x14ac:dyDescent="0.25"/>
    <row r="18775" hidden="1" x14ac:dyDescent="0.25"/>
    <row r="18776" hidden="1" x14ac:dyDescent="0.25"/>
    <row r="18777" hidden="1" x14ac:dyDescent="0.25"/>
    <row r="18778" hidden="1" x14ac:dyDescent="0.25"/>
    <row r="18779" hidden="1" x14ac:dyDescent="0.25"/>
    <row r="18780" hidden="1" x14ac:dyDescent="0.25"/>
    <row r="18781" hidden="1" x14ac:dyDescent="0.25"/>
    <row r="18782" hidden="1" x14ac:dyDescent="0.25"/>
    <row r="18783" hidden="1" x14ac:dyDescent="0.25"/>
    <row r="18784" hidden="1" x14ac:dyDescent="0.25"/>
    <row r="18785" hidden="1" x14ac:dyDescent="0.25"/>
    <row r="18786" hidden="1" x14ac:dyDescent="0.25"/>
    <row r="18787" hidden="1" x14ac:dyDescent="0.25"/>
    <row r="18788" hidden="1" x14ac:dyDescent="0.25"/>
    <row r="18789" hidden="1" x14ac:dyDescent="0.25"/>
    <row r="18790" hidden="1" x14ac:dyDescent="0.25"/>
    <row r="18791" hidden="1" x14ac:dyDescent="0.25"/>
    <row r="18792" hidden="1" x14ac:dyDescent="0.25"/>
    <row r="18793" hidden="1" x14ac:dyDescent="0.25"/>
    <row r="18794" hidden="1" x14ac:dyDescent="0.25"/>
    <row r="18795" hidden="1" x14ac:dyDescent="0.25"/>
    <row r="18796" hidden="1" x14ac:dyDescent="0.25"/>
    <row r="18797" hidden="1" x14ac:dyDescent="0.25"/>
    <row r="18798" hidden="1" x14ac:dyDescent="0.25"/>
    <row r="18799" hidden="1" x14ac:dyDescent="0.25"/>
    <row r="18800" hidden="1" x14ac:dyDescent="0.25"/>
    <row r="18801" hidden="1" x14ac:dyDescent="0.25"/>
    <row r="18802" hidden="1" x14ac:dyDescent="0.25"/>
    <row r="18803" hidden="1" x14ac:dyDescent="0.25"/>
    <row r="18804" hidden="1" x14ac:dyDescent="0.25"/>
    <row r="18805" hidden="1" x14ac:dyDescent="0.25"/>
    <row r="18806" hidden="1" x14ac:dyDescent="0.25"/>
    <row r="18807" hidden="1" x14ac:dyDescent="0.25"/>
    <row r="18808" hidden="1" x14ac:dyDescent="0.25"/>
    <row r="18809" hidden="1" x14ac:dyDescent="0.25"/>
    <row r="18810" hidden="1" x14ac:dyDescent="0.25"/>
    <row r="18811" hidden="1" x14ac:dyDescent="0.25"/>
    <row r="18812" hidden="1" x14ac:dyDescent="0.25"/>
    <row r="18813" hidden="1" x14ac:dyDescent="0.25"/>
    <row r="18814" hidden="1" x14ac:dyDescent="0.25"/>
    <row r="18815" hidden="1" x14ac:dyDescent="0.25"/>
    <row r="18816" hidden="1" x14ac:dyDescent="0.25"/>
    <row r="18817" hidden="1" x14ac:dyDescent="0.25"/>
    <row r="18818" hidden="1" x14ac:dyDescent="0.25"/>
    <row r="18819" hidden="1" x14ac:dyDescent="0.25"/>
    <row r="18820" hidden="1" x14ac:dyDescent="0.25"/>
    <row r="18821" hidden="1" x14ac:dyDescent="0.25"/>
    <row r="18822" hidden="1" x14ac:dyDescent="0.25"/>
    <row r="18823" hidden="1" x14ac:dyDescent="0.25"/>
    <row r="18824" hidden="1" x14ac:dyDescent="0.25"/>
    <row r="18825" hidden="1" x14ac:dyDescent="0.25"/>
    <row r="18826" hidden="1" x14ac:dyDescent="0.25"/>
    <row r="18827" hidden="1" x14ac:dyDescent="0.25"/>
    <row r="18828" hidden="1" x14ac:dyDescent="0.25"/>
    <row r="18829" hidden="1" x14ac:dyDescent="0.25"/>
    <row r="18830" hidden="1" x14ac:dyDescent="0.25"/>
    <row r="18831" hidden="1" x14ac:dyDescent="0.25"/>
    <row r="18832" hidden="1" x14ac:dyDescent="0.25"/>
    <row r="18833" hidden="1" x14ac:dyDescent="0.25"/>
    <row r="18834" hidden="1" x14ac:dyDescent="0.25"/>
    <row r="18835" hidden="1" x14ac:dyDescent="0.25"/>
    <row r="18836" hidden="1" x14ac:dyDescent="0.25"/>
    <row r="18837" hidden="1" x14ac:dyDescent="0.25"/>
    <row r="18838" hidden="1" x14ac:dyDescent="0.25"/>
    <row r="18839" hidden="1" x14ac:dyDescent="0.25"/>
    <row r="18840" hidden="1" x14ac:dyDescent="0.25"/>
    <row r="18841" hidden="1" x14ac:dyDescent="0.25"/>
    <row r="18842" hidden="1" x14ac:dyDescent="0.25"/>
    <row r="18843" hidden="1" x14ac:dyDescent="0.25"/>
    <row r="18844" hidden="1" x14ac:dyDescent="0.25"/>
    <row r="18845" hidden="1" x14ac:dyDescent="0.25"/>
    <row r="18846" hidden="1" x14ac:dyDescent="0.25"/>
    <row r="18847" hidden="1" x14ac:dyDescent="0.25"/>
    <row r="18848" hidden="1" x14ac:dyDescent="0.25"/>
    <row r="18849" hidden="1" x14ac:dyDescent="0.25"/>
    <row r="18850" hidden="1" x14ac:dyDescent="0.25"/>
    <row r="18851" hidden="1" x14ac:dyDescent="0.25"/>
    <row r="18852" hidden="1" x14ac:dyDescent="0.25"/>
    <row r="18853" hidden="1" x14ac:dyDescent="0.25"/>
    <row r="18854" hidden="1" x14ac:dyDescent="0.25"/>
    <row r="18855" hidden="1" x14ac:dyDescent="0.25"/>
    <row r="18856" hidden="1" x14ac:dyDescent="0.25"/>
    <row r="18857" hidden="1" x14ac:dyDescent="0.25"/>
    <row r="18858" hidden="1" x14ac:dyDescent="0.25"/>
    <row r="18859" hidden="1" x14ac:dyDescent="0.25"/>
    <row r="18860" hidden="1" x14ac:dyDescent="0.25"/>
    <row r="18861" hidden="1" x14ac:dyDescent="0.25"/>
    <row r="18862" hidden="1" x14ac:dyDescent="0.25"/>
    <row r="18863" hidden="1" x14ac:dyDescent="0.25"/>
    <row r="18864" hidden="1" x14ac:dyDescent="0.25"/>
    <row r="18865" hidden="1" x14ac:dyDescent="0.25"/>
    <row r="18866" hidden="1" x14ac:dyDescent="0.25"/>
    <row r="18867" hidden="1" x14ac:dyDescent="0.25"/>
    <row r="18868" hidden="1" x14ac:dyDescent="0.25"/>
    <row r="18869" hidden="1" x14ac:dyDescent="0.25"/>
    <row r="18870" hidden="1" x14ac:dyDescent="0.25"/>
    <row r="18871" hidden="1" x14ac:dyDescent="0.25"/>
    <row r="18872" hidden="1" x14ac:dyDescent="0.25"/>
    <row r="18873" hidden="1" x14ac:dyDescent="0.25"/>
    <row r="18874" hidden="1" x14ac:dyDescent="0.25"/>
    <row r="18875" hidden="1" x14ac:dyDescent="0.25"/>
    <row r="18876" hidden="1" x14ac:dyDescent="0.25"/>
    <row r="18877" hidden="1" x14ac:dyDescent="0.25"/>
    <row r="18878" hidden="1" x14ac:dyDescent="0.25"/>
    <row r="18879" hidden="1" x14ac:dyDescent="0.25"/>
    <row r="18880" hidden="1" x14ac:dyDescent="0.25"/>
    <row r="18881" hidden="1" x14ac:dyDescent="0.25"/>
    <row r="18882" hidden="1" x14ac:dyDescent="0.25"/>
    <row r="18883" hidden="1" x14ac:dyDescent="0.25"/>
    <row r="18884" hidden="1" x14ac:dyDescent="0.25"/>
    <row r="18885" hidden="1" x14ac:dyDescent="0.25"/>
    <row r="18886" hidden="1" x14ac:dyDescent="0.25"/>
    <row r="18887" hidden="1" x14ac:dyDescent="0.25"/>
    <row r="18888" hidden="1" x14ac:dyDescent="0.25"/>
    <row r="18889" hidden="1" x14ac:dyDescent="0.25"/>
    <row r="18890" hidden="1" x14ac:dyDescent="0.25"/>
    <row r="18891" hidden="1" x14ac:dyDescent="0.25"/>
    <row r="18892" hidden="1" x14ac:dyDescent="0.25"/>
    <row r="18893" hidden="1" x14ac:dyDescent="0.25"/>
    <row r="18894" hidden="1" x14ac:dyDescent="0.25"/>
    <row r="18895" hidden="1" x14ac:dyDescent="0.25"/>
    <row r="18896" hidden="1" x14ac:dyDescent="0.25"/>
    <row r="18897" hidden="1" x14ac:dyDescent="0.25"/>
    <row r="18898" hidden="1" x14ac:dyDescent="0.25"/>
    <row r="18899" hidden="1" x14ac:dyDescent="0.25"/>
    <row r="18900" hidden="1" x14ac:dyDescent="0.25"/>
    <row r="18901" hidden="1" x14ac:dyDescent="0.25"/>
    <row r="18902" hidden="1" x14ac:dyDescent="0.25"/>
    <row r="18903" hidden="1" x14ac:dyDescent="0.25"/>
    <row r="18904" hidden="1" x14ac:dyDescent="0.25"/>
    <row r="18905" hidden="1" x14ac:dyDescent="0.25"/>
    <row r="18906" hidden="1" x14ac:dyDescent="0.25"/>
    <row r="18907" hidden="1" x14ac:dyDescent="0.25"/>
    <row r="18908" hidden="1" x14ac:dyDescent="0.25"/>
    <row r="18909" hidden="1" x14ac:dyDescent="0.25"/>
    <row r="18910" hidden="1" x14ac:dyDescent="0.25"/>
    <row r="18911" hidden="1" x14ac:dyDescent="0.25"/>
    <row r="18912" hidden="1" x14ac:dyDescent="0.25"/>
    <row r="18913" hidden="1" x14ac:dyDescent="0.25"/>
    <row r="18914" hidden="1" x14ac:dyDescent="0.25"/>
    <row r="18915" hidden="1" x14ac:dyDescent="0.25"/>
    <row r="18916" hidden="1" x14ac:dyDescent="0.25"/>
    <row r="18917" hidden="1" x14ac:dyDescent="0.25"/>
    <row r="18918" hidden="1" x14ac:dyDescent="0.25"/>
    <row r="18919" hidden="1" x14ac:dyDescent="0.25"/>
    <row r="18920" hidden="1" x14ac:dyDescent="0.25"/>
    <row r="18921" hidden="1" x14ac:dyDescent="0.25"/>
    <row r="18922" hidden="1" x14ac:dyDescent="0.25"/>
    <row r="18923" hidden="1" x14ac:dyDescent="0.25"/>
    <row r="18924" hidden="1" x14ac:dyDescent="0.25"/>
    <row r="18925" hidden="1" x14ac:dyDescent="0.25"/>
    <row r="18926" hidden="1" x14ac:dyDescent="0.25"/>
    <row r="18927" hidden="1" x14ac:dyDescent="0.25"/>
    <row r="18928" hidden="1" x14ac:dyDescent="0.25"/>
    <row r="18929" hidden="1" x14ac:dyDescent="0.25"/>
    <row r="18930" hidden="1" x14ac:dyDescent="0.25"/>
    <row r="18931" hidden="1" x14ac:dyDescent="0.25"/>
    <row r="18932" hidden="1" x14ac:dyDescent="0.25"/>
    <row r="18933" hidden="1" x14ac:dyDescent="0.25"/>
    <row r="18934" hidden="1" x14ac:dyDescent="0.25"/>
    <row r="18935" hidden="1" x14ac:dyDescent="0.25"/>
    <row r="18936" hidden="1" x14ac:dyDescent="0.25"/>
    <row r="18937" hidden="1" x14ac:dyDescent="0.25"/>
    <row r="18938" hidden="1" x14ac:dyDescent="0.25"/>
    <row r="18939" hidden="1" x14ac:dyDescent="0.25"/>
    <row r="18940" hidden="1" x14ac:dyDescent="0.25"/>
    <row r="18941" hidden="1" x14ac:dyDescent="0.25"/>
    <row r="18942" hidden="1" x14ac:dyDescent="0.25"/>
    <row r="18943" hidden="1" x14ac:dyDescent="0.25"/>
    <row r="18944" hidden="1" x14ac:dyDescent="0.25"/>
    <row r="18945" hidden="1" x14ac:dyDescent="0.25"/>
    <row r="18946" hidden="1" x14ac:dyDescent="0.25"/>
    <row r="18947" hidden="1" x14ac:dyDescent="0.25"/>
    <row r="18948" hidden="1" x14ac:dyDescent="0.25"/>
    <row r="18949" hidden="1" x14ac:dyDescent="0.25"/>
    <row r="18950" hidden="1" x14ac:dyDescent="0.25"/>
    <row r="18951" hidden="1" x14ac:dyDescent="0.25"/>
    <row r="18952" hidden="1" x14ac:dyDescent="0.25"/>
    <row r="18953" hidden="1" x14ac:dyDescent="0.25"/>
    <row r="18954" hidden="1" x14ac:dyDescent="0.25"/>
    <row r="18955" hidden="1" x14ac:dyDescent="0.25"/>
    <row r="18956" hidden="1" x14ac:dyDescent="0.25"/>
    <row r="18957" hidden="1" x14ac:dyDescent="0.25"/>
    <row r="18958" hidden="1" x14ac:dyDescent="0.25"/>
    <row r="18959" hidden="1" x14ac:dyDescent="0.25"/>
    <row r="18960" hidden="1" x14ac:dyDescent="0.25"/>
    <row r="18961" hidden="1" x14ac:dyDescent="0.25"/>
    <row r="18962" hidden="1" x14ac:dyDescent="0.25"/>
    <row r="18963" hidden="1" x14ac:dyDescent="0.25"/>
    <row r="18964" hidden="1" x14ac:dyDescent="0.25"/>
    <row r="18965" hidden="1" x14ac:dyDescent="0.25"/>
    <row r="18966" hidden="1" x14ac:dyDescent="0.25"/>
    <row r="18967" hidden="1" x14ac:dyDescent="0.25"/>
    <row r="18968" hidden="1" x14ac:dyDescent="0.25"/>
    <row r="18969" hidden="1" x14ac:dyDescent="0.25"/>
    <row r="18970" hidden="1" x14ac:dyDescent="0.25"/>
    <row r="18971" hidden="1" x14ac:dyDescent="0.25"/>
    <row r="18972" hidden="1" x14ac:dyDescent="0.25"/>
    <row r="18973" hidden="1" x14ac:dyDescent="0.25"/>
    <row r="18974" hidden="1" x14ac:dyDescent="0.25"/>
    <row r="18975" hidden="1" x14ac:dyDescent="0.25"/>
    <row r="18976" hidden="1" x14ac:dyDescent="0.25"/>
    <row r="18977" hidden="1" x14ac:dyDescent="0.25"/>
    <row r="18978" hidden="1" x14ac:dyDescent="0.25"/>
    <row r="18979" hidden="1" x14ac:dyDescent="0.25"/>
    <row r="18980" hidden="1" x14ac:dyDescent="0.25"/>
    <row r="18981" hidden="1" x14ac:dyDescent="0.25"/>
    <row r="18982" hidden="1" x14ac:dyDescent="0.25"/>
    <row r="18983" hidden="1" x14ac:dyDescent="0.25"/>
    <row r="18984" hidden="1" x14ac:dyDescent="0.25"/>
    <row r="18985" hidden="1" x14ac:dyDescent="0.25"/>
    <row r="18986" hidden="1" x14ac:dyDescent="0.25"/>
    <row r="18987" hidden="1" x14ac:dyDescent="0.25"/>
    <row r="18988" hidden="1" x14ac:dyDescent="0.25"/>
    <row r="18989" hidden="1" x14ac:dyDescent="0.25"/>
    <row r="18990" hidden="1" x14ac:dyDescent="0.25"/>
    <row r="18991" hidden="1" x14ac:dyDescent="0.25"/>
    <row r="18992" hidden="1" x14ac:dyDescent="0.25"/>
    <row r="18993" hidden="1" x14ac:dyDescent="0.25"/>
    <row r="18994" hidden="1" x14ac:dyDescent="0.25"/>
    <row r="18995" hidden="1" x14ac:dyDescent="0.25"/>
    <row r="18996" hidden="1" x14ac:dyDescent="0.25"/>
    <row r="18997" hidden="1" x14ac:dyDescent="0.25"/>
    <row r="18998" hidden="1" x14ac:dyDescent="0.25"/>
    <row r="18999" hidden="1" x14ac:dyDescent="0.25"/>
    <row r="19000" hidden="1" x14ac:dyDescent="0.25"/>
    <row r="19001" hidden="1" x14ac:dyDescent="0.25"/>
    <row r="19002" hidden="1" x14ac:dyDescent="0.25"/>
    <row r="19003" hidden="1" x14ac:dyDescent="0.25"/>
    <row r="19004" hidden="1" x14ac:dyDescent="0.25"/>
    <row r="19005" hidden="1" x14ac:dyDescent="0.25"/>
    <row r="19006" hidden="1" x14ac:dyDescent="0.25"/>
    <row r="19007" hidden="1" x14ac:dyDescent="0.25"/>
    <row r="19008" hidden="1" x14ac:dyDescent="0.25"/>
    <row r="19009" hidden="1" x14ac:dyDescent="0.25"/>
    <row r="19010" hidden="1" x14ac:dyDescent="0.25"/>
    <row r="19011" hidden="1" x14ac:dyDescent="0.25"/>
    <row r="19012" hidden="1" x14ac:dyDescent="0.25"/>
    <row r="19013" hidden="1" x14ac:dyDescent="0.25"/>
    <row r="19014" hidden="1" x14ac:dyDescent="0.25"/>
    <row r="19015" hidden="1" x14ac:dyDescent="0.25"/>
    <row r="19016" hidden="1" x14ac:dyDescent="0.25"/>
    <row r="19017" hidden="1" x14ac:dyDescent="0.25"/>
    <row r="19018" hidden="1" x14ac:dyDescent="0.25"/>
    <row r="19019" hidden="1" x14ac:dyDescent="0.25"/>
    <row r="19020" hidden="1" x14ac:dyDescent="0.25"/>
    <row r="19021" hidden="1" x14ac:dyDescent="0.25"/>
    <row r="19022" hidden="1" x14ac:dyDescent="0.25"/>
    <row r="19023" hidden="1" x14ac:dyDescent="0.25"/>
    <row r="19024" hidden="1" x14ac:dyDescent="0.25"/>
    <row r="19025" hidden="1" x14ac:dyDescent="0.25"/>
    <row r="19026" hidden="1" x14ac:dyDescent="0.25"/>
    <row r="19027" hidden="1" x14ac:dyDescent="0.25"/>
    <row r="19028" hidden="1" x14ac:dyDescent="0.25"/>
    <row r="19029" hidden="1" x14ac:dyDescent="0.25"/>
    <row r="19030" hidden="1" x14ac:dyDescent="0.25"/>
    <row r="19031" hidden="1" x14ac:dyDescent="0.25"/>
    <row r="19032" hidden="1" x14ac:dyDescent="0.25"/>
    <row r="19033" hidden="1" x14ac:dyDescent="0.25"/>
    <row r="19034" hidden="1" x14ac:dyDescent="0.25"/>
    <row r="19035" hidden="1" x14ac:dyDescent="0.25"/>
    <row r="19036" hidden="1" x14ac:dyDescent="0.25"/>
    <row r="19037" hidden="1" x14ac:dyDescent="0.25"/>
    <row r="19038" hidden="1" x14ac:dyDescent="0.25"/>
    <row r="19039" hidden="1" x14ac:dyDescent="0.25"/>
    <row r="19040" hidden="1" x14ac:dyDescent="0.25"/>
    <row r="19041" hidden="1" x14ac:dyDescent="0.25"/>
    <row r="19042" hidden="1" x14ac:dyDescent="0.25"/>
    <row r="19043" hidden="1" x14ac:dyDescent="0.25"/>
    <row r="19044" hidden="1" x14ac:dyDescent="0.25"/>
    <row r="19045" hidden="1" x14ac:dyDescent="0.25"/>
    <row r="19046" hidden="1" x14ac:dyDescent="0.25"/>
    <row r="19047" hidden="1" x14ac:dyDescent="0.25"/>
    <row r="19048" hidden="1" x14ac:dyDescent="0.25"/>
    <row r="19049" hidden="1" x14ac:dyDescent="0.25"/>
    <row r="19050" hidden="1" x14ac:dyDescent="0.25"/>
    <row r="19051" hidden="1" x14ac:dyDescent="0.25"/>
    <row r="19052" hidden="1" x14ac:dyDescent="0.25"/>
    <row r="19053" hidden="1" x14ac:dyDescent="0.25"/>
    <row r="19054" hidden="1" x14ac:dyDescent="0.25"/>
    <row r="19055" hidden="1" x14ac:dyDescent="0.25"/>
    <row r="19056" hidden="1" x14ac:dyDescent="0.25"/>
    <row r="19057" hidden="1" x14ac:dyDescent="0.25"/>
    <row r="19058" hidden="1" x14ac:dyDescent="0.25"/>
    <row r="19059" hidden="1" x14ac:dyDescent="0.25"/>
    <row r="19060" hidden="1" x14ac:dyDescent="0.25"/>
    <row r="19061" hidden="1" x14ac:dyDescent="0.25"/>
    <row r="19062" hidden="1" x14ac:dyDescent="0.25"/>
    <row r="19063" hidden="1" x14ac:dyDescent="0.25"/>
    <row r="19064" hidden="1" x14ac:dyDescent="0.25"/>
    <row r="19065" hidden="1" x14ac:dyDescent="0.25"/>
    <row r="19066" hidden="1" x14ac:dyDescent="0.25"/>
    <row r="19067" hidden="1" x14ac:dyDescent="0.25"/>
    <row r="19068" hidden="1" x14ac:dyDescent="0.25"/>
    <row r="19069" hidden="1" x14ac:dyDescent="0.25"/>
    <row r="19070" hidden="1" x14ac:dyDescent="0.25"/>
    <row r="19071" hidden="1" x14ac:dyDescent="0.25"/>
    <row r="19072" hidden="1" x14ac:dyDescent="0.25"/>
    <row r="19073" hidden="1" x14ac:dyDescent="0.25"/>
    <row r="19074" hidden="1" x14ac:dyDescent="0.25"/>
    <row r="19075" hidden="1" x14ac:dyDescent="0.25"/>
    <row r="19076" hidden="1" x14ac:dyDescent="0.25"/>
    <row r="19077" hidden="1" x14ac:dyDescent="0.25"/>
    <row r="19078" hidden="1" x14ac:dyDescent="0.25"/>
    <row r="19079" hidden="1" x14ac:dyDescent="0.25"/>
    <row r="19080" hidden="1" x14ac:dyDescent="0.25"/>
    <row r="19081" hidden="1" x14ac:dyDescent="0.25"/>
    <row r="19082" hidden="1" x14ac:dyDescent="0.25"/>
    <row r="19083" hidden="1" x14ac:dyDescent="0.25"/>
    <row r="19084" hidden="1" x14ac:dyDescent="0.25"/>
    <row r="19085" hidden="1" x14ac:dyDescent="0.25"/>
    <row r="19086" hidden="1" x14ac:dyDescent="0.25"/>
    <row r="19087" hidden="1" x14ac:dyDescent="0.25"/>
    <row r="19088" hidden="1" x14ac:dyDescent="0.25"/>
    <row r="19089" hidden="1" x14ac:dyDescent="0.25"/>
    <row r="19090" hidden="1" x14ac:dyDescent="0.25"/>
    <row r="19091" hidden="1" x14ac:dyDescent="0.25"/>
    <row r="19092" hidden="1" x14ac:dyDescent="0.25"/>
    <row r="19093" hidden="1" x14ac:dyDescent="0.25"/>
    <row r="19094" hidden="1" x14ac:dyDescent="0.25"/>
    <row r="19095" hidden="1" x14ac:dyDescent="0.25"/>
    <row r="19096" hidden="1" x14ac:dyDescent="0.25"/>
    <row r="19097" hidden="1" x14ac:dyDescent="0.25"/>
    <row r="19098" hidden="1" x14ac:dyDescent="0.25"/>
    <row r="19099" hidden="1" x14ac:dyDescent="0.25"/>
    <row r="19100" hidden="1" x14ac:dyDescent="0.25"/>
    <row r="19101" hidden="1" x14ac:dyDescent="0.25"/>
    <row r="19102" hidden="1" x14ac:dyDescent="0.25"/>
    <row r="19103" hidden="1" x14ac:dyDescent="0.25"/>
    <row r="19104" hidden="1" x14ac:dyDescent="0.25"/>
    <row r="19105" hidden="1" x14ac:dyDescent="0.25"/>
    <row r="19106" hidden="1" x14ac:dyDescent="0.25"/>
    <row r="19107" hidden="1" x14ac:dyDescent="0.25"/>
    <row r="19108" hidden="1" x14ac:dyDescent="0.25"/>
    <row r="19109" hidden="1" x14ac:dyDescent="0.25"/>
    <row r="19110" hidden="1" x14ac:dyDescent="0.25"/>
    <row r="19111" hidden="1" x14ac:dyDescent="0.25"/>
    <row r="19112" hidden="1" x14ac:dyDescent="0.25"/>
    <row r="19113" hidden="1" x14ac:dyDescent="0.25"/>
    <row r="19114" hidden="1" x14ac:dyDescent="0.25"/>
    <row r="19115" hidden="1" x14ac:dyDescent="0.25"/>
    <row r="19116" hidden="1" x14ac:dyDescent="0.25"/>
    <row r="19117" hidden="1" x14ac:dyDescent="0.25"/>
    <row r="19118" hidden="1" x14ac:dyDescent="0.25"/>
    <row r="19119" hidden="1" x14ac:dyDescent="0.25"/>
    <row r="19120" hidden="1" x14ac:dyDescent="0.25"/>
    <row r="19121" hidden="1" x14ac:dyDescent="0.25"/>
    <row r="19122" hidden="1" x14ac:dyDescent="0.25"/>
    <row r="19123" hidden="1" x14ac:dyDescent="0.25"/>
    <row r="19124" hidden="1" x14ac:dyDescent="0.25"/>
    <row r="19125" hidden="1" x14ac:dyDescent="0.25"/>
    <row r="19126" hidden="1" x14ac:dyDescent="0.25"/>
    <row r="19127" hidden="1" x14ac:dyDescent="0.25"/>
    <row r="19128" hidden="1" x14ac:dyDescent="0.25"/>
    <row r="19129" hidden="1" x14ac:dyDescent="0.25"/>
    <row r="19130" hidden="1" x14ac:dyDescent="0.25"/>
    <row r="19131" hidden="1" x14ac:dyDescent="0.25"/>
    <row r="19132" hidden="1" x14ac:dyDescent="0.25"/>
    <row r="19133" hidden="1" x14ac:dyDescent="0.25"/>
    <row r="19134" hidden="1" x14ac:dyDescent="0.25"/>
    <row r="19135" hidden="1" x14ac:dyDescent="0.25"/>
    <row r="19136" hidden="1" x14ac:dyDescent="0.25"/>
    <row r="19137" hidden="1" x14ac:dyDescent="0.25"/>
    <row r="19138" hidden="1" x14ac:dyDescent="0.25"/>
    <row r="19139" hidden="1" x14ac:dyDescent="0.25"/>
    <row r="19140" hidden="1" x14ac:dyDescent="0.25"/>
    <row r="19141" hidden="1" x14ac:dyDescent="0.25"/>
    <row r="19142" hidden="1" x14ac:dyDescent="0.25"/>
    <row r="19143" hidden="1" x14ac:dyDescent="0.25"/>
    <row r="19144" hidden="1" x14ac:dyDescent="0.25"/>
    <row r="19145" hidden="1" x14ac:dyDescent="0.25"/>
    <row r="19146" hidden="1" x14ac:dyDescent="0.25"/>
    <row r="19147" hidden="1" x14ac:dyDescent="0.25"/>
    <row r="19148" hidden="1" x14ac:dyDescent="0.25"/>
    <row r="19149" hidden="1" x14ac:dyDescent="0.25"/>
    <row r="19150" hidden="1" x14ac:dyDescent="0.25"/>
    <row r="19151" hidden="1" x14ac:dyDescent="0.25"/>
    <row r="19152" hidden="1" x14ac:dyDescent="0.25"/>
    <row r="19153" hidden="1" x14ac:dyDescent="0.25"/>
    <row r="19154" hidden="1" x14ac:dyDescent="0.25"/>
    <row r="19155" hidden="1" x14ac:dyDescent="0.25"/>
    <row r="19156" hidden="1" x14ac:dyDescent="0.25"/>
    <row r="19157" hidden="1" x14ac:dyDescent="0.25"/>
    <row r="19158" hidden="1" x14ac:dyDescent="0.25"/>
    <row r="19159" hidden="1" x14ac:dyDescent="0.25"/>
    <row r="19160" hidden="1" x14ac:dyDescent="0.25"/>
    <row r="19161" hidden="1" x14ac:dyDescent="0.25"/>
    <row r="19162" hidden="1" x14ac:dyDescent="0.25"/>
    <row r="19163" hidden="1" x14ac:dyDescent="0.25"/>
    <row r="19164" hidden="1" x14ac:dyDescent="0.25"/>
    <row r="19165" hidden="1" x14ac:dyDescent="0.25"/>
    <row r="19166" hidden="1" x14ac:dyDescent="0.25"/>
    <row r="19167" hidden="1" x14ac:dyDescent="0.25"/>
    <row r="19168" hidden="1" x14ac:dyDescent="0.25"/>
    <row r="19169" hidden="1" x14ac:dyDescent="0.25"/>
    <row r="19170" hidden="1" x14ac:dyDescent="0.25"/>
    <row r="19171" hidden="1" x14ac:dyDescent="0.25"/>
    <row r="19172" hidden="1" x14ac:dyDescent="0.25"/>
    <row r="19173" hidden="1" x14ac:dyDescent="0.25"/>
    <row r="19174" hidden="1" x14ac:dyDescent="0.25"/>
    <row r="19175" hidden="1" x14ac:dyDescent="0.25"/>
    <row r="19176" hidden="1" x14ac:dyDescent="0.25"/>
    <row r="19177" hidden="1" x14ac:dyDescent="0.25"/>
    <row r="19178" hidden="1" x14ac:dyDescent="0.25"/>
    <row r="19179" hidden="1" x14ac:dyDescent="0.25"/>
    <row r="19180" hidden="1" x14ac:dyDescent="0.25"/>
    <row r="19181" hidden="1" x14ac:dyDescent="0.25"/>
    <row r="19182" hidden="1" x14ac:dyDescent="0.25"/>
    <row r="19183" hidden="1" x14ac:dyDescent="0.25"/>
    <row r="19184" hidden="1" x14ac:dyDescent="0.25"/>
    <row r="19185" hidden="1" x14ac:dyDescent="0.25"/>
    <row r="19186" hidden="1" x14ac:dyDescent="0.25"/>
    <row r="19187" hidden="1" x14ac:dyDescent="0.25"/>
    <row r="19188" hidden="1" x14ac:dyDescent="0.25"/>
    <row r="19189" hidden="1" x14ac:dyDescent="0.25"/>
    <row r="19190" hidden="1" x14ac:dyDescent="0.25"/>
    <row r="19191" hidden="1" x14ac:dyDescent="0.25"/>
    <row r="19192" hidden="1" x14ac:dyDescent="0.25"/>
    <row r="19193" hidden="1" x14ac:dyDescent="0.25"/>
    <row r="19194" hidden="1" x14ac:dyDescent="0.25"/>
    <row r="19195" hidden="1" x14ac:dyDescent="0.25"/>
    <row r="19196" hidden="1" x14ac:dyDescent="0.25"/>
    <row r="19197" hidden="1" x14ac:dyDescent="0.25"/>
    <row r="19198" hidden="1" x14ac:dyDescent="0.25"/>
    <row r="19199" hidden="1" x14ac:dyDescent="0.25"/>
    <row r="19200" hidden="1" x14ac:dyDescent="0.25"/>
    <row r="19201" hidden="1" x14ac:dyDescent="0.25"/>
    <row r="19202" hidden="1" x14ac:dyDescent="0.25"/>
    <row r="19203" hidden="1" x14ac:dyDescent="0.25"/>
    <row r="19204" hidden="1" x14ac:dyDescent="0.25"/>
    <row r="19205" hidden="1" x14ac:dyDescent="0.25"/>
    <row r="19206" hidden="1" x14ac:dyDescent="0.25"/>
    <row r="19207" hidden="1" x14ac:dyDescent="0.25"/>
    <row r="19208" hidden="1" x14ac:dyDescent="0.25"/>
    <row r="19209" hidden="1" x14ac:dyDescent="0.25"/>
    <row r="19210" hidden="1" x14ac:dyDescent="0.25"/>
    <row r="19211" hidden="1" x14ac:dyDescent="0.25"/>
    <row r="19212" hidden="1" x14ac:dyDescent="0.25"/>
    <row r="19213" hidden="1" x14ac:dyDescent="0.25"/>
    <row r="19214" hidden="1" x14ac:dyDescent="0.25"/>
    <row r="19215" hidden="1" x14ac:dyDescent="0.25"/>
    <row r="19216" hidden="1" x14ac:dyDescent="0.25"/>
    <row r="19217" hidden="1" x14ac:dyDescent="0.25"/>
    <row r="19218" hidden="1" x14ac:dyDescent="0.25"/>
    <row r="19219" hidden="1" x14ac:dyDescent="0.25"/>
    <row r="19220" hidden="1" x14ac:dyDescent="0.25"/>
    <row r="19221" hidden="1" x14ac:dyDescent="0.25"/>
    <row r="19222" hidden="1" x14ac:dyDescent="0.25"/>
    <row r="19223" hidden="1" x14ac:dyDescent="0.25"/>
    <row r="19224" hidden="1" x14ac:dyDescent="0.25"/>
    <row r="19225" hidden="1" x14ac:dyDescent="0.25"/>
    <row r="19226" hidden="1" x14ac:dyDescent="0.25"/>
    <row r="19227" hidden="1" x14ac:dyDescent="0.25"/>
    <row r="19228" hidden="1" x14ac:dyDescent="0.25"/>
    <row r="19229" hidden="1" x14ac:dyDescent="0.25"/>
    <row r="19230" hidden="1" x14ac:dyDescent="0.25"/>
    <row r="19231" hidden="1" x14ac:dyDescent="0.25"/>
    <row r="19232" hidden="1" x14ac:dyDescent="0.25"/>
    <row r="19233" hidden="1" x14ac:dyDescent="0.25"/>
    <row r="19234" hidden="1" x14ac:dyDescent="0.25"/>
    <row r="19235" hidden="1" x14ac:dyDescent="0.25"/>
    <row r="19236" hidden="1" x14ac:dyDescent="0.25"/>
    <row r="19237" hidden="1" x14ac:dyDescent="0.25"/>
    <row r="19238" hidden="1" x14ac:dyDescent="0.25"/>
    <row r="19239" hidden="1" x14ac:dyDescent="0.25"/>
    <row r="19240" hidden="1" x14ac:dyDescent="0.25"/>
    <row r="19241" hidden="1" x14ac:dyDescent="0.25"/>
    <row r="19242" hidden="1" x14ac:dyDescent="0.25"/>
    <row r="19243" hidden="1" x14ac:dyDescent="0.25"/>
    <row r="19244" hidden="1" x14ac:dyDescent="0.25"/>
    <row r="19245" hidden="1" x14ac:dyDescent="0.25"/>
    <row r="19246" hidden="1" x14ac:dyDescent="0.25"/>
    <row r="19247" hidden="1" x14ac:dyDescent="0.25"/>
    <row r="19248" hidden="1" x14ac:dyDescent="0.25"/>
    <row r="19249" hidden="1" x14ac:dyDescent="0.25"/>
    <row r="19250" hidden="1" x14ac:dyDescent="0.25"/>
    <row r="19251" hidden="1" x14ac:dyDescent="0.25"/>
    <row r="19252" hidden="1" x14ac:dyDescent="0.25"/>
    <row r="19253" hidden="1" x14ac:dyDescent="0.25"/>
    <row r="19254" hidden="1" x14ac:dyDescent="0.25"/>
    <row r="19255" hidden="1" x14ac:dyDescent="0.25"/>
    <row r="19256" hidden="1" x14ac:dyDescent="0.25"/>
    <row r="19257" hidden="1" x14ac:dyDescent="0.25"/>
    <row r="19258" hidden="1" x14ac:dyDescent="0.25"/>
    <row r="19259" hidden="1" x14ac:dyDescent="0.25"/>
    <row r="19260" hidden="1" x14ac:dyDescent="0.25"/>
    <row r="19261" hidden="1" x14ac:dyDescent="0.25"/>
    <row r="19262" hidden="1" x14ac:dyDescent="0.25"/>
    <row r="19263" hidden="1" x14ac:dyDescent="0.25"/>
    <row r="19264" hidden="1" x14ac:dyDescent="0.25"/>
    <row r="19265" hidden="1" x14ac:dyDescent="0.25"/>
    <row r="19266" hidden="1" x14ac:dyDescent="0.25"/>
    <row r="19267" hidden="1" x14ac:dyDescent="0.25"/>
    <row r="19268" hidden="1" x14ac:dyDescent="0.25"/>
    <row r="19269" hidden="1" x14ac:dyDescent="0.25"/>
    <row r="19270" hidden="1" x14ac:dyDescent="0.25"/>
    <row r="19271" hidden="1" x14ac:dyDescent="0.25"/>
    <row r="19272" hidden="1" x14ac:dyDescent="0.25"/>
    <row r="19273" hidden="1" x14ac:dyDescent="0.25"/>
    <row r="19274" hidden="1" x14ac:dyDescent="0.25"/>
    <row r="19275" hidden="1" x14ac:dyDescent="0.25"/>
    <row r="19276" hidden="1" x14ac:dyDescent="0.25"/>
    <row r="19277" hidden="1" x14ac:dyDescent="0.25"/>
    <row r="19278" hidden="1" x14ac:dyDescent="0.25"/>
    <row r="19279" hidden="1" x14ac:dyDescent="0.25"/>
    <row r="19280" hidden="1" x14ac:dyDescent="0.25"/>
    <row r="19281" hidden="1" x14ac:dyDescent="0.25"/>
    <row r="19282" hidden="1" x14ac:dyDescent="0.25"/>
    <row r="19283" hidden="1" x14ac:dyDescent="0.25"/>
    <row r="19284" hidden="1" x14ac:dyDescent="0.25"/>
    <row r="19285" hidden="1" x14ac:dyDescent="0.25"/>
    <row r="19286" hidden="1" x14ac:dyDescent="0.25"/>
    <row r="19287" hidden="1" x14ac:dyDescent="0.25"/>
    <row r="19288" hidden="1" x14ac:dyDescent="0.25"/>
    <row r="19289" hidden="1" x14ac:dyDescent="0.25"/>
    <row r="19290" hidden="1" x14ac:dyDescent="0.25"/>
    <row r="19291" hidden="1" x14ac:dyDescent="0.25"/>
    <row r="19292" hidden="1" x14ac:dyDescent="0.25"/>
    <row r="19293" hidden="1" x14ac:dyDescent="0.25"/>
    <row r="19294" hidden="1" x14ac:dyDescent="0.25"/>
    <row r="19295" hidden="1" x14ac:dyDescent="0.25"/>
    <row r="19296" hidden="1" x14ac:dyDescent="0.25"/>
    <row r="19297" hidden="1" x14ac:dyDescent="0.25"/>
    <row r="19298" hidden="1" x14ac:dyDescent="0.25"/>
    <row r="19299" hidden="1" x14ac:dyDescent="0.25"/>
    <row r="19300" hidden="1" x14ac:dyDescent="0.25"/>
    <row r="19301" hidden="1" x14ac:dyDescent="0.25"/>
    <row r="19302" hidden="1" x14ac:dyDescent="0.25"/>
    <row r="19303" hidden="1" x14ac:dyDescent="0.25"/>
    <row r="19304" hidden="1" x14ac:dyDescent="0.25"/>
    <row r="19305" hidden="1" x14ac:dyDescent="0.25"/>
    <row r="19306" hidden="1" x14ac:dyDescent="0.25"/>
    <row r="19307" hidden="1" x14ac:dyDescent="0.25"/>
    <row r="19308" hidden="1" x14ac:dyDescent="0.25"/>
    <row r="19309" hidden="1" x14ac:dyDescent="0.25"/>
    <row r="19310" hidden="1" x14ac:dyDescent="0.25"/>
    <row r="19311" hidden="1" x14ac:dyDescent="0.25"/>
    <row r="19312" hidden="1" x14ac:dyDescent="0.25"/>
    <row r="19313" hidden="1" x14ac:dyDescent="0.25"/>
    <row r="19314" hidden="1" x14ac:dyDescent="0.25"/>
    <row r="19315" hidden="1" x14ac:dyDescent="0.25"/>
    <row r="19316" hidden="1" x14ac:dyDescent="0.25"/>
    <row r="19317" hidden="1" x14ac:dyDescent="0.25"/>
    <row r="19318" hidden="1" x14ac:dyDescent="0.25"/>
    <row r="19319" hidden="1" x14ac:dyDescent="0.25"/>
    <row r="19320" hidden="1" x14ac:dyDescent="0.25"/>
    <row r="19321" hidden="1" x14ac:dyDescent="0.25"/>
    <row r="19322" hidden="1" x14ac:dyDescent="0.25"/>
    <row r="19323" hidden="1" x14ac:dyDescent="0.25"/>
    <row r="19324" hidden="1" x14ac:dyDescent="0.25"/>
    <row r="19325" hidden="1" x14ac:dyDescent="0.25"/>
    <row r="19326" hidden="1" x14ac:dyDescent="0.25"/>
    <row r="19327" hidden="1" x14ac:dyDescent="0.25"/>
    <row r="19328" hidden="1" x14ac:dyDescent="0.25"/>
    <row r="19329" hidden="1" x14ac:dyDescent="0.25"/>
    <row r="19330" hidden="1" x14ac:dyDescent="0.25"/>
    <row r="19331" hidden="1" x14ac:dyDescent="0.25"/>
    <row r="19332" hidden="1" x14ac:dyDescent="0.25"/>
    <row r="19333" hidden="1" x14ac:dyDescent="0.25"/>
    <row r="19334" hidden="1" x14ac:dyDescent="0.25"/>
    <row r="19335" hidden="1" x14ac:dyDescent="0.25"/>
    <row r="19336" hidden="1" x14ac:dyDescent="0.25"/>
    <row r="19337" hidden="1" x14ac:dyDescent="0.25"/>
    <row r="19338" hidden="1" x14ac:dyDescent="0.25"/>
    <row r="19339" hidden="1" x14ac:dyDescent="0.25"/>
    <row r="19340" hidden="1" x14ac:dyDescent="0.25"/>
    <row r="19341" hidden="1" x14ac:dyDescent="0.25"/>
    <row r="19342" hidden="1" x14ac:dyDescent="0.25"/>
    <row r="19343" hidden="1" x14ac:dyDescent="0.25"/>
    <row r="19344" hidden="1" x14ac:dyDescent="0.25"/>
    <row r="19345" hidden="1" x14ac:dyDescent="0.25"/>
    <row r="19346" hidden="1" x14ac:dyDescent="0.25"/>
    <row r="19347" hidden="1" x14ac:dyDescent="0.25"/>
    <row r="19348" hidden="1" x14ac:dyDescent="0.25"/>
    <row r="19349" hidden="1" x14ac:dyDescent="0.25"/>
    <row r="19350" hidden="1" x14ac:dyDescent="0.25"/>
    <row r="19351" hidden="1" x14ac:dyDescent="0.25"/>
    <row r="19352" hidden="1" x14ac:dyDescent="0.25"/>
    <row r="19353" hidden="1" x14ac:dyDescent="0.25"/>
    <row r="19354" hidden="1" x14ac:dyDescent="0.25"/>
    <row r="19355" hidden="1" x14ac:dyDescent="0.25"/>
    <row r="19356" hidden="1" x14ac:dyDescent="0.25"/>
    <row r="19357" hidden="1" x14ac:dyDescent="0.25"/>
    <row r="19358" hidden="1" x14ac:dyDescent="0.25"/>
    <row r="19359" hidden="1" x14ac:dyDescent="0.25"/>
    <row r="19360" hidden="1" x14ac:dyDescent="0.25"/>
    <row r="19361" hidden="1" x14ac:dyDescent="0.25"/>
    <row r="19362" hidden="1" x14ac:dyDescent="0.25"/>
    <row r="19363" hidden="1" x14ac:dyDescent="0.25"/>
    <row r="19364" hidden="1" x14ac:dyDescent="0.25"/>
    <row r="19365" hidden="1" x14ac:dyDescent="0.25"/>
    <row r="19366" hidden="1" x14ac:dyDescent="0.25"/>
    <row r="19367" hidden="1" x14ac:dyDescent="0.25"/>
    <row r="19368" hidden="1" x14ac:dyDescent="0.25"/>
    <row r="19369" hidden="1" x14ac:dyDescent="0.25"/>
    <row r="19370" hidden="1" x14ac:dyDescent="0.25"/>
    <row r="19371" hidden="1" x14ac:dyDescent="0.25"/>
    <row r="19372" hidden="1" x14ac:dyDescent="0.25"/>
    <row r="19373" hidden="1" x14ac:dyDescent="0.25"/>
    <row r="19374" hidden="1" x14ac:dyDescent="0.25"/>
    <row r="19375" hidden="1" x14ac:dyDescent="0.25"/>
    <row r="19376" hidden="1" x14ac:dyDescent="0.25"/>
    <row r="19377" hidden="1" x14ac:dyDescent="0.25"/>
    <row r="19378" hidden="1" x14ac:dyDescent="0.25"/>
    <row r="19379" hidden="1" x14ac:dyDescent="0.25"/>
    <row r="19380" hidden="1" x14ac:dyDescent="0.25"/>
    <row r="19381" hidden="1" x14ac:dyDescent="0.25"/>
    <row r="19382" hidden="1" x14ac:dyDescent="0.25"/>
    <row r="19383" hidden="1" x14ac:dyDescent="0.25"/>
    <row r="19384" hidden="1" x14ac:dyDescent="0.25"/>
    <row r="19385" hidden="1" x14ac:dyDescent="0.25"/>
    <row r="19386" hidden="1" x14ac:dyDescent="0.25"/>
    <row r="19387" hidden="1" x14ac:dyDescent="0.25"/>
    <row r="19388" hidden="1" x14ac:dyDescent="0.25"/>
    <row r="19389" hidden="1" x14ac:dyDescent="0.25"/>
    <row r="19390" hidden="1" x14ac:dyDescent="0.25"/>
    <row r="19391" hidden="1" x14ac:dyDescent="0.25"/>
    <row r="19392" hidden="1" x14ac:dyDescent="0.25"/>
    <row r="19393" hidden="1" x14ac:dyDescent="0.25"/>
    <row r="19394" hidden="1" x14ac:dyDescent="0.25"/>
    <row r="19395" hidden="1" x14ac:dyDescent="0.25"/>
    <row r="19396" hidden="1" x14ac:dyDescent="0.25"/>
    <row r="19397" hidden="1" x14ac:dyDescent="0.25"/>
    <row r="19398" hidden="1" x14ac:dyDescent="0.25"/>
    <row r="19399" hidden="1" x14ac:dyDescent="0.25"/>
    <row r="19400" hidden="1" x14ac:dyDescent="0.25"/>
    <row r="19401" hidden="1" x14ac:dyDescent="0.25"/>
    <row r="19402" hidden="1" x14ac:dyDescent="0.25"/>
    <row r="19403" hidden="1" x14ac:dyDescent="0.25"/>
    <row r="19404" hidden="1" x14ac:dyDescent="0.25"/>
    <row r="19405" hidden="1" x14ac:dyDescent="0.25"/>
    <row r="19406" hidden="1" x14ac:dyDescent="0.25"/>
    <row r="19407" hidden="1" x14ac:dyDescent="0.25"/>
    <row r="19408" hidden="1" x14ac:dyDescent="0.25"/>
    <row r="19409" hidden="1" x14ac:dyDescent="0.25"/>
    <row r="19410" hidden="1" x14ac:dyDescent="0.25"/>
    <row r="19411" hidden="1" x14ac:dyDescent="0.25"/>
    <row r="19412" hidden="1" x14ac:dyDescent="0.25"/>
    <row r="19413" hidden="1" x14ac:dyDescent="0.25"/>
    <row r="19414" hidden="1" x14ac:dyDescent="0.25"/>
    <row r="19415" hidden="1" x14ac:dyDescent="0.25"/>
    <row r="19416" hidden="1" x14ac:dyDescent="0.25"/>
    <row r="19417" hidden="1" x14ac:dyDescent="0.25"/>
    <row r="19418" hidden="1" x14ac:dyDescent="0.25"/>
    <row r="19419" hidden="1" x14ac:dyDescent="0.25"/>
    <row r="19420" hidden="1" x14ac:dyDescent="0.25"/>
    <row r="19421" hidden="1" x14ac:dyDescent="0.25"/>
    <row r="19422" hidden="1" x14ac:dyDescent="0.25"/>
    <row r="19423" hidden="1" x14ac:dyDescent="0.25"/>
    <row r="19424" hidden="1" x14ac:dyDescent="0.25"/>
    <row r="19425" hidden="1" x14ac:dyDescent="0.25"/>
    <row r="19426" hidden="1" x14ac:dyDescent="0.25"/>
    <row r="19427" hidden="1" x14ac:dyDescent="0.25"/>
    <row r="19428" hidden="1" x14ac:dyDescent="0.25"/>
    <row r="19429" hidden="1" x14ac:dyDescent="0.25"/>
    <row r="19430" hidden="1" x14ac:dyDescent="0.25"/>
    <row r="19431" hidden="1" x14ac:dyDescent="0.25"/>
    <row r="19432" hidden="1" x14ac:dyDescent="0.25"/>
    <row r="19433" hidden="1" x14ac:dyDescent="0.25"/>
    <row r="19434" hidden="1" x14ac:dyDescent="0.25"/>
    <row r="19435" hidden="1" x14ac:dyDescent="0.25"/>
    <row r="19436" hidden="1" x14ac:dyDescent="0.25"/>
    <row r="19437" hidden="1" x14ac:dyDescent="0.25"/>
    <row r="19438" hidden="1" x14ac:dyDescent="0.25"/>
    <row r="19439" hidden="1" x14ac:dyDescent="0.25"/>
    <row r="19440" hidden="1" x14ac:dyDescent="0.25"/>
    <row r="19441" hidden="1" x14ac:dyDescent="0.25"/>
    <row r="19442" hidden="1" x14ac:dyDescent="0.25"/>
    <row r="19443" hidden="1" x14ac:dyDescent="0.25"/>
    <row r="19444" hidden="1" x14ac:dyDescent="0.25"/>
    <row r="19445" hidden="1" x14ac:dyDescent="0.25"/>
    <row r="19446" hidden="1" x14ac:dyDescent="0.25"/>
    <row r="19447" hidden="1" x14ac:dyDescent="0.25"/>
    <row r="19448" hidden="1" x14ac:dyDescent="0.25"/>
    <row r="19449" hidden="1" x14ac:dyDescent="0.25"/>
    <row r="19450" hidden="1" x14ac:dyDescent="0.25"/>
    <row r="19451" hidden="1" x14ac:dyDescent="0.25"/>
    <row r="19452" hidden="1" x14ac:dyDescent="0.25"/>
    <row r="19453" hidden="1" x14ac:dyDescent="0.25"/>
    <row r="19454" hidden="1" x14ac:dyDescent="0.25"/>
    <row r="19455" hidden="1" x14ac:dyDescent="0.25"/>
    <row r="19456" hidden="1" x14ac:dyDescent="0.25"/>
    <row r="19457" hidden="1" x14ac:dyDescent="0.25"/>
    <row r="19458" hidden="1" x14ac:dyDescent="0.25"/>
    <row r="19459" hidden="1" x14ac:dyDescent="0.25"/>
    <row r="19460" hidden="1" x14ac:dyDescent="0.25"/>
    <row r="19461" hidden="1" x14ac:dyDescent="0.25"/>
    <row r="19462" hidden="1" x14ac:dyDescent="0.25"/>
    <row r="19463" hidden="1" x14ac:dyDescent="0.25"/>
    <row r="19464" hidden="1" x14ac:dyDescent="0.25"/>
    <row r="19465" hidden="1" x14ac:dyDescent="0.25"/>
    <row r="19466" hidden="1" x14ac:dyDescent="0.25"/>
    <row r="19467" hidden="1" x14ac:dyDescent="0.25"/>
    <row r="19468" hidden="1" x14ac:dyDescent="0.25"/>
    <row r="19469" hidden="1" x14ac:dyDescent="0.25"/>
    <row r="19470" hidden="1" x14ac:dyDescent="0.25"/>
    <row r="19471" hidden="1" x14ac:dyDescent="0.25"/>
    <row r="19472" hidden="1" x14ac:dyDescent="0.25"/>
    <row r="19473" hidden="1" x14ac:dyDescent="0.25"/>
    <row r="19474" hidden="1" x14ac:dyDescent="0.25"/>
    <row r="19475" hidden="1" x14ac:dyDescent="0.25"/>
    <row r="19476" hidden="1" x14ac:dyDescent="0.25"/>
    <row r="19477" hidden="1" x14ac:dyDescent="0.25"/>
    <row r="19478" hidden="1" x14ac:dyDescent="0.25"/>
    <row r="19479" hidden="1" x14ac:dyDescent="0.25"/>
    <row r="19480" hidden="1" x14ac:dyDescent="0.25"/>
    <row r="19481" hidden="1" x14ac:dyDescent="0.25"/>
    <row r="19482" hidden="1" x14ac:dyDescent="0.25"/>
    <row r="19483" hidden="1" x14ac:dyDescent="0.25"/>
    <row r="19484" hidden="1" x14ac:dyDescent="0.25"/>
    <row r="19485" hidden="1" x14ac:dyDescent="0.25"/>
    <row r="19486" hidden="1" x14ac:dyDescent="0.25"/>
    <row r="19487" hidden="1" x14ac:dyDescent="0.25"/>
    <row r="19488" hidden="1" x14ac:dyDescent="0.25"/>
    <row r="19489" hidden="1" x14ac:dyDescent="0.25"/>
    <row r="19490" hidden="1" x14ac:dyDescent="0.25"/>
    <row r="19491" hidden="1" x14ac:dyDescent="0.25"/>
    <row r="19492" hidden="1" x14ac:dyDescent="0.25"/>
    <row r="19493" hidden="1" x14ac:dyDescent="0.25"/>
    <row r="19494" hidden="1" x14ac:dyDescent="0.25"/>
    <row r="19495" hidden="1" x14ac:dyDescent="0.25"/>
    <row r="19496" hidden="1" x14ac:dyDescent="0.25"/>
    <row r="19497" hidden="1" x14ac:dyDescent="0.25"/>
    <row r="19498" hidden="1" x14ac:dyDescent="0.25"/>
    <row r="19499" hidden="1" x14ac:dyDescent="0.25"/>
    <row r="19500" hidden="1" x14ac:dyDescent="0.25"/>
    <row r="19501" hidden="1" x14ac:dyDescent="0.25"/>
    <row r="19502" hidden="1" x14ac:dyDescent="0.25"/>
    <row r="19503" hidden="1" x14ac:dyDescent="0.25"/>
    <row r="19504" hidden="1" x14ac:dyDescent="0.25"/>
    <row r="19505" hidden="1" x14ac:dyDescent="0.25"/>
    <row r="19506" hidden="1" x14ac:dyDescent="0.25"/>
    <row r="19507" hidden="1" x14ac:dyDescent="0.25"/>
    <row r="19508" hidden="1" x14ac:dyDescent="0.25"/>
    <row r="19509" hidden="1" x14ac:dyDescent="0.25"/>
    <row r="19510" hidden="1" x14ac:dyDescent="0.25"/>
    <row r="19511" hidden="1" x14ac:dyDescent="0.25"/>
    <row r="19512" hidden="1" x14ac:dyDescent="0.25"/>
    <row r="19513" hidden="1" x14ac:dyDescent="0.25"/>
    <row r="19514" hidden="1" x14ac:dyDescent="0.25"/>
    <row r="19515" hidden="1" x14ac:dyDescent="0.25"/>
    <row r="19516" hidden="1" x14ac:dyDescent="0.25"/>
    <row r="19517" hidden="1" x14ac:dyDescent="0.25"/>
    <row r="19518" hidden="1" x14ac:dyDescent="0.25"/>
    <row r="19519" hidden="1" x14ac:dyDescent="0.25"/>
    <row r="19520" hidden="1" x14ac:dyDescent="0.25"/>
    <row r="19521" hidden="1" x14ac:dyDescent="0.25"/>
    <row r="19522" hidden="1" x14ac:dyDescent="0.25"/>
    <row r="19523" hidden="1" x14ac:dyDescent="0.25"/>
    <row r="19524" hidden="1" x14ac:dyDescent="0.25"/>
    <row r="19525" hidden="1" x14ac:dyDescent="0.25"/>
    <row r="19526" hidden="1" x14ac:dyDescent="0.25"/>
    <row r="19527" hidden="1" x14ac:dyDescent="0.25"/>
    <row r="19528" hidden="1" x14ac:dyDescent="0.25"/>
    <row r="19529" hidden="1" x14ac:dyDescent="0.25"/>
    <row r="19530" hidden="1" x14ac:dyDescent="0.25"/>
    <row r="19531" hidden="1" x14ac:dyDescent="0.25"/>
    <row r="19532" hidden="1" x14ac:dyDescent="0.25"/>
    <row r="19533" hidden="1" x14ac:dyDescent="0.25"/>
    <row r="19534" hidden="1" x14ac:dyDescent="0.25"/>
    <row r="19535" hidden="1" x14ac:dyDescent="0.25"/>
    <row r="19536" hidden="1" x14ac:dyDescent="0.25"/>
    <row r="19537" hidden="1" x14ac:dyDescent="0.25"/>
    <row r="19538" hidden="1" x14ac:dyDescent="0.25"/>
    <row r="19539" hidden="1" x14ac:dyDescent="0.25"/>
    <row r="19540" hidden="1" x14ac:dyDescent="0.25"/>
    <row r="19541" hidden="1" x14ac:dyDescent="0.25"/>
    <row r="19542" hidden="1" x14ac:dyDescent="0.25"/>
    <row r="19543" hidden="1" x14ac:dyDescent="0.25"/>
    <row r="19544" hidden="1" x14ac:dyDescent="0.25"/>
    <row r="19545" hidden="1" x14ac:dyDescent="0.25"/>
    <row r="19546" hidden="1" x14ac:dyDescent="0.25"/>
    <row r="19547" hidden="1" x14ac:dyDescent="0.25"/>
    <row r="19548" hidden="1" x14ac:dyDescent="0.25"/>
    <row r="19549" hidden="1" x14ac:dyDescent="0.25"/>
    <row r="19550" hidden="1" x14ac:dyDescent="0.25"/>
    <row r="19551" hidden="1" x14ac:dyDescent="0.25"/>
    <row r="19552" hidden="1" x14ac:dyDescent="0.25"/>
    <row r="19553" hidden="1" x14ac:dyDescent="0.25"/>
    <row r="19554" hidden="1" x14ac:dyDescent="0.25"/>
    <row r="19555" hidden="1" x14ac:dyDescent="0.25"/>
    <row r="19556" hidden="1" x14ac:dyDescent="0.25"/>
    <row r="19557" hidden="1" x14ac:dyDescent="0.25"/>
    <row r="19558" hidden="1" x14ac:dyDescent="0.25"/>
    <row r="19559" hidden="1" x14ac:dyDescent="0.25"/>
    <row r="19560" hidden="1" x14ac:dyDescent="0.25"/>
    <row r="19561" hidden="1" x14ac:dyDescent="0.25"/>
    <row r="19562" hidden="1" x14ac:dyDescent="0.25"/>
    <row r="19563" hidden="1" x14ac:dyDescent="0.25"/>
    <row r="19564" hidden="1" x14ac:dyDescent="0.25"/>
    <row r="19565" hidden="1" x14ac:dyDescent="0.25"/>
    <row r="19566" hidden="1" x14ac:dyDescent="0.25"/>
    <row r="19567" hidden="1" x14ac:dyDescent="0.25"/>
    <row r="19568" hidden="1" x14ac:dyDescent="0.25"/>
    <row r="19569" hidden="1" x14ac:dyDescent="0.25"/>
    <row r="19570" hidden="1" x14ac:dyDescent="0.25"/>
    <row r="19571" hidden="1" x14ac:dyDescent="0.25"/>
    <row r="19572" hidden="1" x14ac:dyDescent="0.25"/>
    <row r="19573" hidden="1" x14ac:dyDescent="0.25"/>
    <row r="19574" hidden="1" x14ac:dyDescent="0.25"/>
    <row r="19575" hidden="1" x14ac:dyDescent="0.25"/>
    <row r="19576" hidden="1" x14ac:dyDescent="0.25"/>
    <row r="19577" hidden="1" x14ac:dyDescent="0.25"/>
    <row r="19578" hidden="1" x14ac:dyDescent="0.25"/>
    <row r="19579" hidden="1" x14ac:dyDescent="0.25"/>
    <row r="19580" hidden="1" x14ac:dyDescent="0.25"/>
    <row r="19581" hidden="1" x14ac:dyDescent="0.25"/>
    <row r="19582" hidden="1" x14ac:dyDescent="0.25"/>
    <row r="19583" hidden="1" x14ac:dyDescent="0.25"/>
    <row r="19584" hidden="1" x14ac:dyDescent="0.25"/>
    <row r="19585" hidden="1" x14ac:dyDescent="0.25"/>
    <row r="19586" hidden="1" x14ac:dyDescent="0.25"/>
    <row r="19587" hidden="1" x14ac:dyDescent="0.25"/>
    <row r="19588" hidden="1" x14ac:dyDescent="0.25"/>
    <row r="19589" hidden="1" x14ac:dyDescent="0.25"/>
    <row r="19590" hidden="1" x14ac:dyDescent="0.25"/>
    <row r="19591" hidden="1" x14ac:dyDescent="0.25"/>
    <row r="19592" hidden="1" x14ac:dyDescent="0.25"/>
    <row r="19593" hidden="1" x14ac:dyDescent="0.25"/>
    <row r="19594" hidden="1" x14ac:dyDescent="0.25"/>
    <row r="19595" hidden="1" x14ac:dyDescent="0.25"/>
    <row r="19596" hidden="1" x14ac:dyDescent="0.25"/>
    <row r="19597" hidden="1" x14ac:dyDescent="0.25"/>
    <row r="19598" hidden="1" x14ac:dyDescent="0.25"/>
    <row r="19599" hidden="1" x14ac:dyDescent="0.25"/>
    <row r="19600" hidden="1" x14ac:dyDescent="0.25"/>
    <row r="19601" hidden="1" x14ac:dyDescent="0.25"/>
    <row r="19602" hidden="1" x14ac:dyDescent="0.25"/>
    <row r="19603" hidden="1" x14ac:dyDescent="0.25"/>
    <row r="19604" hidden="1" x14ac:dyDescent="0.25"/>
    <row r="19605" hidden="1" x14ac:dyDescent="0.25"/>
    <row r="19606" hidden="1" x14ac:dyDescent="0.25"/>
    <row r="19607" hidden="1" x14ac:dyDescent="0.25"/>
    <row r="19608" hidden="1" x14ac:dyDescent="0.25"/>
    <row r="19609" hidden="1" x14ac:dyDescent="0.25"/>
    <row r="19610" hidden="1" x14ac:dyDescent="0.25"/>
    <row r="19611" hidden="1" x14ac:dyDescent="0.25"/>
    <row r="19612" hidden="1" x14ac:dyDescent="0.25"/>
    <row r="19613" hidden="1" x14ac:dyDescent="0.25"/>
    <row r="19614" hidden="1" x14ac:dyDescent="0.25"/>
    <row r="19615" hidden="1" x14ac:dyDescent="0.25"/>
    <row r="19616" hidden="1" x14ac:dyDescent="0.25"/>
    <row r="19617" hidden="1" x14ac:dyDescent="0.25"/>
    <row r="19618" hidden="1" x14ac:dyDescent="0.25"/>
    <row r="19619" hidden="1" x14ac:dyDescent="0.25"/>
    <row r="19620" hidden="1" x14ac:dyDescent="0.25"/>
    <row r="19621" hidden="1" x14ac:dyDescent="0.25"/>
    <row r="19622" hidden="1" x14ac:dyDescent="0.25"/>
    <row r="19623" hidden="1" x14ac:dyDescent="0.25"/>
    <row r="19624" hidden="1" x14ac:dyDescent="0.25"/>
    <row r="19625" hidden="1" x14ac:dyDescent="0.25"/>
    <row r="19626" hidden="1" x14ac:dyDescent="0.25"/>
    <row r="19627" hidden="1" x14ac:dyDescent="0.25"/>
    <row r="19628" hidden="1" x14ac:dyDescent="0.25"/>
    <row r="19629" hidden="1" x14ac:dyDescent="0.25"/>
    <row r="19630" hidden="1" x14ac:dyDescent="0.25"/>
    <row r="19631" hidden="1" x14ac:dyDescent="0.25"/>
    <row r="19632" hidden="1" x14ac:dyDescent="0.25"/>
    <row r="19633" hidden="1" x14ac:dyDescent="0.25"/>
    <row r="19634" hidden="1" x14ac:dyDescent="0.25"/>
    <row r="19635" hidden="1" x14ac:dyDescent="0.25"/>
    <row r="19636" hidden="1" x14ac:dyDescent="0.25"/>
    <row r="19637" hidden="1" x14ac:dyDescent="0.25"/>
    <row r="19638" hidden="1" x14ac:dyDescent="0.25"/>
    <row r="19639" hidden="1" x14ac:dyDescent="0.25"/>
    <row r="19640" hidden="1" x14ac:dyDescent="0.25"/>
    <row r="19641" hidden="1" x14ac:dyDescent="0.25"/>
    <row r="19642" hidden="1" x14ac:dyDescent="0.25"/>
    <row r="19643" hidden="1" x14ac:dyDescent="0.25"/>
    <row r="19644" hidden="1" x14ac:dyDescent="0.25"/>
    <row r="19645" hidden="1" x14ac:dyDescent="0.25"/>
    <row r="19646" hidden="1" x14ac:dyDescent="0.25"/>
    <row r="19647" hidden="1" x14ac:dyDescent="0.25"/>
    <row r="19648" hidden="1" x14ac:dyDescent="0.25"/>
    <row r="19649" hidden="1" x14ac:dyDescent="0.25"/>
    <row r="19650" hidden="1" x14ac:dyDescent="0.25"/>
    <row r="19651" hidden="1" x14ac:dyDescent="0.25"/>
    <row r="19652" hidden="1" x14ac:dyDescent="0.25"/>
    <row r="19653" hidden="1" x14ac:dyDescent="0.25"/>
    <row r="19654" hidden="1" x14ac:dyDescent="0.25"/>
    <row r="19655" hidden="1" x14ac:dyDescent="0.25"/>
    <row r="19656" hidden="1" x14ac:dyDescent="0.25"/>
    <row r="19657" hidden="1" x14ac:dyDescent="0.25"/>
    <row r="19658" hidden="1" x14ac:dyDescent="0.25"/>
    <row r="19659" hidden="1" x14ac:dyDescent="0.25"/>
    <row r="19660" hidden="1" x14ac:dyDescent="0.25"/>
    <row r="19661" hidden="1" x14ac:dyDescent="0.25"/>
    <row r="19662" hidden="1" x14ac:dyDescent="0.25"/>
    <row r="19663" hidden="1" x14ac:dyDescent="0.25"/>
    <row r="19664" hidden="1" x14ac:dyDescent="0.25"/>
    <row r="19665" hidden="1" x14ac:dyDescent="0.25"/>
    <row r="19666" hidden="1" x14ac:dyDescent="0.25"/>
    <row r="19667" hidden="1" x14ac:dyDescent="0.25"/>
    <row r="19668" hidden="1" x14ac:dyDescent="0.25"/>
    <row r="19669" hidden="1" x14ac:dyDescent="0.25"/>
    <row r="19670" hidden="1" x14ac:dyDescent="0.25"/>
    <row r="19671" hidden="1" x14ac:dyDescent="0.25"/>
    <row r="19672" hidden="1" x14ac:dyDescent="0.25"/>
    <row r="19673" hidden="1" x14ac:dyDescent="0.25"/>
    <row r="19674" hidden="1" x14ac:dyDescent="0.25"/>
    <row r="19675" hidden="1" x14ac:dyDescent="0.25"/>
    <row r="19676" hidden="1" x14ac:dyDescent="0.25"/>
    <row r="19677" hidden="1" x14ac:dyDescent="0.25"/>
    <row r="19678" hidden="1" x14ac:dyDescent="0.25"/>
    <row r="19679" hidden="1" x14ac:dyDescent="0.25"/>
    <row r="19680" hidden="1" x14ac:dyDescent="0.25"/>
    <row r="19681" hidden="1" x14ac:dyDescent="0.25"/>
    <row r="19682" hidden="1" x14ac:dyDescent="0.25"/>
    <row r="19683" hidden="1" x14ac:dyDescent="0.25"/>
    <row r="19684" hidden="1" x14ac:dyDescent="0.25"/>
    <row r="19685" hidden="1" x14ac:dyDescent="0.25"/>
    <row r="19686" hidden="1" x14ac:dyDescent="0.25"/>
    <row r="19687" hidden="1" x14ac:dyDescent="0.25"/>
    <row r="19688" hidden="1" x14ac:dyDescent="0.25"/>
    <row r="19689" hidden="1" x14ac:dyDescent="0.25"/>
    <row r="19690" hidden="1" x14ac:dyDescent="0.25"/>
    <row r="19691" hidden="1" x14ac:dyDescent="0.25"/>
    <row r="19692" hidden="1" x14ac:dyDescent="0.25"/>
    <row r="19693" hidden="1" x14ac:dyDescent="0.25"/>
    <row r="19694" hidden="1" x14ac:dyDescent="0.25"/>
    <row r="19695" hidden="1" x14ac:dyDescent="0.25"/>
    <row r="19696" hidden="1" x14ac:dyDescent="0.25"/>
    <row r="19697" hidden="1" x14ac:dyDescent="0.25"/>
    <row r="19698" hidden="1" x14ac:dyDescent="0.25"/>
    <row r="19699" hidden="1" x14ac:dyDescent="0.25"/>
    <row r="19700" hidden="1" x14ac:dyDescent="0.25"/>
    <row r="19701" hidden="1" x14ac:dyDescent="0.25"/>
    <row r="19702" hidden="1" x14ac:dyDescent="0.25"/>
    <row r="19703" hidden="1" x14ac:dyDescent="0.25"/>
    <row r="19704" hidden="1" x14ac:dyDescent="0.25"/>
    <row r="19705" hidden="1" x14ac:dyDescent="0.25"/>
    <row r="19706" hidden="1" x14ac:dyDescent="0.25"/>
    <row r="19707" hidden="1" x14ac:dyDescent="0.25"/>
    <row r="19708" hidden="1" x14ac:dyDescent="0.25"/>
    <row r="19709" hidden="1" x14ac:dyDescent="0.25"/>
    <row r="19710" hidden="1" x14ac:dyDescent="0.25"/>
    <row r="19711" hidden="1" x14ac:dyDescent="0.25"/>
    <row r="19712" hidden="1" x14ac:dyDescent="0.25"/>
    <row r="19713" hidden="1" x14ac:dyDescent="0.25"/>
    <row r="19714" hidden="1" x14ac:dyDescent="0.25"/>
    <row r="19715" hidden="1" x14ac:dyDescent="0.25"/>
    <row r="19716" hidden="1" x14ac:dyDescent="0.25"/>
    <row r="19717" hidden="1" x14ac:dyDescent="0.25"/>
    <row r="19718" hidden="1" x14ac:dyDescent="0.25"/>
    <row r="19719" hidden="1" x14ac:dyDescent="0.25"/>
    <row r="19720" hidden="1" x14ac:dyDescent="0.25"/>
    <row r="19721" hidden="1" x14ac:dyDescent="0.25"/>
    <row r="19722" hidden="1" x14ac:dyDescent="0.25"/>
    <row r="19723" hidden="1" x14ac:dyDescent="0.25"/>
    <row r="19724" hidden="1" x14ac:dyDescent="0.25"/>
    <row r="19725" hidden="1" x14ac:dyDescent="0.25"/>
    <row r="19726" hidden="1" x14ac:dyDescent="0.25"/>
    <row r="19727" hidden="1" x14ac:dyDescent="0.25"/>
    <row r="19728" hidden="1" x14ac:dyDescent="0.25"/>
    <row r="19729" hidden="1" x14ac:dyDescent="0.25"/>
    <row r="19730" hidden="1" x14ac:dyDescent="0.25"/>
    <row r="19731" hidden="1" x14ac:dyDescent="0.25"/>
    <row r="19732" hidden="1" x14ac:dyDescent="0.25"/>
    <row r="19733" hidden="1" x14ac:dyDescent="0.25"/>
    <row r="19734" hidden="1" x14ac:dyDescent="0.25"/>
    <row r="19735" hidden="1" x14ac:dyDescent="0.25"/>
    <row r="19736" hidden="1" x14ac:dyDescent="0.25"/>
    <row r="19737" hidden="1" x14ac:dyDescent="0.25"/>
    <row r="19738" hidden="1" x14ac:dyDescent="0.25"/>
    <row r="19739" hidden="1" x14ac:dyDescent="0.25"/>
    <row r="19740" hidden="1" x14ac:dyDescent="0.25"/>
    <row r="19741" hidden="1" x14ac:dyDescent="0.25"/>
    <row r="19742" hidden="1" x14ac:dyDescent="0.25"/>
    <row r="19743" hidden="1" x14ac:dyDescent="0.25"/>
    <row r="19744" hidden="1" x14ac:dyDescent="0.25"/>
    <row r="19745" hidden="1" x14ac:dyDescent="0.25"/>
    <row r="19746" hidden="1" x14ac:dyDescent="0.25"/>
    <row r="19747" hidden="1" x14ac:dyDescent="0.25"/>
    <row r="19748" hidden="1" x14ac:dyDescent="0.25"/>
    <row r="19749" hidden="1" x14ac:dyDescent="0.25"/>
    <row r="19750" hidden="1" x14ac:dyDescent="0.25"/>
    <row r="19751" hidden="1" x14ac:dyDescent="0.25"/>
    <row r="19752" hidden="1" x14ac:dyDescent="0.25"/>
    <row r="19753" hidden="1" x14ac:dyDescent="0.25"/>
    <row r="19754" hidden="1" x14ac:dyDescent="0.25"/>
    <row r="19755" hidden="1" x14ac:dyDescent="0.25"/>
    <row r="19756" hidden="1" x14ac:dyDescent="0.25"/>
    <row r="19757" hidden="1" x14ac:dyDescent="0.25"/>
    <row r="19758" hidden="1" x14ac:dyDescent="0.25"/>
    <row r="19759" hidden="1" x14ac:dyDescent="0.25"/>
    <row r="19760" hidden="1" x14ac:dyDescent="0.25"/>
    <row r="19761" hidden="1" x14ac:dyDescent="0.25"/>
    <row r="19762" hidden="1" x14ac:dyDescent="0.25"/>
    <row r="19763" hidden="1" x14ac:dyDescent="0.25"/>
    <row r="19764" hidden="1" x14ac:dyDescent="0.25"/>
    <row r="19765" hidden="1" x14ac:dyDescent="0.25"/>
    <row r="19766" hidden="1" x14ac:dyDescent="0.25"/>
    <row r="19767" hidden="1" x14ac:dyDescent="0.25"/>
    <row r="19768" hidden="1" x14ac:dyDescent="0.25"/>
    <row r="19769" hidden="1" x14ac:dyDescent="0.25"/>
    <row r="19770" hidden="1" x14ac:dyDescent="0.25"/>
    <row r="19771" hidden="1" x14ac:dyDescent="0.25"/>
    <row r="19772" hidden="1" x14ac:dyDescent="0.25"/>
    <row r="19773" hidden="1" x14ac:dyDescent="0.25"/>
    <row r="19774" hidden="1" x14ac:dyDescent="0.25"/>
    <row r="19775" hidden="1" x14ac:dyDescent="0.25"/>
    <row r="19776" hidden="1" x14ac:dyDescent="0.25"/>
    <row r="19777" hidden="1" x14ac:dyDescent="0.25"/>
    <row r="19778" hidden="1" x14ac:dyDescent="0.25"/>
    <row r="19779" hidden="1" x14ac:dyDescent="0.25"/>
    <row r="19780" hidden="1" x14ac:dyDescent="0.25"/>
    <row r="19781" hidden="1" x14ac:dyDescent="0.25"/>
    <row r="19782" hidden="1" x14ac:dyDescent="0.25"/>
    <row r="19783" hidden="1" x14ac:dyDescent="0.25"/>
    <row r="19784" hidden="1" x14ac:dyDescent="0.25"/>
    <row r="19785" hidden="1" x14ac:dyDescent="0.25"/>
    <row r="19786" hidden="1" x14ac:dyDescent="0.25"/>
    <row r="19787" hidden="1" x14ac:dyDescent="0.25"/>
    <row r="19788" hidden="1" x14ac:dyDescent="0.25"/>
    <row r="19789" hidden="1" x14ac:dyDescent="0.25"/>
    <row r="19790" hidden="1" x14ac:dyDescent="0.25"/>
    <row r="19791" hidden="1" x14ac:dyDescent="0.25"/>
    <row r="19792" hidden="1" x14ac:dyDescent="0.25"/>
    <row r="19793" hidden="1" x14ac:dyDescent="0.25"/>
    <row r="19794" hidden="1" x14ac:dyDescent="0.25"/>
    <row r="19795" hidden="1" x14ac:dyDescent="0.25"/>
    <row r="19796" hidden="1" x14ac:dyDescent="0.25"/>
    <row r="19797" hidden="1" x14ac:dyDescent="0.25"/>
    <row r="19798" hidden="1" x14ac:dyDescent="0.25"/>
    <row r="19799" hidden="1" x14ac:dyDescent="0.25"/>
    <row r="19800" hidden="1" x14ac:dyDescent="0.25"/>
    <row r="19801" hidden="1" x14ac:dyDescent="0.25"/>
    <row r="19802" hidden="1" x14ac:dyDescent="0.25"/>
    <row r="19803" hidden="1" x14ac:dyDescent="0.25"/>
    <row r="19804" hidden="1" x14ac:dyDescent="0.25"/>
    <row r="19805" hidden="1" x14ac:dyDescent="0.25"/>
    <row r="19806" hidden="1" x14ac:dyDescent="0.25"/>
    <row r="19807" hidden="1" x14ac:dyDescent="0.25"/>
    <row r="19808" hidden="1" x14ac:dyDescent="0.25"/>
    <row r="19809" hidden="1" x14ac:dyDescent="0.25"/>
    <row r="19810" hidden="1" x14ac:dyDescent="0.25"/>
    <row r="19811" hidden="1" x14ac:dyDescent="0.25"/>
    <row r="19812" hidden="1" x14ac:dyDescent="0.25"/>
    <row r="19813" hidden="1" x14ac:dyDescent="0.25"/>
    <row r="19814" hidden="1" x14ac:dyDescent="0.25"/>
    <row r="19815" hidden="1" x14ac:dyDescent="0.25"/>
    <row r="19816" hidden="1" x14ac:dyDescent="0.25"/>
    <row r="19817" hidden="1" x14ac:dyDescent="0.25"/>
    <row r="19818" hidden="1" x14ac:dyDescent="0.25"/>
    <row r="19819" hidden="1" x14ac:dyDescent="0.25"/>
    <row r="19820" hidden="1" x14ac:dyDescent="0.25"/>
    <row r="19821" hidden="1" x14ac:dyDescent="0.25"/>
    <row r="19822" hidden="1" x14ac:dyDescent="0.25"/>
    <row r="19823" hidden="1" x14ac:dyDescent="0.25"/>
    <row r="19824" hidden="1" x14ac:dyDescent="0.25"/>
    <row r="19825" hidden="1" x14ac:dyDescent="0.25"/>
    <row r="19826" hidden="1" x14ac:dyDescent="0.25"/>
    <row r="19827" hidden="1" x14ac:dyDescent="0.25"/>
    <row r="19828" hidden="1" x14ac:dyDescent="0.25"/>
    <row r="19829" hidden="1" x14ac:dyDescent="0.25"/>
    <row r="19830" hidden="1" x14ac:dyDescent="0.25"/>
    <row r="19831" hidden="1" x14ac:dyDescent="0.25"/>
    <row r="19832" hidden="1" x14ac:dyDescent="0.25"/>
    <row r="19833" hidden="1" x14ac:dyDescent="0.25"/>
    <row r="19834" hidden="1" x14ac:dyDescent="0.25"/>
    <row r="19835" hidden="1" x14ac:dyDescent="0.25"/>
    <row r="19836" hidden="1" x14ac:dyDescent="0.25"/>
    <row r="19837" hidden="1" x14ac:dyDescent="0.25"/>
    <row r="19838" hidden="1" x14ac:dyDescent="0.25"/>
    <row r="19839" hidden="1" x14ac:dyDescent="0.25"/>
    <row r="19840" hidden="1" x14ac:dyDescent="0.25"/>
    <row r="19841" hidden="1" x14ac:dyDescent="0.25"/>
    <row r="19842" hidden="1" x14ac:dyDescent="0.25"/>
    <row r="19843" hidden="1" x14ac:dyDescent="0.25"/>
    <row r="19844" hidden="1" x14ac:dyDescent="0.25"/>
    <row r="19845" hidden="1" x14ac:dyDescent="0.25"/>
    <row r="19846" hidden="1" x14ac:dyDescent="0.25"/>
    <row r="19847" hidden="1" x14ac:dyDescent="0.25"/>
    <row r="19848" hidden="1" x14ac:dyDescent="0.25"/>
    <row r="19849" hidden="1" x14ac:dyDescent="0.25"/>
    <row r="19850" hidden="1" x14ac:dyDescent="0.25"/>
    <row r="19851" hidden="1" x14ac:dyDescent="0.25"/>
    <row r="19852" hidden="1" x14ac:dyDescent="0.25"/>
    <row r="19853" hidden="1" x14ac:dyDescent="0.25"/>
    <row r="19854" hidden="1" x14ac:dyDescent="0.25"/>
    <row r="19855" hidden="1" x14ac:dyDescent="0.25"/>
    <row r="19856" hidden="1" x14ac:dyDescent="0.25"/>
    <row r="19857" hidden="1" x14ac:dyDescent="0.25"/>
    <row r="19858" hidden="1" x14ac:dyDescent="0.25"/>
    <row r="19859" hidden="1" x14ac:dyDescent="0.25"/>
    <row r="19860" hidden="1" x14ac:dyDescent="0.25"/>
    <row r="19861" hidden="1" x14ac:dyDescent="0.25"/>
    <row r="19862" hidden="1" x14ac:dyDescent="0.25"/>
    <row r="19863" hidden="1" x14ac:dyDescent="0.25"/>
    <row r="19864" hidden="1" x14ac:dyDescent="0.25"/>
    <row r="19865" hidden="1" x14ac:dyDescent="0.25"/>
    <row r="19866" hidden="1" x14ac:dyDescent="0.25"/>
    <row r="19867" hidden="1" x14ac:dyDescent="0.25"/>
    <row r="19868" hidden="1" x14ac:dyDescent="0.25"/>
    <row r="19869" hidden="1" x14ac:dyDescent="0.25"/>
    <row r="19870" hidden="1" x14ac:dyDescent="0.25"/>
    <row r="19871" hidden="1" x14ac:dyDescent="0.25"/>
    <row r="19872" hidden="1" x14ac:dyDescent="0.25"/>
    <row r="19873" hidden="1" x14ac:dyDescent="0.25"/>
    <row r="19874" hidden="1" x14ac:dyDescent="0.25"/>
    <row r="19875" hidden="1" x14ac:dyDescent="0.25"/>
    <row r="19876" hidden="1" x14ac:dyDescent="0.25"/>
    <row r="19877" hidden="1" x14ac:dyDescent="0.25"/>
    <row r="19878" hidden="1" x14ac:dyDescent="0.25"/>
    <row r="19879" hidden="1" x14ac:dyDescent="0.25"/>
    <row r="19880" hidden="1" x14ac:dyDescent="0.25"/>
    <row r="19881" hidden="1" x14ac:dyDescent="0.25"/>
    <row r="19882" hidden="1" x14ac:dyDescent="0.25"/>
    <row r="19883" hidden="1" x14ac:dyDescent="0.25"/>
    <row r="19884" hidden="1" x14ac:dyDescent="0.25"/>
    <row r="19885" hidden="1" x14ac:dyDescent="0.25"/>
    <row r="19886" hidden="1" x14ac:dyDescent="0.25"/>
    <row r="19887" hidden="1" x14ac:dyDescent="0.25"/>
    <row r="19888" hidden="1" x14ac:dyDescent="0.25"/>
    <row r="19889" hidden="1" x14ac:dyDescent="0.25"/>
    <row r="19890" hidden="1" x14ac:dyDescent="0.25"/>
    <row r="19891" hidden="1" x14ac:dyDescent="0.25"/>
    <row r="19892" hidden="1" x14ac:dyDescent="0.25"/>
    <row r="19893" hidden="1" x14ac:dyDescent="0.25"/>
    <row r="19894" hidden="1" x14ac:dyDescent="0.25"/>
    <row r="19895" hidden="1" x14ac:dyDescent="0.25"/>
    <row r="19896" hidden="1" x14ac:dyDescent="0.25"/>
    <row r="19897" hidden="1" x14ac:dyDescent="0.25"/>
    <row r="19898" hidden="1" x14ac:dyDescent="0.25"/>
    <row r="19899" hidden="1" x14ac:dyDescent="0.25"/>
    <row r="19900" hidden="1" x14ac:dyDescent="0.25"/>
    <row r="19901" hidden="1" x14ac:dyDescent="0.25"/>
    <row r="19902" hidden="1" x14ac:dyDescent="0.25"/>
    <row r="19903" hidden="1" x14ac:dyDescent="0.25"/>
    <row r="19904" hidden="1" x14ac:dyDescent="0.25"/>
    <row r="19905" hidden="1" x14ac:dyDescent="0.25"/>
    <row r="19906" hidden="1" x14ac:dyDescent="0.25"/>
    <row r="19907" hidden="1" x14ac:dyDescent="0.25"/>
    <row r="19908" hidden="1" x14ac:dyDescent="0.25"/>
    <row r="19909" hidden="1" x14ac:dyDescent="0.25"/>
    <row r="19910" hidden="1" x14ac:dyDescent="0.25"/>
    <row r="19911" hidden="1" x14ac:dyDescent="0.25"/>
    <row r="19912" hidden="1" x14ac:dyDescent="0.25"/>
    <row r="19913" hidden="1" x14ac:dyDescent="0.25"/>
    <row r="19914" hidden="1" x14ac:dyDescent="0.25"/>
    <row r="19915" hidden="1" x14ac:dyDescent="0.25"/>
    <row r="19916" hidden="1" x14ac:dyDescent="0.25"/>
    <row r="19917" hidden="1" x14ac:dyDescent="0.25"/>
    <row r="19918" hidden="1" x14ac:dyDescent="0.25"/>
    <row r="19919" hidden="1" x14ac:dyDescent="0.25"/>
    <row r="19920" hidden="1" x14ac:dyDescent="0.25"/>
    <row r="19921" hidden="1" x14ac:dyDescent="0.25"/>
    <row r="19922" hidden="1" x14ac:dyDescent="0.25"/>
    <row r="19923" hidden="1" x14ac:dyDescent="0.25"/>
    <row r="19924" hidden="1" x14ac:dyDescent="0.25"/>
    <row r="19925" hidden="1" x14ac:dyDescent="0.25"/>
    <row r="19926" hidden="1" x14ac:dyDescent="0.25"/>
    <row r="19927" hidden="1" x14ac:dyDescent="0.25"/>
    <row r="19928" hidden="1" x14ac:dyDescent="0.25"/>
    <row r="19929" hidden="1" x14ac:dyDescent="0.25"/>
    <row r="19930" hidden="1" x14ac:dyDescent="0.25"/>
    <row r="19931" hidden="1" x14ac:dyDescent="0.25"/>
    <row r="19932" hidden="1" x14ac:dyDescent="0.25"/>
    <row r="19933" hidden="1" x14ac:dyDescent="0.25"/>
    <row r="19934" hidden="1" x14ac:dyDescent="0.25"/>
    <row r="19935" hidden="1" x14ac:dyDescent="0.25"/>
    <row r="19936" hidden="1" x14ac:dyDescent="0.25"/>
    <row r="19937" hidden="1" x14ac:dyDescent="0.25"/>
    <row r="19938" hidden="1" x14ac:dyDescent="0.25"/>
    <row r="19939" hidden="1" x14ac:dyDescent="0.25"/>
    <row r="19940" hidden="1" x14ac:dyDescent="0.25"/>
    <row r="19941" hidden="1" x14ac:dyDescent="0.25"/>
    <row r="19942" hidden="1" x14ac:dyDescent="0.25"/>
    <row r="19943" hidden="1" x14ac:dyDescent="0.25"/>
    <row r="19944" hidden="1" x14ac:dyDescent="0.25"/>
    <row r="19945" hidden="1" x14ac:dyDescent="0.25"/>
    <row r="19946" hidden="1" x14ac:dyDescent="0.25"/>
    <row r="19947" hidden="1" x14ac:dyDescent="0.25"/>
    <row r="19948" hidden="1" x14ac:dyDescent="0.25"/>
    <row r="19949" hidden="1" x14ac:dyDescent="0.25"/>
    <row r="19950" hidden="1" x14ac:dyDescent="0.25"/>
    <row r="19951" hidden="1" x14ac:dyDescent="0.25"/>
    <row r="19952" hidden="1" x14ac:dyDescent="0.25"/>
    <row r="19953" hidden="1" x14ac:dyDescent="0.25"/>
    <row r="19954" hidden="1" x14ac:dyDescent="0.25"/>
    <row r="19955" hidden="1" x14ac:dyDescent="0.25"/>
    <row r="19956" hidden="1" x14ac:dyDescent="0.25"/>
    <row r="19957" hidden="1" x14ac:dyDescent="0.25"/>
    <row r="19958" hidden="1" x14ac:dyDescent="0.25"/>
    <row r="19959" hidden="1" x14ac:dyDescent="0.25"/>
    <row r="19960" hidden="1" x14ac:dyDescent="0.25"/>
    <row r="19961" hidden="1" x14ac:dyDescent="0.25"/>
    <row r="19962" hidden="1" x14ac:dyDescent="0.25"/>
    <row r="19963" hidden="1" x14ac:dyDescent="0.25"/>
    <row r="19964" hidden="1" x14ac:dyDescent="0.25"/>
    <row r="19965" hidden="1" x14ac:dyDescent="0.25"/>
    <row r="19966" hidden="1" x14ac:dyDescent="0.25"/>
    <row r="19967" hidden="1" x14ac:dyDescent="0.25"/>
    <row r="19968" hidden="1" x14ac:dyDescent="0.25"/>
    <row r="19969" hidden="1" x14ac:dyDescent="0.25"/>
    <row r="19970" hidden="1" x14ac:dyDescent="0.25"/>
    <row r="19971" hidden="1" x14ac:dyDescent="0.25"/>
    <row r="19972" hidden="1" x14ac:dyDescent="0.25"/>
    <row r="19973" hidden="1" x14ac:dyDescent="0.25"/>
    <row r="19974" hidden="1" x14ac:dyDescent="0.25"/>
    <row r="19975" hidden="1" x14ac:dyDescent="0.25"/>
    <row r="19976" hidden="1" x14ac:dyDescent="0.25"/>
    <row r="19977" hidden="1" x14ac:dyDescent="0.25"/>
    <row r="19978" hidden="1" x14ac:dyDescent="0.25"/>
    <row r="19979" hidden="1" x14ac:dyDescent="0.25"/>
    <row r="19980" hidden="1" x14ac:dyDescent="0.25"/>
    <row r="19981" hidden="1" x14ac:dyDescent="0.25"/>
    <row r="19982" hidden="1" x14ac:dyDescent="0.25"/>
    <row r="19983" hidden="1" x14ac:dyDescent="0.25"/>
    <row r="19984" hidden="1" x14ac:dyDescent="0.25"/>
    <row r="19985" hidden="1" x14ac:dyDescent="0.25"/>
    <row r="19986" hidden="1" x14ac:dyDescent="0.25"/>
    <row r="19987" hidden="1" x14ac:dyDescent="0.25"/>
    <row r="19988" hidden="1" x14ac:dyDescent="0.25"/>
    <row r="19989" hidden="1" x14ac:dyDescent="0.25"/>
    <row r="19990" hidden="1" x14ac:dyDescent="0.25"/>
    <row r="19991" hidden="1" x14ac:dyDescent="0.25"/>
    <row r="19992" hidden="1" x14ac:dyDescent="0.25"/>
    <row r="19993" hidden="1" x14ac:dyDescent="0.25"/>
    <row r="19994" hidden="1" x14ac:dyDescent="0.25"/>
    <row r="19995" hidden="1" x14ac:dyDescent="0.25"/>
    <row r="19996" hidden="1" x14ac:dyDescent="0.25"/>
    <row r="19997" hidden="1" x14ac:dyDescent="0.25"/>
    <row r="19998" hidden="1" x14ac:dyDescent="0.25"/>
    <row r="19999" hidden="1" x14ac:dyDescent="0.25"/>
    <row r="20000" hidden="1" x14ac:dyDescent="0.25"/>
    <row r="20001" hidden="1" x14ac:dyDescent="0.25"/>
    <row r="20002" hidden="1" x14ac:dyDescent="0.25"/>
    <row r="20003" hidden="1" x14ac:dyDescent="0.25"/>
    <row r="20004" hidden="1" x14ac:dyDescent="0.25"/>
    <row r="20005" hidden="1" x14ac:dyDescent="0.25"/>
    <row r="20006" hidden="1" x14ac:dyDescent="0.25"/>
    <row r="20007" hidden="1" x14ac:dyDescent="0.25"/>
    <row r="20008" hidden="1" x14ac:dyDescent="0.25"/>
    <row r="20009" hidden="1" x14ac:dyDescent="0.25"/>
    <row r="20010" hidden="1" x14ac:dyDescent="0.25"/>
    <row r="20011" hidden="1" x14ac:dyDescent="0.25"/>
    <row r="20012" hidden="1" x14ac:dyDescent="0.25"/>
    <row r="20013" hidden="1" x14ac:dyDescent="0.25"/>
    <row r="20014" hidden="1" x14ac:dyDescent="0.25"/>
    <row r="20015" hidden="1" x14ac:dyDescent="0.25"/>
    <row r="20016" hidden="1" x14ac:dyDescent="0.25"/>
    <row r="20017" hidden="1" x14ac:dyDescent="0.25"/>
    <row r="20018" hidden="1" x14ac:dyDescent="0.25"/>
    <row r="20019" hidden="1" x14ac:dyDescent="0.25"/>
    <row r="20020" hidden="1" x14ac:dyDescent="0.25"/>
    <row r="20021" hidden="1" x14ac:dyDescent="0.25"/>
    <row r="20022" hidden="1" x14ac:dyDescent="0.25"/>
    <row r="20023" hidden="1" x14ac:dyDescent="0.25"/>
    <row r="20024" hidden="1" x14ac:dyDescent="0.25"/>
    <row r="20025" hidden="1" x14ac:dyDescent="0.25"/>
    <row r="20026" hidden="1" x14ac:dyDescent="0.25"/>
    <row r="20027" hidden="1" x14ac:dyDescent="0.25"/>
    <row r="20028" hidden="1" x14ac:dyDescent="0.25"/>
    <row r="20029" hidden="1" x14ac:dyDescent="0.25"/>
    <row r="20030" hidden="1" x14ac:dyDescent="0.25"/>
    <row r="20031" hidden="1" x14ac:dyDescent="0.25"/>
    <row r="20032" hidden="1" x14ac:dyDescent="0.25"/>
    <row r="20033" hidden="1" x14ac:dyDescent="0.25"/>
    <row r="20034" hidden="1" x14ac:dyDescent="0.25"/>
    <row r="20035" hidden="1" x14ac:dyDescent="0.25"/>
    <row r="20036" hidden="1" x14ac:dyDescent="0.25"/>
    <row r="20037" hidden="1" x14ac:dyDescent="0.25"/>
    <row r="20038" hidden="1" x14ac:dyDescent="0.25"/>
    <row r="20039" hidden="1" x14ac:dyDescent="0.25"/>
    <row r="20040" hidden="1" x14ac:dyDescent="0.25"/>
    <row r="20041" hidden="1" x14ac:dyDescent="0.25"/>
    <row r="20042" hidden="1" x14ac:dyDescent="0.25"/>
    <row r="20043" hidden="1" x14ac:dyDescent="0.25"/>
    <row r="20044" hidden="1" x14ac:dyDescent="0.25"/>
    <row r="20045" hidden="1" x14ac:dyDescent="0.25"/>
    <row r="20046" hidden="1" x14ac:dyDescent="0.25"/>
    <row r="20047" hidden="1" x14ac:dyDescent="0.25"/>
    <row r="20048" hidden="1" x14ac:dyDescent="0.25"/>
    <row r="20049" hidden="1" x14ac:dyDescent="0.25"/>
    <row r="20050" hidden="1" x14ac:dyDescent="0.25"/>
    <row r="20051" hidden="1" x14ac:dyDescent="0.25"/>
    <row r="20052" hidden="1" x14ac:dyDescent="0.25"/>
    <row r="20053" hidden="1" x14ac:dyDescent="0.25"/>
    <row r="20054" hidden="1" x14ac:dyDescent="0.25"/>
    <row r="20055" hidden="1" x14ac:dyDescent="0.25"/>
    <row r="20056" hidden="1" x14ac:dyDescent="0.25"/>
    <row r="20057" hidden="1" x14ac:dyDescent="0.25"/>
    <row r="20058" hidden="1" x14ac:dyDescent="0.25"/>
    <row r="20059" hidden="1" x14ac:dyDescent="0.25"/>
    <row r="20060" hidden="1" x14ac:dyDescent="0.25"/>
    <row r="20061" hidden="1" x14ac:dyDescent="0.25"/>
    <row r="20062" hidden="1" x14ac:dyDescent="0.25"/>
    <row r="20063" hidden="1" x14ac:dyDescent="0.25"/>
    <row r="20064" hidden="1" x14ac:dyDescent="0.25"/>
    <row r="20065" hidden="1" x14ac:dyDescent="0.25"/>
    <row r="20066" hidden="1" x14ac:dyDescent="0.25"/>
    <row r="20067" hidden="1" x14ac:dyDescent="0.25"/>
    <row r="20068" hidden="1" x14ac:dyDescent="0.25"/>
    <row r="20069" hidden="1" x14ac:dyDescent="0.25"/>
    <row r="20070" hidden="1" x14ac:dyDescent="0.25"/>
    <row r="20071" hidden="1" x14ac:dyDescent="0.25"/>
    <row r="20072" hidden="1" x14ac:dyDescent="0.25"/>
    <row r="20073" hidden="1" x14ac:dyDescent="0.25"/>
    <row r="20074" hidden="1" x14ac:dyDescent="0.25"/>
    <row r="20075" hidden="1" x14ac:dyDescent="0.25"/>
    <row r="20076" hidden="1" x14ac:dyDescent="0.25"/>
    <row r="20077" hidden="1" x14ac:dyDescent="0.25"/>
    <row r="20078" hidden="1" x14ac:dyDescent="0.25"/>
    <row r="20079" hidden="1" x14ac:dyDescent="0.25"/>
    <row r="20080" hidden="1" x14ac:dyDescent="0.25"/>
    <row r="20081" hidden="1" x14ac:dyDescent="0.25"/>
    <row r="20082" hidden="1" x14ac:dyDescent="0.25"/>
    <row r="20083" hidden="1" x14ac:dyDescent="0.25"/>
    <row r="20084" hidden="1" x14ac:dyDescent="0.25"/>
    <row r="20085" hidden="1" x14ac:dyDescent="0.25"/>
    <row r="20086" hidden="1" x14ac:dyDescent="0.25"/>
    <row r="20087" hidden="1" x14ac:dyDescent="0.25"/>
    <row r="20088" hidden="1" x14ac:dyDescent="0.25"/>
    <row r="20089" hidden="1" x14ac:dyDescent="0.25"/>
    <row r="20090" hidden="1" x14ac:dyDescent="0.25"/>
    <row r="20091" hidden="1" x14ac:dyDescent="0.25"/>
    <row r="20092" hidden="1" x14ac:dyDescent="0.25"/>
    <row r="20093" hidden="1" x14ac:dyDescent="0.25"/>
    <row r="20094" hidden="1" x14ac:dyDescent="0.25"/>
    <row r="20095" hidden="1" x14ac:dyDescent="0.25"/>
    <row r="20096" hidden="1" x14ac:dyDescent="0.25"/>
    <row r="20097" hidden="1" x14ac:dyDescent="0.25"/>
    <row r="20098" hidden="1" x14ac:dyDescent="0.25"/>
    <row r="20099" hidden="1" x14ac:dyDescent="0.25"/>
    <row r="20100" hidden="1" x14ac:dyDescent="0.25"/>
    <row r="20101" hidden="1" x14ac:dyDescent="0.25"/>
    <row r="20102" hidden="1" x14ac:dyDescent="0.25"/>
    <row r="20103" hidden="1" x14ac:dyDescent="0.25"/>
    <row r="20104" hidden="1" x14ac:dyDescent="0.25"/>
    <row r="20105" hidden="1" x14ac:dyDescent="0.25"/>
    <row r="20106" hidden="1" x14ac:dyDescent="0.25"/>
    <row r="20107" hidden="1" x14ac:dyDescent="0.25"/>
    <row r="20108" hidden="1" x14ac:dyDescent="0.25"/>
    <row r="20109" hidden="1" x14ac:dyDescent="0.25"/>
    <row r="20110" hidden="1" x14ac:dyDescent="0.25"/>
    <row r="20111" hidden="1" x14ac:dyDescent="0.25"/>
    <row r="20112" hidden="1" x14ac:dyDescent="0.25"/>
    <row r="20113" hidden="1" x14ac:dyDescent="0.25"/>
    <row r="20114" hidden="1" x14ac:dyDescent="0.25"/>
    <row r="20115" hidden="1" x14ac:dyDescent="0.25"/>
    <row r="20116" hidden="1" x14ac:dyDescent="0.25"/>
    <row r="20117" hidden="1" x14ac:dyDescent="0.25"/>
    <row r="20118" hidden="1" x14ac:dyDescent="0.25"/>
    <row r="20119" hidden="1" x14ac:dyDescent="0.25"/>
    <row r="20120" hidden="1" x14ac:dyDescent="0.25"/>
    <row r="20121" hidden="1" x14ac:dyDescent="0.25"/>
    <row r="20122" hidden="1" x14ac:dyDescent="0.25"/>
    <row r="20123" hidden="1" x14ac:dyDescent="0.25"/>
    <row r="20124" hidden="1" x14ac:dyDescent="0.25"/>
    <row r="20125" hidden="1" x14ac:dyDescent="0.25"/>
    <row r="20126" hidden="1" x14ac:dyDescent="0.25"/>
    <row r="20127" hidden="1" x14ac:dyDescent="0.25"/>
    <row r="20128" hidden="1" x14ac:dyDescent="0.25"/>
    <row r="20129" hidden="1" x14ac:dyDescent="0.25"/>
    <row r="20130" hidden="1" x14ac:dyDescent="0.25"/>
    <row r="20131" hidden="1" x14ac:dyDescent="0.25"/>
    <row r="20132" hidden="1" x14ac:dyDescent="0.25"/>
    <row r="20133" hidden="1" x14ac:dyDescent="0.25"/>
    <row r="20134" hidden="1" x14ac:dyDescent="0.25"/>
    <row r="20135" hidden="1" x14ac:dyDescent="0.25"/>
    <row r="20136" hidden="1" x14ac:dyDescent="0.25"/>
    <row r="20137" hidden="1" x14ac:dyDescent="0.25"/>
    <row r="20138" hidden="1" x14ac:dyDescent="0.25"/>
    <row r="20139" hidden="1" x14ac:dyDescent="0.25"/>
    <row r="20140" hidden="1" x14ac:dyDescent="0.25"/>
    <row r="20141" hidden="1" x14ac:dyDescent="0.25"/>
    <row r="20142" hidden="1" x14ac:dyDescent="0.25"/>
    <row r="20143" hidden="1" x14ac:dyDescent="0.25"/>
    <row r="20144" hidden="1" x14ac:dyDescent="0.25"/>
    <row r="20145" hidden="1" x14ac:dyDescent="0.25"/>
    <row r="20146" hidden="1" x14ac:dyDescent="0.25"/>
    <row r="20147" hidden="1" x14ac:dyDescent="0.25"/>
    <row r="20148" hidden="1" x14ac:dyDescent="0.25"/>
    <row r="20149" hidden="1" x14ac:dyDescent="0.25"/>
    <row r="20150" hidden="1" x14ac:dyDescent="0.25"/>
    <row r="20151" hidden="1" x14ac:dyDescent="0.25"/>
    <row r="20152" hidden="1" x14ac:dyDescent="0.25"/>
    <row r="20153" hidden="1" x14ac:dyDescent="0.25"/>
    <row r="20154" hidden="1" x14ac:dyDescent="0.25"/>
    <row r="20155" hidden="1" x14ac:dyDescent="0.25"/>
    <row r="20156" hidden="1" x14ac:dyDescent="0.25"/>
    <row r="20157" hidden="1" x14ac:dyDescent="0.25"/>
    <row r="20158" hidden="1" x14ac:dyDescent="0.25"/>
    <row r="20159" hidden="1" x14ac:dyDescent="0.25"/>
    <row r="20160" hidden="1" x14ac:dyDescent="0.25"/>
    <row r="20161" hidden="1" x14ac:dyDescent="0.25"/>
    <row r="20162" hidden="1" x14ac:dyDescent="0.25"/>
    <row r="20163" hidden="1" x14ac:dyDescent="0.25"/>
    <row r="20164" hidden="1" x14ac:dyDescent="0.25"/>
    <row r="20165" hidden="1" x14ac:dyDescent="0.25"/>
    <row r="20166" hidden="1" x14ac:dyDescent="0.25"/>
    <row r="20167" hidden="1" x14ac:dyDescent="0.25"/>
    <row r="20168" hidden="1" x14ac:dyDescent="0.25"/>
    <row r="20169" hidden="1" x14ac:dyDescent="0.25"/>
    <row r="20170" hidden="1" x14ac:dyDescent="0.25"/>
    <row r="20171" hidden="1" x14ac:dyDescent="0.25"/>
    <row r="20172" hidden="1" x14ac:dyDescent="0.25"/>
    <row r="20173" hidden="1" x14ac:dyDescent="0.25"/>
    <row r="20174" hidden="1" x14ac:dyDescent="0.25"/>
    <row r="20175" hidden="1" x14ac:dyDescent="0.25"/>
    <row r="20176" hidden="1" x14ac:dyDescent="0.25"/>
    <row r="20177" hidden="1" x14ac:dyDescent="0.25"/>
    <row r="20178" hidden="1" x14ac:dyDescent="0.25"/>
    <row r="20179" hidden="1" x14ac:dyDescent="0.25"/>
    <row r="20180" hidden="1" x14ac:dyDescent="0.25"/>
    <row r="20181" hidden="1" x14ac:dyDescent="0.25"/>
    <row r="20182" hidden="1" x14ac:dyDescent="0.25"/>
    <row r="20183" hidden="1" x14ac:dyDescent="0.25"/>
    <row r="20184" hidden="1" x14ac:dyDescent="0.25"/>
    <row r="20185" hidden="1" x14ac:dyDescent="0.25"/>
    <row r="20186" hidden="1" x14ac:dyDescent="0.25"/>
    <row r="20187" hidden="1" x14ac:dyDescent="0.25"/>
    <row r="20188" hidden="1" x14ac:dyDescent="0.25"/>
    <row r="20189" hidden="1" x14ac:dyDescent="0.25"/>
    <row r="20190" hidden="1" x14ac:dyDescent="0.25"/>
    <row r="20191" hidden="1" x14ac:dyDescent="0.25"/>
    <row r="20192" hidden="1" x14ac:dyDescent="0.25"/>
    <row r="20193" hidden="1" x14ac:dyDescent="0.25"/>
    <row r="20194" hidden="1" x14ac:dyDescent="0.25"/>
    <row r="20195" hidden="1" x14ac:dyDescent="0.25"/>
    <row r="20196" hidden="1" x14ac:dyDescent="0.25"/>
    <row r="20197" hidden="1" x14ac:dyDescent="0.25"/>
    <row r="20198" hidden="1" x14ac:dyDescent="0.25"/>
    <row r="20199" hidden="1" x14ac:dyDescent="0.25"/>
    <row r="20200" hidden="1" x14ac:dyDescent="0.25"/>
    <row r="20201" hidden="1" x14ac:dyDescent="0.25"/>
    <row r="20202" hidden="1" x14ac:dyDescent="0.25"/>
    <row r="20203" hidden="1" x14ac:dyDescent="0.25"/>
    <row r="20204" hidden="1" x14ac:dyDescent="0.25"/>
    <row r="20205" hidden="1" x14ac:dyDescent="0.25"/>
    <row r="20206" hidden="1" x14ac:dyDescent="0.25"/>
    <row r="20207" hidden="1" x14ac:dyDescent="0.25"/>
    <row r="20208" hidden="1" x14ac:dyDescent="0.25"/>
    <row r="20209" hidden="1" x14ac:dyDescent="0.25"/>
    <row r="20210" hidden="1" x14ac:dyDescent="0.25"/>
    <row r="20211" hidden="1" x14ac:dyDescent="0.25"/>
    <row r="20212" hidden="1" x14ac:dyDescent="0.25"/>
    <row r="20213" hidden="1" x14ac:dyDescent="0.25"/>
    <row r="20214" hidden="1" x14ac:dyDescent="0.25"/>
    <row r="20215" hidden="1" x14ac:dyDescent="0.25"/>
    <row r="20216" hidden="1" x14ac:dyDescent="0.25"/>
    <row r="20217" hidden="1" x14ac:dyDescent="0.25"/>
    <row r="20218" hidden="1" x14ac:dyDescent="0.25"/>
    <row r="20219" hidden="1" x14ac:dyDescent="0.25"/>
    <row r="20220" hidden="1" x14ac:dyDescent="0.25"/>
    <row r="20221" hidden="1" x14ac:dyDescent="0.25"/>
    <row r="20222" hidden="1" x14ac:dyDescent="0.25"/>
    <row r="20223" hidden="1" x14ac:dyDescent="0.25"/>
    <row r="20224" hidden="1" x14ac:dyDescent="0.25"/>
    <row r="20225" hidden="1" x14ac:dyDescent="0.25"/>
    <row r="20226" hidden="1" x14ac:dyDescent="0.25"/>
    <row r="20227" hidden="1" x14ac:dyDescent="0.25"/>
    <row r="20228" hidden="1" x14ac:dyDescent="0.25"/>
    <row r="20229" hidden="1" x14ac:dyDescent="0.25"/>
    <row r="20230" hidden="1" x14ac:dyDescent="0.25"/>
    <row r="20231" hidden="1" x14ac:dyDescent="0.25"/>
    <row r="20232" hidden="1" x14ac:dyDescent="0.25"/>
    <row r="20233" hidden="1" x14ac:dyDescent="0.25"/>
    <row r="20234" hidden="1" x14ac:dyDescent="0.25"/>
    <row r="20235" hidden="1" x14ac:dyDescent="0.25"/>
    <row r="20236" hidden="1" x14ac:dyDescent="0.25"/>
    <row r="20237" hidden="1" x14ac:dyDescent="0.25"/>
    <row r="20238" hidden="1" x14ac:dyDescent="0.25"/>
    <row r="20239" hidden="1" x14ac:dyDescent="0.25"/>
    <row r="20240" hidden="1" x14ac:dyDescent="0.25"/>
    <row r="20241" hidden="1" x14ac:dyDescent="0.25"/>
    <row r="20242" hidden="1" x14ac:dyDescent="0.25"/>
    <row r="20243" hidden="1" x14ac:dyDescent="0.25"/>
    <row r="20244" hidden="1" x14ac:dyDescent="0.25"/>
    <row r="20245" hidden="1" x14ac:dyDescent="0.25"/>
    <row r="20246" hidden="1" x14ac:dyDescent="0.25"/>
    <row r="20247" hidden="1" x14ac:dyDescent="0.25"/>
    <row r="20248" hidden="1" x14ac:dyDescent="0.25"/>
    <row r="20249" hidden="1" x14ac:dyDescent="0.25"/>
    <row r="20250" hidden="1" x14ac:dyDescent="0.25"/>
    <row r="20251" hidden="1" x14ac:dyDescent="0.25"/>
    <row r="20252" hidden="1" x14ac:dyDescent="0.25"/>
    <row r="20253" hidden="1" x14ac:dyDescent="0.25"/>
    <row r="20254" hidden="1" x14ac:dyDescent="0.25"/>
    <row r="20255" hidden="1" x14ac:dyDescent="0.25"/>
    <row r="20256" hidden="1" x14ac:dyDescent="0.25"/>
    <row r="20257" hidden="1" x14ac:dyDescent="0.25"/>
    <row r="20258" hidden="1" x14ac:dyDescent="0.25"/>
    <row r="20259" hidden="1" x14ac:dyDescent="0.25"/>
    <row r="20260" hidden="1" x14ac:dyDescent="0.25"/>
    <row r="20261" hidden="1" x14ac:dyDescent="0.25"/>
    <row r="20262" hidden="1" x14ac:dyDescent="0.25"/>
    <row r="20263" hidden="1" x14ac:dyDescent="0.25"/>
    <row r="20264" hidden="1" x14ac:dyDescent="0.25"/>
    <row r="20265" hidden="1" x14ac:dyDescent="0.25"/>
    <row r="20266" hidden="1" x14ac:dyDescent="0.25"/>
    <row r="20267" hidden="1" x14ac:dyDescent="0.25"/>
    <row r="20268" hidden="1" x14ac:dyDescent="0.25"/>
    <row r="20269" hidden="1" x14ac:dyDescent="0.25"/>
    <row r="20270" hidden="1" x14ac:dyDescent="0.25"/>
    <row r="20271" hidden="1" x14ac:dyDescent="0.25"/>
    <row r="20272" hidden="1" x14ac:dyDescent="0.25"/>
    <row r="20273" hidden="1" x14ac:dyDescent="0.25"/>
    <row r="20274" hidden="1" x14ac:dyDescent="0.25"/>
    <row r="20275" hidden="1" x14ac:dyDescent="0.25"/>
    <row r="20276" hidden="1" x14ac:dyDescent="0.25"/>
    <row r="20277" hidden="1" x14ac:dyDescent="0.25"/>
    <row r="20278" hidden="1" x14ac:dyDescent="0.25"/>
    <row r="20279" hidden="1" x14ac:dyDescent="0.25"/>
    <row r="20280" hidden="1" x14ac:dyDescent="0.25"/>
    <row r="20281" hidden="1" x14ac:dyDescent="0.25"/>
    <row r="20282" hidden="1" x14ac:dyDescent="0.25"/>
    <row r="20283" hidden="1" x14ac:dyDescent="0.25"/>
    <row r="20284" hidden="1" x14ac:dyDescent="0.25"/>
    <row r="20285" hidden="1" x14ac:dyDescent="0.25"/>
    <row r="20286" hidden="1" x14ac:dyDescent="0.25"/>
    <row r="20287" hidden="1" x14ac:dyDescent="0.25"/>
    <row r="20288" hidden="1" x14ac:dyDescent="0.25"/>
    <row r="20289" hidden="1" x14ac:dyDescent="0.25"/>
    <row r="20290" hidden="1" x14ac:dyDescent="0.25"/>
    <row r="20291" hidden="1" x14ac:dyDescent="0.25"/>
    <row r="20292" hidden="1" x14ac:dyDescent="0.25"/>
    <row r="20293" hidden="1" x14ac:dyDescent="0.25"/>
    <row r="20294" hidden="1" x14ac:dyDescent="0.25"/>
    <row r="20295" hidden="1" x14ac:dyDescent="0.25"/>
    <row r="20296" hidden="1" x14ac:dyDescent="0.25"/>
    <row r="20297" hidden="1" x14ac:dyDescent="0.25"/>
    <row r="20298" hidden="1" x14ac:dyDescent="0.25"/>
    <row r="20299" hidden="1" x14ac:dyDescent="0.25"/>
    <row r="20300" hidden="1" x14ac:dyDescent="0.25"/>
    <row r="20301" hidden="1" x14ac:dyDescent="0.25"/>
    <row r="20302" hidden="1" x14ac:dyDescent="0.25"/>
    <row r="20303" hidden="1" x14ac:dyDescent="0.25"/>
    <row r="20304" hidden="1" x14ac:dyDescent="0.25"/>
    <row r="20305" hidden="1" x14ac:dyDescent="0.25"/>
    <row r="20306" hidden="1" x14ac:dyDescent="0.25"/>
    <row r="20307" hidden="1" x14ac:dyDescent="0.25"/>
    <row r="20308" hidden="1" x14ac:dyDescent="0.25"/>
    <row r="20309" hidden="1" x14ac:dyDescent="0.25"/>
    <row r="20310" hidden="1" x14ac:dyDescent="0.25"/>
    <row r="20311" hidden="1" x14ac:dyDescent="0.25"/>
    <row r="20312" hidden="1" x14ac:dyDescent="0.25"/>
    <row r="20313" hidden="1" x14ac:dyDescent="0.25"/>
    <row r="20314" hidden="1" x14ac:dyDescent="0.25"/>
    <row r="20315" hidden="1" x14ac:dyDescent="0.25"/>
    <row r="20316" hidden="1" x14ac:dyDescent="0.25"/>
    <row r="20317" hidden="1" x14ac:dyDescent="0.25"/>
    <row r="20318" hidden="1" x14ac:dyDescent="0.25"/>
    <row r="20319" hidden="1" x14ac:dyDescent="0.25"/>
    <row r="20320" hidden="1" x14ac:dyDescent="0.25"/>
    <row r="20321" hidden="1" x14ac:dyDescent="0.25"/>
    <row r="20322" hidden="1" x14ac:dyDescent="0.25"/>
    <row r="20323" hidden="1" x14ac:dyDescent="0.25"/>
    <row r="20324" hidden="1" x14ac:dyDescent="0.25"/>
    <row r="20325" hidden="1" x14ac:dyDescent="0.25"/>
    <row r="20326" hidden="1" x14ac:dyDescent="0.25"/>
    <row r="20327" hidden="1" x14ac:dyDescent="0.25"/>
    <row r="20328" hidden="1" x14ac:dyDescent="0.25"/>
    <row r="20329" hidden="1" x14ac:dyDescent="0.25"/>
    <row r="20330" hidden="1" x14ac:dyDescent="0.25"/>
    <row r="20331" hidden="1" x14ac:dyDescent="0.25"/>
    <row r="20332" hidden="1" x14ac:dyDescent="0.25"/>
    <row r="20333" hidden="1" x14ac:dyDescent="0.25"/>
    <row r="20334" hidden="1" x14ac:dyDescent="0.25"/>
    <row r="20335" hidden="1" x14ac:dyDescent="0.25"/>
    <row r="20336" hidden="1" x14ac:dyDescent="0.25"/>
    <row r="20337" hidden="1" x14ac:dyDescent="0.25"/>
    <row r="20338" hidden="1" x14ac:dyDescent="0.25"/>
    <row r="20339" hidden="1" x14ac:dyDescent="0.25"/>
    <row r="20340" hidden="1" x14ac:dyDescent="0.25"/>
    <row r="20341" hidden="1" x14ac:dyDescent="0.25"/>
    <row r="20342" hidden="1" x14ac:dyDescent="0.25"/>
    <row r="20343" hidden="1" x14ac:dyDescent="0.25"/>
    <row r="20344" hidden="1" x14ac:dyDescent="0.25"/>
    <row r="20345" hidden="1" x14ac:dyDescent="0.25"/>
    <row r="20346" hidden="1" x14ac:dyDescent="0.25"/>
    <row r="20347" hidden="1" x14ac:dyDescent="0.25"/>
    <row r="20348" hidden="1" x14ac:dyDescent="0.25"/>
    <row r="20349" hidden="1" x14ac:dyDescent="0.25"/>
    <row r="20350" hidden="1" x14ac:dyDescent="0.25"/>
    <row r="20351" hidden="1" x14ac:dyDescent="0.25"/>
    <row r="20352" hidden="1" x14ac:dyDescent="0.25"/>
    <row r="20353" hidden="1" x14ac:dyDescent="0.25"/>
    <row r="20354" hidden="1" x14ac:dyDescent="0.25"/>
    <row r="20355" hidden="1" x14ac:dyDescent="0.25"/>
    <row r="20356" hidden="1" x14ac:dyDescent="0.25"/>
    <row r="20357" hidden="1" x14ac:dyDescent="0.25"/>
    <row r="20358" hidden="1" x14ac:dyDescent="0.25"/>
    <row r="20359" hidden="1" x14ac:dyDescent="0.25"/>
    <row r="20360" hidden="1" x14ac:dyDescent="0.25"/>
    <row r="20361" hidden="1" x14ac:dyDescent="0.25"/>
    <row r="20362" hidden="1" x14ac:dyDescent="0.25"/>
    <row r="20363" hidden="1" x14ac:dyDescent="0.25"/>
    <row r="20364" hidden="1" x14ac:dyDescent="0.25"/>
    <row r="20365" hidden="1" x14ac:dyDescent="0.25"/>
    <row r="20366" hidden="1" x14ac:dyDescent="0.25"/>
    <row r="20367" hidden="1" x14ac:dyDescent="0.25"/>
    <row r="20368" hidden="1" x14ac:dyDescent="0.25"/>
    <row r="20369" hidden="1" x14ac:dyDescent="0.25"/>
    <row r="20370" hidden="1" x14ac:dyDescent="0.25"/>
    <row r="20371" hidden="1" x14ac:dyDescent="0.25"/>
    <row r="20372" hidden="1" x14ac:dyDescent="0.25"/>
    <row r="20373" hidden="1" x14ac:dyDescent="0.25"/>
    <row r="20374" hidden="1" x14ac:dyDescent="0.25"/>
    <row r="20375" hidden="1" x14ac:dyDescent="0.25"/>
    <row r="20376" hidden="1" x14ac:dyDescent="0.25"/>
    <row r="20377" hidden="1" x14ac:dyDescent="0.25"/>
    <row r="20378" hidden="1" x14ac:dyDescent="0.25"/>
    <row r="20379" hidden="1" x14ac:dyDescent="0.25"/>
    <row r="20380" hidden="1" x14ac:dyDescent="0.25"/>
    <row r="20381" hidden="1" x14ac:dyDescent="0.25"/>
    <row r="20382" hidden="1" x14ac:dyDescent="0.25"/>
    <row r="20383" hidden="1" x14ac:dyDescent="0.25"/>
    <row r="20384" hidden="1" x14ac:dyDescent="0.25"/>
    <row r="20385" hidden="1" x14ac:dyDescent="0.25"/>
    <row r="20386" hidden="1" x14ac:dyDescent="0.25"/>
    <row r="20387" hidden="1" x14ac:dyDescent="0.25"/>
    <row r="20388" hidden="1" x14ac:dyDescent="0.25"/>
    <row r="20389" hidden="1" x14ac:dyDescent="0.25"/>
    <row r="20390" hidden="1" x14ac:dyDescent="0.25"/>
    <row r="20391" hidden="1" x14ac:dyDescent="0.25"/>
    <row r="20392" hidden="1" x14ac:dyDescent="0.25"/>
    <row r="20393" hidden="1" x14ac:dyDescent="0.25"/>
    <row r="20394" hidden="1" x14ac:dyDescent="0.25"/>
    <row r="20395" hidden="1" x14ac:dyDescent="0.25"/>
    <row r="20396" hidden="1" x14ac:dyDescent="0.25"/>
    <row r="20397" hidden="1" x14ac:dyDescent="0.25"/>
    <row r="20398" hidden="1" x14ac:dyDescent="0.25"/>
    <row r="20399" hidden="1" x14ac:dyDescent="0.25"/>
    <row r="20400" hidden="1" x14ac:dyDescent="0.25"/>
    <row r="20401" hidden="1" x14ac:dyDescent="0.25"/>
    <row r="20402" hidden="1" x14ac:dyDescent="0.25"/>
    <row r="20403" hidden="1" x14ac:dyDescent="0.25"/>
    <row r="20404" hidden="1" x14ac:dyDescent="0.25"/>
    <row r="20405" hidden="1" x14ac:dyDescent="0.25"/>
    <row r="20406" hidden="1" x14ac:dyDescent="0.25"/>
    <row r="20407" hidden="1" x14ac:dyDescent="0.25"/>
    <row r="20408" hidden="1" x14ac:dyDescent="0.25"/>
    <row r="20409" hidden="1" x14ac:dyDescent="0.25"/>
    <row r="20410" hidden="1" x14ac:dyDescent="0.25"/>
    <row r="20411" hidden="1" x14ac:dyDescent="0.25"/>
    <row r="20412" hidden="1" x14ac:dyDescent="0.25"/>
    <row r="20413" hidden="1" x14ac:dyDescent="0.25"/>
    <row r="20414" hidden="1" x14ac:dyDescent="0.25"/>
    <row r="20415" hidden="1" x14ac:dyDescent="0.25"/>
    <row r="20416" hidden="1" x14ac:dyDescent="0.25"/>
    <row r="20417" hidden="1" x14ac:dyDescent="0.25"/>
    <row r="20418" hidden="1" x14ac:dyDescent="0.25"/>
    <row r="20419" hidden="1" x14ac:dyDescent="0.25"/>
    <row r="20420" hidden="1" x14ac:dyDescent="0.25"/>
    <row r="20421" hidden="1" x14ac:dyDescent="0.25"/>
    <row r="20422" hidden="1" x14ac:dyDescent="0.25"/>
    <row r="20423" hidden="1" x14ac:dyDescent="0.25"/>
    <row r="20424" hidden="1" x14ac:dyDescent="0.25"/>
    <row r="20425" hidden="1" x14ac:dyDescent="0.25"/>
    <row r="20426" hidden="1" x14ac:dyDescent="0.25"/>
    <row r="20427" hidden="1" x14ac:dyDescent="0.25"/>
    <row r="20428" hidden="1" x14ac:dyDescent="0.25"/>
    <row r="20429" hidden="1" x14ac:dyDescent="0.25"/>
    <row r="20430" hidden="1" x14ac:dyDescent="0.25"/>
    <row r="20431" hidden="1" x14ac:dyDescent="0.25"/>
    <row r="20432" hidden="1" x14ac:dyDescent="0.25"/>
    <row r="20433" hidden="1" x14ac:dyDescent="0.25"/>
    <row r="20434" hidden="1" x14ac:dyDescent="0.25"/>
    <row r="20435" hidden="1" x14ac:dyDescent="0.25"/>
    <row r="20436" hidden="1" x14ac:dyDescent="0.25"/>
    <row r="20437" hidden="1" x14ac:dyDescent="0.25"/>
    <row r="20438" hidden="1" x14ac:dyDescent="0.25"/>
    <row r="20439" hidden="1" x14ac:dyDescent="0.25"/>
    <row r="20440" hidden="1" x14ac:dyDescent="0.25"/>
    <row r="20441" hidden="1" x14ac:dyDescent="0.25"/>
    <row r="20442" hidden="1" x14ac:dyDescent="0.25"/>
    <row r="20443" hidden="1" x14ac:dyDescent="0.25"/>
    <row r="20444" hidden="1" x14ac:dyDescent="0.25"/>
    <row r="20445" hidden="1" x14ac:dyDescent="0.25"/>
    <row r="20446" hidden="1" x14ac:dyDescent="0.25"/>
    <row r="20447" hidden="1" x14ac:dyDescent="0.25"/>
    <row r="20448" hidden="1" x14ac:dyDescent="0.25"/>
    <row r="20449" hidden="1" x14ac:dyDescent="0.25"/>
    <row r="20450" hidden="1" x14ac:dyDescent="0.25"/>
    <row r="20451" hidden="1" x14ac:dyDescent="0.25"/>
    <row r="20452" hidden="1" x14ac:dyDescent="0.25"/>
    <row r="20453" hidden="1" x14ac:dyDescent="0.25"/>
    <row r="20454" hidden="1" x14ac:dyDescent="0.25"/>
    <row r="20455" hidden="1" x14ac:dyDescent="0.25"/>
    <row r="20456" hidden="1" x14ac:dyDescent="0.25"/>
    <row r="20457" hidden="1" x14ac:dyDescent="0.25"/>
    <row r="20458" hidden="1" x14ac:dyDescent="0.25"/>
    <row r="20459" hidden="1" x14ac:dyDescent="0.25"/>
    <row r="20460" hidden="1" x14ac:dyDescent="0.25"/>
    <row r="20461" hidden="1" x14ac:dyDescent="0.25"/>
    <row r="20462" hidden="1" x14ac:dyDescent="0.25"/>
    <row r="20463" hidden="1" x14ac:dyDescent="0.25"/>
    <row r="20464" hidden="1" x14ac:dyDescent="0.25"/>
    <row r="20465" hidden="1" x14ac:dyDescent="0.25"/>
    <row r="20466" hidden="1" x14ac:dyDescent="0.25"/>
    <row r="20467" hidden="1" x14ac:dyDescent="0.25"/>
    <row r="20468" hidden="1" x14ac:dyDescent="0.25"/>
    <row r="20469" hidden="1" x14ac:dyDescent="0.25"/>
    <row r="20470" hidden="1" x14ac:dyDescent="0.25"/>
    <row r="20471" hidden="1" x14ac:dyDescent="0.25"/>
    <row r="20472" hidden="1" x14ac:dyDescent="0.25"/>
    <row r="20473" hidden="1" x14ac:dyDescent="0.25"/>
    <row r="20474" hidden="1" x14ac:dyDescent="0.25"/>
    <row r="20475" hidden="1" x14ac:dyDescent="0.25"/>
    <row r="20476" hidden="1" x14ac:dyDescent="0.25"/>
    <row r="20477" hidden="1" x14ac:dyDescent="0.25"/>
    <row r="20478" hidden="1" x14ac:dyDescent="0.25"/>
    <row r="20479" hidden="1" x14ac:dyDescent="0.25"/>
    <row r="20480" hidden="1" x14ac:dyDescent="0.25"/>
    <row r="20481" hidden="1" x14ac:dyDescent="0.25"/>
    <row r="20482" hidden="1" x14ac:dyDescent="0.25"/>
    <row r="20483" hidden="1" x14ac:dyDescent="0.25"/>
    <row r="20484" hidden="1" x14ac:dyDescent="0.25"/>
    <row r="20485" hidden="1" x14ac:dyDescent="0.25"/>
    <row r="20486" hidden="1" x14ac:dyDescent="0.25"/>
    <row r="20487" hidden="1" x14ac:dyDescent="0.25"/>
    <row r="20488" hidden="1" x14ac:dyDescent="0.25"/>
    <row r="20489" hidden="1" x14ac:dyDescent="0.25"/>
    <row r="20490" hidden="1" x14ac:dyDescent="0.25"/>
    <row r="20491" hidden="1" x14ac:dyDescent="0.25"/>
    <row r="20492" hidden="1" x14ac:dyDescent="0.25"/>
    <row r="20493" hidden="1" x14ac:dyDescent="0.25"/>
    <row r="20494" hidden="1" x14ac:dyDescent="0.25"/>
    <row r="20495" hidden="1" x14ac:dyDescent="0.25"/>
    <row r="20496" hidden="1" x14ac:dyDescent="0.25"/>
    <row r="20497" hidden="1" x14ac:dyDescent="0.25"/>
    <row r="20498" hidden="1" x14ac:dyDescent="0.25"/>
    <row r="20499" hidden="1" x14ac:dyDescent="0.25"/>
    <row r="20500" hidden="1" x14ac:dyDescent="0.25"/>
    <row r="20501" hidden="1" x14ac:dyDescent="0.25"/>
    <row r="20502" hidden="1" x14ac:dyDescent="0.25"/>
    <row r="20503" hidden="1" x14ac:dyDescent="0.25"/>
    <row r="20504" hidden="1" x14ac:dyDescent="0.25"/>
    <row r="20505" hidden="1" x14ac:dyDescent="0.25"/>
    <row r="20506" hidden="1" x14ac:dyDescent="0.25"/>
    <row r="20507" hidden="1" x14ac:dyDescent="0.25"/>
    <row r="20508" hidden="1" x14ac:dyDescent="0.25"/>
    <row r="20509" hidden="1" x14ac:dyDescent="0.25"/>
    <row r="20510" hidden="1" x14ac:dyDescent="0.25"/>
    <row r="20511" hidden="1" x14ac:dyDescent="0.25"/>
    <row r="20512" hidden="1" x14ac:dyDescent="0.25"/>
    <row r="20513" hidden="1" x14ac:dyDescent="0.25"/>
    <row r="20514" hidden="1" x14ac:dyDescent="0.25"/>
    <row r="20515" hidden="1" x14ac:dyDescent="0.25"/>
    <row r="20516" hidden="1" x14ac:dyDescent="0.25"/>
    <row r="20517" hidden="1" x14ac:dyDescent="0.25"/>
    <row r="20518" hidden="1" x14ac:dyDescent="0.25"/>
    <row r="20519" hidden="1" x14ac:dyDescent="0.25"/>
    <row r="20520" hidden="1" x14ac:dyDescent="0.25"/>
    <row r="20521" hidden="1" x14ac:dyDescent="0.25"/>
    <row r="20522" hidden="1" x14ac:dyDescent="0.25"/>
    <row r="20523" hidden="1" x14ac:dyDescent="0.25"/>
    <row r="20524" hidden="1" x14ac:dyDescent="0.25"/>
    <row r="20525" hidden="1" x14ac:dyDescent="0.25"/>
    <row r="20526" hidden="1" x14ac:dyDescent="0.25"/>
    <row r="20527" hidden="1" x14ac:dyDescent="0.25"/>
    <row r="20528" hidden="1" x14ac:dyDescent="0.25"/>
    <row r="20529" hidden="1" x14ac:dyDescent="0.25"/>
    <row r="20530" hidden="1" x14ac:dyDescent="0.25"/>
    <row r="20531" hidden="1" x14ac:dyDescent="0.25"/>
    <row r="20532" hidden="1" x14ac:dyDescent="0.25"/>
    <row r="20533" hidden="1" x14ac:dyDescent="0.25"/>
    <row r="20534" hidden="1" x14ac:dyDescent="0.25"/>
    <row r="20535" hidden="1" x14ac:dyDescent="0.25"/>
    <row r="20536" hidden="1" x14ac:dyDescent="0.25"/>
    <row r="20537" hidden="1" x14ac:dyDescent="0.25"/>
    <row r="20538" hidden="1" x14ac:dyDescent="0.25"/>
    <row r="20539" hidden="1" x14ac:dyDescent="0.25"/>
    <row r="20540" hidden="1" x14ac:dyDescent="0.25"/>
    <row r="20541" hidden="1" x14ac:dyDescent="0.25"/>
    <row r="20542" hidden="1" x14ac:dyDescent="0.25"/>
    <row r="20543" hidden="1" x14ac:dyDescent="0.25"/>
    <row r="20544" hidden="1" x14ac:dyDescent="0.25"/>
    <row r="20545" hidden="1" x14ac:dyDescent="0.25"/>
    <row r="20546" hidden="1" x14ac:dyDescent="0.25"/>
    <row r="20547" hidden="1" x14ac:dyDescent="0.25"/>
    <row r="20548" hidden="1" x14ac:dyDescent="0.25"/>
    <row r="20549" hidden="1" x14ac:dyDescent="0.25"/>
    <row r="20550" hidden="1" x14ac:dyDescent="0.25"/>
    <row r="20551" hidden="1" x14ac:dyDescent="0.25"/>
    <row r="20552" hidden="1" x14ac:dyDescent="0.25"/>
    <row r="20553" hidden="1" x14ac:dyDescent="0.25"/>
    <row r="20554" hidden="1" x14ac:dyDescent="0.25"/>
    <row r="20555" hidden="1" x14ac:dyDescent="0.25"/>
    <row r="20556" hidden="1" x14ac:dyDescent="0.25"/>
    <row r="20557" hidden="1" x14ac:dyDescent="0.25"/>
    <row r="20558" hidden="1" x14ac:dyDescent="0.25"/>
    <row r="20559" hidden="1" x14ac:dyDescent="0.25"/>
    <row r="20560" hidden="1" x14ac:dyDescent="0.25"/>
    <row r="20561" hidden="1" x14ac:dyDescent="0.25"/>
    <row r="20562" hidden="1" x14ac:dyDescent="0.25"/>
    <row r="20563" hidden="1" x14ac:dyDescent="0.25"/>
    <row r="20564" hidden="1" x14ac:dyDescent="0.25"/>
    <row r="20565" hidden="1" x14ac:dyDescent="0.25"/>
    <row r="20566" hidden="1" x14ac:dyDescent="0.25"/>
    <row r="20567" hidden="1" x14ac:dyDescent="0.25"/>
    <row r="20568" hidden="1" x14ac:dyDescent="0.25"/>
    <row r="20569" hidden="1" x14ac:dyDescent="0.25"/>
    <row r="20570" hidden="1" x14ac:dyDescent="0.25"/>
    <row r="20571" hidden="1" x14ac:dyDescent="0.25"/>
    <row r="20572" hidden="1" x14ac:dyDescent="0.25"/>
    <row r="20573" hidden="1" x14ac:dyDescent="0.25"/>
    <row r="20574" hidden="1" x14ac:dyDescent="0.25"/>
    <row r="20575" hidden="1" x14ac:dyDescent="0.25"/>
    <row r="20576" hidden="1" x14ac:dyDescent="0.25"/>
    <row r="20577" hidden="1" x14ac:dyDescent="0.25"/>
    <row r="20578" hidden="1" x14ac:dyDescent="0.25"/>
    <row r="20579" hidden="1" x14ac:dyDescent="0.25"/>
    <row r="20580" hidden="1" x14ac:dyDescent="0.25"/>
    <row r="20581" hidden="1" x14ac:dyDescent="0.25"/>
    <row r="20582" hidden="1" x14ac:dyDescent="0.25"/>
    <row r="20583" hidden="1" x14ac:dyDescent="0.25"/>
    <row r="20584" hidden="1" x14ac:dyDescent="0.25"/>
    <row r="20585" hidden="1" x14ac:dyDescent="0.25"/>
    <row r="20586" hidden="1" x14ac:dyDescent="0.25"/>
    <row r="20587" hidden="1" x14ac:dyDescent="0.25"/>
    <row r="20588" hidden="1" x14ac:dyDescent="0.25"/>
    <row r="20589" hidden="1" x14ac:dyDescent="0.25"/>
    <row r="20590" hidden="1" x14ac:dyDescent="0.25"/>
    <row r="20591" hidden="1" x14ac:dyDescent="0.25"/>
    <row r="20592" hidden="1" x14ac:dyDescent="0.25"/>
    <row r="20593" hidden="1" x14ac:dyDescent="0.25"/>
    <row r="20594" hidden="1" x14ac:dyDescent="0.25"/>
    <row r="20595" hidden="1" x14ac:dyDescent="0.25"/>
    <row r="20596" hidden="1" x14ac:dyDescent="0.25"/>
    <row r="20597" hidden="1" x14ac:dyDescent="0.25"/>
    <row r="20598" hidden="1" x14ac:dyDescent="0.25"/>
    <row r="20599" hidden="1" x14ac:dyDescent="0.25"/>
    <row r="20600" hidden="1" x14ac:dyDescent="0.25"/>
    <row r="20601" hidden="1" x14ac:dyDescent="0.25"/>
    <row r="20602" hidden="1" x14ac:dyDescent="0.25"/>
    <row r="20603" hidden="1" x14ac:dyDescent="0.25"/>
    <row r="20604" hidden="1" x14ac:dyDescent="0.25"/>
    <row r="20605" hidden="1" x14ac:dyDescent="0.25"/>
    <row r="20606" hidden="1" x14ac:dyDescent="0.25"/>
    <row r="20607" hidden="1" x14ac:dyDescent="0.25"/>
    <row r="20608" hidden="1" x14ac:dyDescent="0.25"/>
    <row r="20609" hidden="1" x14ac:dyDescent="0.25"/>
    <row r="20610" hidden="1" x14ac:dyDescent="0.25"/>
    <row r="20611" hidden="1" x14ac:dyDescent="0.25"/>
    <row r="20612" hidden="1" x14ac:dyDescent="0.25"/>
    <row r="20613" hidden="1" x14ac:dyDescent="0.25"/>
    <row r="20614" hidden="1" x14ac:dyDescent="0.25"/>
    <row r="20615" hidden="1" x14ac:dyDescent="0.25"/>
    <row r="20616" hidden="1" x14ac:dyDescent="0.25"/>
    <row r="20617" hidden="1" x14ac:dyDescent="0.25"/>
    <row r="20618" hidden="1" x14ac:dyDescent="0.25"/>
    <row r="20619" hidden="1" x14ac:dyDescent="0.25"/>
    <row r="20620" hidden="1" x14ac:dyDescent="0.25"/>
    <row r="20621" hidden="1" x14ac:dyDescent="0.25"/>
    <row r="20622" hidden="1" x14ac:dyDescent="0.25"/>
    <row r="20623" hidden="1" x14ac:dyDescent="0.25"/>
    <row r="20624" hidden="1" x14ac:dyDescent="0.25"/>
    <row r="20625" hidden="1" x14ac:dyDescent="0.25"/>
    <row r="20626" hidden="1" x14ac:dyDescent="0.25"/>
    <row r="20627" hidden="1" x14ac:dyDescent="0.25"/>
    <row r="20628" hidden="1" x14ac:dyDescent="0.25"/>
    <row r="20629" hidden="1" x14ac:dyDescent="0.25"/>
    <row r="20630" hidden="1" x14ac:dyDescent="0.25"/>
    <row r="20631" hidden="1" x14ac:dyDescent="0.25"/>
    <row r="20632" hidden="1" x14ac:dyDescent="0.25"/>
    <row r="20633" hidden="1" x14ac:dyDescent="0.25"/>
    <row r="20634" hidden="1" x14ac:dyDescent="0.25"/>
    <row r="20635" hidden="1" x14ac:dyDescent="0.25"/>
    <row r="20636" hidden="1" x14ac:dyDescent="0.25"/>
    <row r="20637" hidden="1" x14ac:dyDescent="0.25"/>
    <row r="20638" hidden="1" x14ac:dyDescent="0.25"/>
    <row r="20639" hidden="1" x14ac:dyDescent="0.25"/>
    <row r="20640" hidden="1" x14ac:dyDescent="0.25"/>
    <row r="20641" hidden="1" x14ac:dyDescent="0.25"/>
    <row r="20642" hidden="1" x14ac:dyDescent="0.25"/>
    <row r="20643" hidden="1" x14ac:dyDescent="0.25"/>
    <row r="20644" hidden="1" x14ac:dyDescent="0.25"/>
    <row r="20645" hidden="1" x14ac:dyDescent="0.25"/>
    <row r="20646" hidden="1" x14ac:dyDescent="0.25"/>
    <row r="20647" hidden="1" x14ac:dyDescent="0.25"/>
    <row r="20648" hidden="1" x14ac:dyDescent="0.25"/>
    <row r="20649" hidden="1" x14ac:dyDescent="0.25"/>
    <row r="20650" hidden="1" x14ac:dyDescent="0.25"/>
    <row r="20651" hidden="1" x14ac:dyDescent="0.25"/>
    <row r="20652" hidden="1" x14ac:dyDescent="0.25"/>
    <row r="20653" hidden="1" x14ac:dyDescent="0.25"/>
    <row r="20654" hidden="1" x14ac:dyDescent="0.25"/>
    <row r="20655" hidden="1" x14ac:dyDescent="0.25"/>
    <row r="20656" hidden="1" x14ac:dyDescent="0.25"/>
    <row r="20657" hidden="1" x14ac:dyDescent="0.25"/>
    <row r="20658" hidden="1" x14ac:dyDescent="0.25"/>
    <row r="20659" hidden="1" x14ac:dyDescent="0.25"/>
    <row r="20660" hidden="1" x14ac:dyDescent="0.25"/>
    <row r="20661" hidden="1" x14ac:dyDescent="0.25"/>
    <row r="20662" hidden="1" x14ac:dyDescent="0.25"/>
    <row r="20663" hidden="1" x14ac:dyDescent="0.25"/>
    <row r="20664" hidden="1" x14ac:dyDescent="0.25"/>
    <row r="20665" hidden="1" x14ac:dyDescent="0.25"/>
    <row r="20666" hidden="1" x14ac:dyDescent="0.25"/>
    <row r="20667" hidden="1" x14ac:dyDescent="0.25"/>
    <row r="20668" hidden="1" x14ac:dyDescent="0.25"/>
    <row r="20669" hidden="1" x14ac:dyDescent="0.25"/>
    <row r="20670" hidden="1" x14ac:dyDescent="0.25"/>
    <row r="20671" hidden="1" x14ac:dyDescent="0.25"/>
    <row r="20672" hidden="1" x14ac:dyDescent="0.25"/>
    <row r="20673" hidden="1" x14ac:dyDescent="0.25"/>
    <row r="20674" hidden="1" x14ac:dyDescent="0.25"/>
    <row r="20675" hidden="1" x14ac:dyDescent="0.25"/>
    <row r="20676" hidden="1" x14ac:dyDescent="0.25"/>
    <row r="20677" hidden="1" x14ac:dyDescent="0.25"/>
    <row r="20678" hidden="1" x14ac:dyDescent="0.25"/>
    <row r="20679" hidden="1" x14ac:dyDescent="0.25"/>
    <row r="20680" hidden="1" x14ac:dyDescent="0.25"/>
    <row r="20681" hidden="1" x14ac:dyDescent="0.25"/>
    <row r="20682" hidden="1" x14ac:dyDescent="0.25"/>
    <row r="20683" hidden="1" x14ac:dyDescent="0.25"/>
    <row r="20684" hidden="1" x14ac:dyDescent="0.25"/>
    <row r="20685" hidden="1" x14ac:dyDescent="0.25"/>
    <row r="20686" hidden="1" x14ac:dyDescent="0.25"/>
    <row r="20687" hidden="1" x14ac:dyDescent="0.25"/>
    <row r="20688" hidden="1" x14ac:dyDescent="0.25"/>
    <row r="20689" hidden="1" x14ac:dyDescent="0.25"/>
    <row r="20690" hidden="1" x14ac:dyDescent="0.25"/>
    <row r="20691" hidden="1" x14ac:dyDescent="0.25"/>
    <row r="20692" hidden="1" x14ac:dyDescent="0.25"/>
    <row r="20693" hidden="1" x14ac:dyDescent="0.25"/>
    <row r="20694" hidden="1" x14ac:dyDescent="0.25"/>
    <row r="20695" hidden="1" x14ac:dyDescent="0.25"/>
    <row r="20696" hidden="1" x14ac:dyDescent="0.25"/>
    <row r="20697" hidden="1" x14ac:dyDescent="0.25"/>
    <row r="20698" hidden="1" x14ac:dyDescent="0.25"/>
    <row r="20699" hidden="1" x14ac:dyDescent="0.25"/>
    <row r="20700" hidden="1" x14ac:dyDescent="0.25"/>
    <row r="20701" hidden="1" x14ac:dyDescent="0.25"/>
    <row r="20702" hidden="1" x14ac:dyDescent="0.25"/>
    <row r="20703" hidden="1" x14ac:dyDescent="0.25"/>
    <row r="20704" hidden="1" x14ac:dyDescent="0.25"/>
    <row r="20705" hidden="1" x14ac:dyDescent="0.25"/>
    <row r="20706" hidden="1" x14ac:dyDescent="0.25"/>
    <row r="20707" hidden="1" x14ac:dyDescent="0.25"/>
    <row r="20708" hidden="1" x14ac:dyDescent="0.25"/>
    <row r="20709" hidden="1" x14ac:dyDescent="0.25"/>
    <row r="20710" hidden="1" x14ac:dyDescent="0.25"/>
    <row r="20711" hidden="1" x14ac:dyDescent="0.25"/>
    <row r="20712" hidden="1" x14ac:dyDescent="0.25"/>
    <row r="20713" hidden="1" x14ac:dyDescent="0.25"/>
    <row r="20714" hidden="1" x14ac:dyDescent="0.25"/>
    <row r="20715" hidden="1" x14ac:dyDescent="0.25"/>
    <row r="20716" hidden="1" x14ac:dyDescent="0.25"/>
    <row r="20717" hidden="1" x14ac:dyDescent="0.25"/>
    <row r="20718" hidden="1" x14ac:dyDescent="0.25"/>
    <row r="20719" hidden="1" x14ac:dyDescent="0.25"/>
    <row r="20720" hidden="1" x14ac:dyDescent="0.25"/>
    <row r="20721" hidden="1" x14ac:dyDescent="0.25"/>
    <row r="20722" hidden="1" x14ac:dyDescent="0.25"/>
    <row r="20723" hidden="1" x14ac:dyDescent="0.25"/>
    <row r="20724" hidden="1" x14ac:dyDescent="0.25"/>
    <row r="20725" hidden="1" x14ac:dyDescent="0.25"/>
    <row r="20726" hidden="1" x14ac:dyDescent="0.25"/>
    <row r="20727" hidden="1" x14ac:dyDescent="0.25"/>
    <row r="20728" hidden="1" x14ac:dyDescent="0.25"/>
    <row r="20729" hidden="1" x14ac:dyDescent="0.25"/>
    <row r="20730" hidden="1" x14ac:dyDescent="0.25"/>
    <row r="20731" hidden="1" x14ac:dyDescent="0.25"/>
    <row r="20732" hidden="1" x14ac:dyDescent="0.25"/>
    <row r="20733" hidden="1" x14ac:dyDescent="0.25"/>
    <row r="20734" hidden="1" x14ac:dyDescent="0.25"/>
    <row r="20735" hidden="1" x14ac:dyDescent="0.25"/>
    <row r="20736" hidden="1" x14ac:dyDescent="0.25"/>
    <row r="20737" hidden="1" x14ac:dyDescent="0.25"/>
    <row r="20738" hidden="1" x14ac:dyDescent="0.25"/>
    <row r="20739" hidden="1" x14ac:dyDescent="0.25"/>
    <row r="20740" hidden="1" x14ac:dyDescent="0.25"/>
    <row r="20741" hidden="1" x14ac:dyDescent="0.25"/>
    <row r="20742" hidden="1" x14ac:dyDescent="0.25"/>
    <row r="20743" hidden="1" x14ac:dyDescent="0.25"/>
    <row r="20744" hidden="1" x14ac:dyDescent="0.25"/>
    <row r="20745" hidden="1" x14ac:dyDescent="0.25"/>
    <row r="20746" hidden="1" x14ac:dyDescent="0.25"/>
    <row r="20747" hidden="1" x14ac:dyDescent="0.25"/>
    <row r="20748" hidden="1" x14ac:dyDescent="0.25"/>
    <row r="20749" hidden="1" x14ac:dyDescent="0.25"/>
    <row r="20750" hidden="1" x14ac:dyDescent="0.25"/>
    <row r="20751" hidden="1" x14ac:dyDescent="0.25"/>
    <row r="20752" hidden="1" x14ac:dyDescent="0.25"/>
    <row r="20753" hidden="1" x14ac:dyDescent="0.25"/>
    <row r="20754" hidden="1" x14ac:dyDescent="0.25"/>
    <row r="20755" hidden="1" x14ac:dyDescent="0.25"/>
    <row r="20756" hidden="1" x14ac:dyDescent="0.25"/>
    <row r="20757" hidden="1" x14ac:dyDescent="0.25"/>
    <row r="20758" hidden="1" x14ac:dyDescent="0.25"/>
    <row r="20759" hidden="1" x14ac:dyDescent="0.25"/>
    <row r="20760" hidden="1" x14ac:dyDescent="0.25"/>
    <row r="20761" hidden="1" x14ac:dyDescent="0.25"/>
    <row r="20762" hidden="1" x14ac:dyDescent="0.25"/>
    <row r="20763" hidden="1" x14ac:dyDescent="0.25"/>
    <row r="20764" hidden="1" x14ac:dyDescent="0.25"/>
    <row r="20765" hidden="1" x14ac:dyDescent="0.25"/>
    <row r="20766" hidden="1" x14ac:dyDescent="0.25"/>
    <row r="20767" hidden="1" x14ac:dyDescent="0.25"/>
    <row r="20768" hidden="1" x14ac:dyDescent="0.25"/>
    <row r="20769" hidden="1" x14ac:dyDescent="0.25"/>
    <row r="20770" hidden="1" x14ac:dyDescent="0.25"/>
    <row r="20771" hidden="1" x14ac:dyDescent="0.25"/>
    <row r="20772" hidden="1" x14ac:dyDescent="0.25"/>
    <row r="20773" hidden="1" x14ac:dyDescent="0.25"/>
    <row r="20774" hidden="1" x14ac:dyDescent="0.25"/>
    <row r="20775" hidden="1" x14ac:dyDescent="0.25"/>
    <row r="20776" hidden="1" x14ac:dyDescent="0.25"/>
    <row r="20777" hidden="1" x14ac:dyDescent="0.25"/>
    <row r="20778" hidden="1" x14ac:dyDescent="0.25"/>
    <row r="20779" hidden="1" x14ac:dyDescent="0.25"/>
    <row r="20780" hidden="1" x14ac:dyDescent="0.25"/>
    <row r="20781" hidden="1" x14ac:dyDescent="0.25"/>
    <row r="20782" hidden="1" x14ac:dyDescent="0.25"/>
    <row r="20783" hidden="1" x14ac:dyDescent="0.25"/>
    <row r="20784" hidden="1" x14ac:dyDescent="0.25"/>
    <row r="20785" hidden="1" x14ac:dyDescent="0.25"/>
    <row r="20786" hidden="1" x14ac:dyDescent="0.25"/>
    <row r="20787" hidden="1" x14ac:dyDescent="0.25"/>
    <row r="20788" hidden="1" x14ac:dyDescent="0.25"/>
    <row r="20789" hidden="1" x14ac:dyDescent="0.25"/>
    <row r="20790" hidden="1" x14ac:dyDescent="0.25"/>
    <row r="20791" hidden="1" x14ac:dyDescent="0.25"/>
    <row r="20792" hidden="1" x14ac:dyDescent="0.25"/>
    <row r="20793" hidden="1" x14ac:dyDescent="0.25"/>
    <row r="20794" hidden="1" x14ac:dyDescent="0.25"/>
    <row r="20795" hidden="1" x14ac:dyDescent="0.25"/>
    <row r="20796" hidden="1" x14ac:dyDescent="0.25"/>
    <row r="20797" hidden="1" x14ac:dyDescent="0.25"/>
    <row r="20798" hidden="1" x14ac:dyDescent="0.25"/>
    <row r="20799" hidden="1" x14ac:dyDescent="0.25"/>
    <row r="20800" hidden="1" x14ac:dyDescent="0.25"/>
    <row r="20801" hidden="1" x14ac:dyDescent="0.25"/>
    <row r="20802" hidden="1" x14ac:dyDescent="0.25"/>
    <row r="20803" hidden="1" x14ac:dyDescent="0.25"/>
    <row r="20804" hidden="1" x14ac:dyDescent="0.25"/>
    <row r="20805" hidden="1" x14ac:dyDescent="0.25"/>
    <row r="20806" hidden="1" x14ac:dyDescent="0.25"/>
    <row r="20807" hidden="1" x14ac:dyDescent="0.25"/>
    <row r="20808" hidden="1" x14ac:dyDescent="0.25"/>
    <row r="20809" hidden="1" x14ac:dyDescent="0.25"/>
    <row r="20810" hidden="1" x14ac:dyDescent="0.25"/>
    <row r="20811" hidden="1" x14ac:dyDescent="0.25"/>
    <row r="20812" hidden="1" x14ac:dyDescent="0.25"/>
    <row r="20813" hidden="1" x14ac:dyDescent="0.25"/>
    <row r="20814" hidden="1" x14ac:dyDescent="0.25"/>
    <row r="20815" hidden="1" x14ac:dyDescent="0.25"/>
    <row r="20816" hidden="1" x14ac:dyDescent="0.25"/>
    <row r="20817" hidden="1" x14ac:dyDescent="0.25"/>
    <row r="20818" hidden="1" x14ac:dyDescent="0.25"/>
    <row r="20819" hidden="1" x14ac:dyDescent="0.25"/>
    <row r="20820" hidden="1" x14ac:dyDescent="0.25"/>
    <row r="20821" hidden="1" x14ac:dyDescent="0.25"/>
    <row r="20822" hidden="1" x14ac:dyDescent="0.25"/>
    <row r="20823" hidden="1" x14ac:dyDescent="0.25"/>
    <row r="20824" hidden="1" x14ac:dyDescent="0.25"/>
    <row r="20825" hidden="1" x14ac:dyDescent="0.25"/>
    <row r="20826" hidden="1" x14ac:dyDescent="0.25"/>
    <row r="20827" hidden="1" x14ac:dyDescent="0.25"/>
    <row r="20828" hidden="1" x14ac:dyDescent="0.25"/>
    <row r="20829" hidden="1" x14ac:dyDescent="0.25"/>
    <row r="20830" hidden="1" x14ac:dyDescent="0.25"/>
    <row r="20831" hidden="1" x14ac:dyDescent="0.25"/>
    <row r="20832" hidden="1" x14ac:dyDescent="0.25"/>
    <row r="20833" hidden="1" x14ac:dyDescent="0.25"/>
    <row r="20834" hidden="1" x14ac:dyDescent="0.25"/>
    <row r="20835" hidden="1" x14ac:dyDescent="0.25"/>
    <row r="20836" hidden="1" x14ac:dyDescent="0.25"/>
    <row r="20837" hidden="1" x14ac:dyDescent="0.25"/>
    <row r="20838" hidden="1" x14ac:dyDescent="0.25"/>
    <row r="20839" hidden="1" x14ac:dyDescent="0.25"/>
    <row r="20840" hidden="1" x14ac:dyDescent="0.25"/>
    <row r="20841" hidden="1" x14ac:dyDescent="0.25"/>
    <row r="20842" hidden="1" x14ac:dyDescent="0.25"/>
    <row r="20843" hidden="1" x14ac:dyDescent="0.25"/>
    <row r="20844" hidden="1" x14ac:dyDescent="0.25"/>
    <row r="20845" hidden="1" x14ac:dyDescent="0.25"/>
    <row r="20846" hidden="1" x14ac:dyDescent="0.25"/>
    <row r="20847" hidden="1" x14ac:dyDescent="0.25"/>
    <row r="20848" hidden="1" x14ac:dyDescent="0.25"/>
    <row r="20849" hidden="1" x14ac:dyDescent="0.25"/>
    <row r="20850" hidden="1" x14ac:dyDescent="0.25"/>
    <row r="20851" hidden="1" x14ac:dyDescent="0.25"/>
    <row r="20852" hidden="1" x14ac:dyDescent="0.25"/>
    <row r="20853" hidden="1" x14ac:dyDescent="0.25"/>
    <row r="20854" hidden="1" x14ac:dyDescent="0.25"/>
    <row r="20855" hidden="1" x14ac:dyDescent="0.25"/>
    <row r="20856" hidden="1" x14ac:dyDescent="0.25"/>
    <row r="20857" hidden="1" x14ac:dyDescent="0.25"/>
    <row r="20858" hidden="1" x14ac:dyDescent="0.25"/>
    <row r="20859" hidden="1" x14ac:dyDescent="0.25"/>
    <row r="20860" hidden="1" x14ac:dyDescent="0.25"/>
    <row r="20861" hidden="1" x14ac:dyDescent="0.25"/>
    <row r="20862" hidden="1" x14ac:dyDescent="0.25"/>
    <row r="20863" hidden="1" x14ac:dyDescent="0.25"/>
    <row r="20864" hidden="1" x14ac:dyDescent="0.25"/>
    <row r="20865" hidden="1" x14ac:dyDescent="0.25"/>
    <row r="20866" hidden="1" x14ac:dyDescent="0.25"/>
    <row r="20867" hidden="1" x14ac:dyDescent="0.25"/>
    <row r="20868" hidden="1" x14ac:dyDescent="0.25"/>
    <row r="20869" hidden="1" x14ac:dyDescent="0.25"/>
    <row r="20870" hidden="1" x14ac:dyDescent="0.25"/>
    <row r="20871" hidden="1" x14ac:dyDescent="0.25"/>
    <row r="20872" hidden="1" x14ac:dyDescent="0.25"/>
    <row r="20873" hidden="1" x14ac:dyDescent="0.25"/>
    <row r="20874" hidden="1" x14ac:dyDescent="0.25"/>
    <row r="20875" hidden="1" x14ac:dyDescent="0.25"/>
    <row r="20876" hidden="1" x14ac:dyDescent="0.25"/>
    <row r="20877" hidden="1" x14ac:dyDescent="0.25"/>
    <row r="20878" hidden="1" x14ac:dyDescent="0.25"/>
    <row r="20879" hidden="1" x14ac:dyDescent="0.25"/>
    <row r="20880" hidden="1" x14ac:dyDescent="0.25"/>
    <row r="20881" hidden="1" x14ac:dyDescent="0.25"/>
    <row r="20882" hidden="1" x14ac:dyDescent="0.25"/>
    <row r="20883" hidden="1" x14ac:dyDescent="0.25"/>
    <row r="20884" hidden="1" x14ac:dyDescent="0.25"/>
    <row r="20885" hidden="1" x14ac:dyDescent="0.25"/>
    <row r="20886" hidden="1" x14ac:dyDescent="0.25"/>
    <row r="20887" hidden="1" x14ac:dyDescent="0.25"/>
    <row r="20888" hidden="1" x14ac:dyDescent="0.25"/>
    <row r="20889" hidden="1" x14ac:dyDescent="0.25"/>
    <row r="20890" hidden="1" x14ac:dyDescent="0.25"/>
    <row r="20891" hidden="1" x14ac:dyDescent="0.25"/>
    <row r="20892" hidden="1" x14ac:dyDescent="0.25"/>
    <row r="20893" hidden="1" x14ac:dyDescent="0.25"/>
    <row r="20894" hidden="1" x14ac:dyDescent="0.25"/>
    <row r="20895" hidden="1" x14ac:dyDescent="0.25"/>
    <row r="20896" hidden="1" x14ac:dyDescent="0.25"/>
    <row r="20897" hidden="1" x14ac:dyDescent="0.25"/>
    <row r="20898" hidden="1" x14ac:dyDescent="0.25"/>
    <row r="20899" hidden="1" x14ac:dyDescent="0.25"/>
    <row r="20900" hidden="1" x14ac:dyDescent="0.25"/>
    <row r="20901" hidden="1" x14ac:dyDescent="0.25"/>
    <row r="20902" hidden="1" x14ac:dyDescent="0.25"/>
    <row r="20903" hidden="1" x14ac:dyDescent="0.25"/>
    <row r="20904" hidden="1" x14ac:dyDescent="0.25"/>
    <row r="20905" hidden="1" x14ac:dyDescent="0.25"/>
    <row r="20906" hidden="1" x14ac:dyDescent="0.25"/>
    <row r="20907" hidden="1" x14ac:dyDescent="0.25"/>
    <row r="20908" hidden="1" x14ac:dyDescent="0.25"/>
    <row r="20909" hidden="1" x14ac:dyDescent="0.25"/>
    <row r="20910" hidden="1" x14ac:dyDescent="0.25"/>
    <row r="20911" hidden="1" x14ac:dyDescent="0.25"/>
    <row r="20912" hidden="1" x14ac:dyDescent="0.25"/>
    <row r="20913" hidden="1" x14ac:dyDescent="0.25"/>
    <row r="20914" hidden="1" x14ac:dyDescent="0.25"/>
    <row r="20915" hidden="1" x14ac:dyDescent="0.25"/>
    <row r="20916" hidden="1" x14ac:dyDescent="0.25"/>
    <row r="20917" hidden="1" x14ac:dyDescent="0.25"/>
    <row r="20918" hidden="1" x14ac:dyDescent="0.25"/>
    <row r="20919" hidden="1" x14ac:dyDescent="0.25"/>
    <row r="20920" hidden="1" x14ac:dyDescent="0.25"/>
    <row r="20921" hidden="1" x14ac:dyDescent="0.25"/>
    <row r="20922" hidden="1" x14ac:dyDescent="0.25"/>
    <row r="20923" hidden="1" x14ac:dyDescent="0.25"/>
    <row r="20924" hidden="1" x14ac:dyDescent="0.25"/>
    <row r="20925" hidden="1" x14ac:dyDescent="0.25"/>
    <row r="20926" hidden="1" x14ac:dyDescent="0.25"/>
    <row r="20927" hidden="1" x14ac:dyDescent="0.25"/>
    <row r="20928" hidden="1" x14ac:dyDescent="0.25"/>
    <row r="20929" hidden="1" x14ac:dyDescent="0.25"/>
    <row r="20930" hidden="1" x14ac:dyDescent="0.25"/>
    <row r="20931" hidden="1" x14ac:dyDescent="0.25"/>
    <row r="20932" hidden="1" x14ac:dyDescent="0.25"/>
    <row r="20933" hidden="1" x14ac:dyDescent="0.25"/>
    <row r="20934" hidden="1" x14ac:dyDescent="0.25"/>
    <row r="20935" hidden="1" x14ac:dyDescent="0.25"/>
    <row r="20936" hidden="1" x14ac:dyDescent="0.25"/>
    <row r="20937" hidden="1" x14ac:dyDescent="0.25"/>
    <row r="20938" hidden="1" x14ac:dyDescent="0.25"/>
    <row r="20939" hidden="1" x14ac:dyDescent="0.25"/>
    <row r="20940" hidden="1" x14ac:dyDescent="0.25"/>
    <row r="20941" hidden="1" x14ac:dyDescent="0.25"/>
    <row r="20942" hidden="1" x14ac:dyDescent="0.25"/>
    <row r="20943" hidden="1" x14ac:dyDescent="0.25"/>
    <row r="20944" hidden="1" x14ac:dyDescent="0.25"/>
    <row r="20945" hidden="1" x14ac:dyDescent="0.25"/>
    <row r="20946" hidden="1" x14ac:dyDescent="0.25"/>
    <row r="20947" hidden="1" x14ac:dyDescent="0.25"/>
    <row r="20948" hidden="1" x14ac:dyDescent="0.25"/>
    <row r="20949" hidden="1" x14ac:dyDescent="0.25"/>
    <row r="20950" hidden="1" x14ac:dyDescent="0.25"/>
    <row r="20951" hidden="1" x14ac:dyDescent="0.25"/>
    <row r="20952" hidden="1" x14ac:dyDescent="0.25"/>
    <row r="20953" hidden="1" x14ac:dyDescent="0.25"/>
    <row r="20954" hidden="1" x14ac:dyDescent="0.25"/>
    <row r="20955" hidden="1" x14ac:dyDescent="0.25"/>
    <row r="20956" hidden="1" x14ac:dyDescent="0.25"/>
    <row r="20957" hidden="1" x14ac:dyDescent="0.25"/>
    <row r="20958" hidden="1" x14ac:dyDescent="0.25"/>
    <row r="20959" hidden="1" x14ac:dyDescent="0.25"/>
    <row r="20960" hidden="1" x14ac:dyDescent="0.25"/>
    <row r="20961" hidden="1" x14ac:dyDescent="0.25"/>
    <row r="20962" hidden="1" x14ac:dyDescent="0.25"/>
    <row r="20963" hidden="1" x14ac:dyDescent="0.25"/>
    <row r="20964" hidden="1" x14ac:dyDescent="0.25"/>
    <row r="20965" hidden="1" x14ac:dyDescent="0.25"/>
    <row r="20966" hidden="1" x14ac:dyDescent="0.25"/>
    <row r="20967" hidden="1" x14ac:dyDescent="0.25"/>
    <row r="20968" hidden="1" x14ac:dyDescent="0.25"/>
    <row r="20969" hidden="1" x14ac:dyDescent="0.25"/>
    <row r="20970" hidden="1" x14ac:dyDescent="0.25"/>
    <row r="20971" hidden="1" x14ac:dyDescent="0.25"/>
    <row r="20972" hidden="1" x14ac:dyDescent="0.25"/>
    <row r="20973" hidden="1" x14ac:dyDescent="0.25"/>
    <row r="20974" hidden="1" x14ac:dyDescent="0.25"/>
    <row r="20975" hidden="1" x14ac:dyDescent="0.25"/>
    <row r="20976" hidden="1" x14ac:dyDescent="0.25"/>
    <row r="20977" hidden="1" x14ac:dyDescent="0.25"/>
    <row r="20978" hidden="1" x14ac:dyDescent="0.25"/>
    <row r="20979" hidden="1" x14ac:dyDescent="0.25"/>
    <row r="20980" hidden="1" x14ac:dyDescent="0.25"/>
    <row r="20981" hidden="1" x14ac:dyDescent="0.25"/>
    <row r="20982" hidden="1" x14ac:dyDescent="0.25"/>
    <row r="20983" hidden="1" x14ac:dyDescent="0.25"/>
    <row r="20984" hidden="1" x14ac:dyDescent="0.25"/>
    <row r="20985" hidden="1" x14ac:dyDescent="0.25"/>
    <row r="20986" hidden="1" x14ac:dyDescent="0.25"/>
    <row r="20987" hidden="1" x14ac:dyDescent="0.25"/>
    <row r="20988" hidden="1" x14ac:dyDescent="0.25"/>
    <row r="20989" hidden="1" x14ac:dyDescent="0.25"/>
    <row r="20990" hidden="1" x14ac:dyDescent="0.25"/>
    <row r="20991" hidden="1" x14ac:dyDescent="0.25"/>
    <row r="20992" hidden="1" x14ac:dyDescent="0.25"/>
    <row r="20993" hidden="1" x14ac:dyDescent="0.25"/>
    <row r="20994" hidden="1" x14ac:dyDescent="0.25"/>
    <row r="20995" hidden="1" x14ac:dyDescent="0.25"/>
    <row r="20996" hidden="1" x14ac:dyDescent="0.25"/>
    <row r="20997" hidden="1" x14ac:dyDescent="0.25"/>
    <row r="20998" hidden="1" x14ac:dyDescent="0.25"/>
    <row r="20999" hidden="1" x14ac:dyDescent="0.25"/>
    <row r="21000" hidden="1" x14ac:dyDescent="0.25"/>
    <row r="21001" hidden="1" x14ac:dyDescent="0.25"/>
    <row r="21002" hidden="1" x14ac:dyDescent="0.25"/>
    <row r="21003" hidden="1" x14ac:dyDescent="0.25"/>
    <row r="21004" hidden="1" x14ac:dyDescent="0.25"/>
    <row r="21005" hidden="1" x14ac:dyDescent="0.25"/>
    <row r="21006" hidden="1" x14ac:dyDescent="0.25"/>
    <row r="21007" hidden="1" x14ac:dyDescent="0.25"/>
    <row r="21008" hidden="1" x14ac:dyDescent="0.25"/>
    <row r="21009" hidden="1" x14ac:dyDescent="0.25"/>
    <row r="21010" hidden="1" x14ac:dyDescent="0.25"/>
    <row r="21011" hidden="1" x14ac:dyDescent="0.25"/>
    <row r="21012" hidden="1" x14ac:dyDescent="0.25"/>
    <row r="21013" hidden="1" x14ac:dyDescent="0.25"/>
    <row r="21014" hidden="1" x14ac:dyDescent="0.25"/>
    <row r="21015" hidden="1" x14ac:dyDescent="0.25"/>
    <row r="21016" hidden="1" x14ac:dyDescent="0.25"/>
    <row r="21017" hidden="1" x14ac:dyDescent="0.25"/>
    <row r="21018" hidden="1" x14ac:dyDescent="0.25"/>
    <row r="21019" hidden="1" x14ac:dyDescent="0.25"/>
    <row r="21020" hidden="1" x14ac:dyDescent="0.25"/>
    <row r="21021" hidden="1" x14ac:dyDescent="0.25"/>
    <row r="21022" hidden="1" x14ac:dyDescent="0.25"/>
    <row r="21023" hidden="1" x14ac:dyDescent="0.25"/>
    <row r="21024" hidden="1" x14ac:dyDescent="0.25"/>
    <row r="21025" hidden="1" x14ac:dyDescent="0.25"/>
    <row r="21026" hidden="1" x14ac:dyDescent="0.25"/>
    <row r="21027" hidden="1" x14ac:dyDescent="0.25"/>
    <row r="21028" hidden="1" x14ac:dyDescent="0.25"/>
    <row r="21029" hidden="1" x14ac:dyDescent="0.25"/>
    <row r="21030" hidden="1" x14ac:dyDescent="0.25"/>
    <row r="21031" hidden="1" x14ac:dyDescent="0.25"/>
    <row r="21032" hidden="1" x14ac:dyDescent="0.25"/>
    <row r="21033" hidden="1" x14ac:dyDescent="0.25"/>
    <row r="21034" hidden="1" x14ac:dyDescent="0.25"/>
    <row r="21035" hidden="1" x14ac:dyDescent="0.25"/>
    <row r="21036" hidden="1" x14ac:dyDescent="0.25"/>
    <row r="21037" hidden="1" x14ac:dyDescent="0.25"/>
    <row r="21038" hidden="1" x14ac:dyDescent="0.25"/>
    <row r="21039" hidden="1" x14ac:dyDescent="0.25"/>
    <row r="21040" hidden="1" x14ac:dyDescent="0.25"/>
    <row r="21041" hidden="1" x14ac:dyDescent="0.25"/>
    <row r="21042" hidden="1" x14ac:dyDescent="0.25"/>
    <row r="21043" hidden="1" x14ac:dyDescent="0.25"/>
    <row r="21044" hidden="1" x14ac:dyDescent="0.25"/>
    <row r="21045" hidden="1" x14ac:dyDescent="0.25"/>
    <row r="21046" hidden="1" x14ac:dyDescent="0.25"/>
    <row r="21047" hidden="1" x14ac:dyDescent="0.25"/>
    <row r="21048" hidden="1" x14ac:dyDescent="0.25"/>
    <row r="21049" hidden="1" x14ac:dyDescent="0.25"/>
    <row r="21050" hidden="1" x14ac:dyDescent="0.25"/>
    <row r="21051" hidden="1" x14ac:dyDescent="0.25"/>
    <row r="21052" hidden="1" x14ac:dyDescent="0.25"/>
    <row r="21053" hidden="1" x14ac:dyDescent="0.25"/>
    <row r="21054" hidden="1" x14ac:dyDescent="0.25"/>
    <row r="21055" hidden="1" x14ac:dyDescent="0.25"/>
    <row r="21056" hidden="1" x14ac:dyDescent="0.25"/>
    <row r="21057" hidden="1" x14ac:dyDescent="0.25"/>
    <row r="21058" hidden="1" x14ac:dyDescent="0.25"/>
    <row r="21059" hidden="1" x14ac:dyDescent="0.25"/>
    <row r="21060" hidden="1" x14ac:dyDescent="0.25"/>
    <row r="21061" hidden="1" x14ac:dyDescent="0.25"/>
    <row r="21062" hidden="1" x14ac:dyDescent="0.25"/>
    <row r="21063" hidden="1" x14ac:dyDescent="0.25"/>
    <row r="21064" hidden="1" x14ac:dyDescent="0.25"/>
    <row r="21065" hidden="1" x14ac:dyDescent="0.25"/>
    <row r="21066" hidden="1" x14ac:dyDescent="0.25"/>
    <row r="21067" hidden="1" x14ac:dyDescent="0.25"/>
    <row r="21068" hidden="1" x14ac:dyDescent="0.25"/>
    <row r="21069" hidden="1" x14ac:dyDescent="0.25"/>
    <row r="21070" hidden="1" x14ac:dyDescent="0.25"/>
    <row r="21071" hidden="1" x14ac:dyDescent="0.25"/>
    <row r="21072" hidden="1" x14ac:dyDescent="0.25"/>
    <row r="21073" hidden="1" x14ac:dyDescent="0.25"/>
    <row r="21074" hidden="1" x14ac:dyDescent="0.25"/>
    <row r="21075" hidden="1" x14ac:dyDescent="0.25"/>
    <row r="21076" hidden="1" x14ac:dyDescent="0.25"/>
    <row r="21077" hidden="1" x14ac:dyDescent="0.25"/>
    <row r="21078" hidden="1" x14ac:dyDescent="0.25"/>
    <row r="21079" hidden="1" x14ac:dyDescent="0.25"/>
    <row r="21080" hidden="1" x14ac:dyDescent="0.25"/>
    <row r="21081" hidden="1" x14ac:dyDescent="0.25"/>
    <row r="21082" hidden="1" x14ac:dyDescent="0.25"/>
    <row r="21083" hidden="1" x14ac:dyDescent="0.25"/>
    <row r="21084" hidden="1" x14ac:dyDescent="0.25"/>
    <row r="21085" hidden="1" x14ac:dyDescent="0.25"/>
    <row r="21086" hidden="1" x14ac:dyDescent="0.25"/>
    <row r="21087" hidden="1" x14ac:dyDescent="0.25"/>
    <row r="21088" hidden="1" x14ac:dyDescent="0.25"/>
    <row r="21089" hidden="1" x14ac:dyDescent="0.25"/>
    <row r="21090" hidden="1" x14ac:dyDescent="0.25"/>
    <row r="21091" hidden="1" x14ac:dyDescent="0.25"/>
    <row r="21092" hidden="1" x14ac:dyDescent="0.25"/>
    <row r="21093" hidden="1" x14ac:dyDescent="0.25"/>
    <row r="21094" hidden="1" x14ac:dyDescent="0.25"/>
    <row r="21095" hidden="1" x14ac:dyDescent="0.25"/>
    <row r="21096" hidden="1" x14ac:dyDescent="0.25"/>
    <row r="21097" hidden="1" x14ac:dyDescent="0.25"/>
    <row r="21098" hidden="1" x14ac:dyDescent="0.25"/>
    <row r="21099" hidden="1" x14ac:dyDescent="0.25"/>
    <row r="21100" hidden="1" x14ac:dyDescent="0.25"/>
    <row r="21101" hidden="1" x14ac:dyDescent="0.25"/>
    <row r="21102" hidden="1" x14ac:dyDescent="0.25"/>
    <row r="21103" hidden="1" x14ac:dyDescent="0.25"/>
    <row r="21104" hidden="1" x14ac:dyDescent="0.25"/>
    <row r="21105" hidden="1" x14ac:dyDescent="0.25"/>
    <row r="21106" hidden="1" x14ac:dyDescent="0.25"/>
    <row r="21107" hidden="1" x14ac:dyDescent="0.25"/>
    <row r="21108" hidden="1" x14ac:dyDescent="0.25"/>
    <row r="21109" hidden="1" x14ac:dyDescent="0.25"/>
    <row r="21110" hidden="1" x14ac:dyDescent="0.25"/>
    <row r="21111" hidden="1" x14ac:dyDescent="0.25"/>
    <row r="21112" hidden="1" x14ac:dyDescent="0.25"/>
    <row r="21113" hidden="1" x14ac:dyDescent="0.25"/>
    <row r="21114" hidden="1" x14ac:dyDescent="0.25"/>
    <row r="21115" hidden="1" x14ac:dyDescent="0.25"/>
    <row r="21116" hidden="1" x14ac:dyDescent="0.25"/>
    <row r="21117" hidden="1" x14ac:dyDescent="0.25"/>
    <row r="21118" hidden="1" x14ac:dyDescent="0.25"/>
    <row r="21119" hidden="1" x14ac:dyDescent="0.25"/>
    <row r="21120" hidden="1" x14ac:dyDescent="0.25"/>
    <row r="21121" hidden="1" x14ac:dyDescent="0.25"/>
    <row r="21122" hidden="1" x14ac:dyDescent="0.25"/>
    <row r="21123" hidden="1" x14ac:dyDescent="0.25"/>
    <row r="21124" hidden="1" x14ac:dyDescent="0.25"/>
    <row r="21125" hidden="1" x14ac:dyDescent="0.25"/>
    <row r="21126" hidden="1" x14ac:dyDescent="0.25"/>
    <row r="21127" hidden="1" x14ac:dyDescent="0.25"/>
    <row r="21128" hidden="1" x14ac:dyDescent="0.25"/>
    <row r="21129" hidden="1" x14ac:dyDescent="0.25"/>
    <row r="21130" hidden="1" x14ac:dyDescent="0.25"/>
    <row r="21131" hidden="1" x14ac:dyDescent="0.25"/>
    <row r="21132" hidden="1" x14ac:dyDescent="0.25"/>
    <row r="21133" hidden="1" x14ac:dyDescent="0.25"/>
    <row r="21134" hidden="1" x14ac:dyDescent="0.25"/>
    <row r="21135" hidden="1" x14ac:dyDescent="0.25"/>
    <row r="21136" hidden="1" x14ac:dyDescent="0.25"/>
    <row r="21137" hidden="1" x14ac:dyDescent="0.25"/>
    <row r="21138" hidden="1" x14ac:dyDescent="0.25"/>
    <row r="21139" hidden="1" x14ac:dyDescent="0.25"/>
    <row r="21140" hidden="1" x14ac:dyDescent="0.25"/>
    <row r="21141" hidden="1" x14ac:dyDescent="0.25"/>
    <row r="21142" hidden="1" x14ac:dyDescent="0.25"/>
    <row r="21143" hidden="1" x14ac:dyDescent="0.25"/>
    <row r="21144" hidden="1" x14ac:dyDescent="0.25"/>
    <row r="21145" hidden="1" x14ac:dyDescent="0.25"/>
    <row r="21146" hidden="1" x14ac:dyDescent="0.25"/>
    <row r="21147" hidden="1" x14ac:dyDescent="0.25"/>
    <row r="21148" hidden="1" x14ac:dyDescent="0.25"/>
    <row r="21149" hidden="1" x14ac:dyDescent="0.25"/>
    <row r="21150" hidden="1" x14ac:dyDescent="0.25"/>
    <row r="21151" hidden="1" x14ac:dyDescent="0.25"/>
    <row r="21152" hidden="1" x14ac:dyDescent="0.25"/>
    <row r="21153" hidden="1" x14ac:dyDescent="0.25"/>
    <row r="21154" hidden="1" x14ac:dyDescent="0.25"/>
    <row r="21155" hidden="1" x14ac:dyDescent="0.25"/>
    <row r="21156" hidden="1" x14ac:dyDescent="0.25"/>
    <row r="21157" hidden="1" x14ac:dyDescent="0.25"/>
    <row r="21158" hidden="1" x14ac:dyDescent="0.25"/>
    <row r="21159" hidden="1" x14ac:dyDescent="0.25"/>
    <row r="21160" hidden="1" x14ac:dyDescent="0.25"/>
    <row r="21161" hidden="1" x14ac:dyDescent="0.25"/>
    <row r="21162" hidden="1" x14ac:dyDescent="0.25"/>
    <row r="21163" hidden="1" x14ac:dyDescent="0.25"/>
    <row r="21164" hidden="1" x14ac:dyDescent="0.25"/>
    <row r="21165" hidden="1" x14ac:dyDescent="0.25"/>
    <row r="21166" hidden="1" x14ac:dyDescent="0.25"/>
    <row r="21167" hidden="1" x14ac:dyDescent="0.25"/>
    <row r="21168" hidden="1" x14ac:dyDescent="0.25"/>
    <row r="21169" hidden="1" x14ac:dyDescent="0.25"/>
    <row r="21170" hidden="1" x14ac:dyDescent="0.25"/>
    <row r="21171" hidden="1" x14ac:dyDescent="0.25"/>
    <row r="21172" hidden="1" x14ac:dyDescent="0.25"/>
    <row r="21173" hidden="1" x14ac:dyDescent="0.25"/>
    <row r="21174" hidden="1" x14ac:dyDescent="0.25"/>
    <row r="21175" hidden="1" x14ac:dyDescent="0.25"/>
    <row r="21176" hidden="1" x14ac:dyDescent="0.25"/>
    <row r="21177" hidden="1" x14ac:dyDescent="0.25"/>
    <row r="21178" hidden="1" x14ac:dyDescent="0.25"/>
    <row r="21179" hidden="1" x14ac:dyDescent="0.25"/>
    <row r="21180" hidden="1" x14ac:dyDescent="0.25"/>
    <row r="21181" hidden="1" x14ac:dyDescent="0.25"/>
    <row r="21182" hidden="1" x14ac:dyDescent="0.25"/>
    <row r="21183" hidden="1" x14ac:dyDescent="0.25"/>
    <row r="21184" hidden="1" x14ac:dyDescent="0.25"/>
    <row r="21185" hidden="1" x14ac:dyDescent="0.25"/>
    <row r="21186" hidden="1" x14ac:dyDescent="0.25"/>
    <row r="21187" hidden="1" x14ac:dyDescent="0.25"/>
    <row r="21188" hidden="1" x14ac:dyDescent="0.25"/>
    <row r="21189" hidden="1" x14ac:dyDescent="0.25"/>
    <row r="21190" hidden="1" x14ac:dyDescent="0.25"/>
    <row r="21191" hidden="1" x14ac:dyDescent="0.25"/>
    <row r="21192" hidden="1" x14ac:dyDescent="0.25"/>
    <row r="21193" hidden="1" x14ac:dyDescent="0.25"/>
    <row r="21194" hidden="1" x14ac:dyDescent="0.25"/>
    <row r="21195" hidden="1" x14ac:dyDescent="0.25"/>
    <row r="21196" hidden="1" x14ac:dyDescent="0.25"/>
    <row r="21197" hidden="1" x14ac:dyDescent="0.25"/>
    <row r="21198" hidden="1" x14ac:dyDescent="0.25"/>
    <row r="21199" hidden="1" x14ac:dyDescent="0.25"/>
    <row r="21200" hidden="1" x14ac:dyDescent="0.25"/>
    <row r="21201" hidden="1" x14ac:dyDescent="0.25"/>
    <row r="21202" hidden="1" x14ac:dyDescent="0.25"/>
    <row r="21203" hidden="1" x14ac:dyDescent="0.25"/>
    <row r="21204" hidden="1" x14ac:dyDescent="0.25"/>
    <row r="21205" hidden="1" x14ac:dyDescent="0.25"/>
    <row r="21206" hidden="1" x14ac:dyDescent="0.25"/>
    <row r="21207" hidden="1" x14ac:dyDescent="0.25"/>
    <row r="21208" hidden="1" x14ac:dyDescent="0.25"/>
    <row r="21209" hidden="1" x14ac:dyDescent="0.25"/>
    <row r="21210" hidden="1" x14ac:dyDescent="0.25"/>
    <row r="21211" hidden="1" x14ac:dyDescent="0.25"/>
    <row r="21212" hidden="1" x14ac:dyDescent="0.25"/>
    <row r="21213" hidden="1" x14ac:dyDescent="0.25"/>
    <row r="21214" hidden="1" x14ac:dyDescent="0.25"/>
    <row r="21215" hidden="1" x14ac:dyDescent="0.25"/>
    <row r="21216" hidden="1" x14ac:dyDescent="0.25"/>
    <row r="21217" hidden="1" x14ac:dyDescent="0.25"/>
    <row r="21218" hidden="1" x14ac:dyDescent="0.25"/>
    <row r="21219" hidden="1" x14ac:dyDescent="0.25"/>
    <row r="21220" hidden="1" x14ac:dyDescent="0.25"/>
    <row r="21221" hidden="1" x14ac:dyDescent="0.25"/>
    <row r="21222" hidden="1" x14ac:dyDescent="0.25"/>
    <row r="21223" hidden="1" x14ac:dyDescent="0.25"/>
    <row r="21224" hidden="1" x14ac:dyDescent="0.25"/>
    <row r="21225" hidden="1" x14ac:dyDescent="0.25"/>
    <row r="21226" hidden="1" x14ac:dyDescent="0.25"/>
    <row r="21227" hidden="1" x14ac:dyDescent="0.25"/>
    <row r="21228" hidden="1" x14ac:dyDescent="0.25"/>
    <row r="21229" hidden="1" x14ac:dyDescent="0.25"/>
    <row r="21230" hidden="1" x14ac:dyDescent="0.25"/>
    <row r="21231" hidden="1" x14ac:dyDescent="0.25"/>
    <row r="21232" hidden="1" x14ac:dyDescent="0.25"/>
    <row r="21233" hidden="1" x14ac:dyDescent="0.25"/>
    <row r="21234" hidden="1" x14ac:dyDescent="0.25"/>
    <row r="21235" hidden="1" x14ac:dyDescent="0.25"/>
    <row r="21236" hidden="1" x14ac:dyDescent="0.25"/>
    <row r="21237" hidden="1" x14ac:dyDescent="0.25"/>
    <row r="21238" hidden="1" x14ac:dyDescent="0.25"/>
    <row r="21239" hidden="1" x14ac:dyDescent="0.25"/>
    <row r="21240" hidden="1" x14ac:dyDescent="0.25"/>
    <row r="21241" hidden="1" x14ac:dyDescent="0.25"/>
    <row r="21242" hidden="1" x14ac:dyDescent="0.25"/>
    <row r="21243" hidden="1" x14ac:dyDescent="0.25"/>
    <row r="21244" hidden="1" x14ac:dyDescent="0.25"/>
    <row r="21245" hidden="1" x14ac:dyDescent="0.25"/>
    <row r="21246" hidden="1" x14ac:dyDescent="0.25"/>
    <row r="21247" hidden="1" x14ac:dyDescent="0.25"/>
    <row r="21248" hidden="1" x14ac:dyDescent="0.25"/>
    <row r="21249" hidden="1" x14ac:dyDescent="0.25"/>
    <row r="21250" hidden="1" x14ac:dyDescent="0.25"/>
    <row r="21251" hidden="1" x14ac:dyDescent="0.25"/>
    <row r="21252" hidden="1" x14ac:dyDescent="0.25"/>
    <row r="21253" hidden="1" x14ac:dyDescent="0.25"/>
    <row r="21254" hidden="1" x14ac:dyDescent="0.25"/>
    <row r="21255" hidden="1" x14ac:dyDescent="0.25"/>
    <row r="21256" hidden="1" x14ac:dyDescent="0.25"/>
    <row r="21257" hidden="1" x14ac:dyDescent="0.25"/>
    <row r="21258" hidden="1" x14ac:dyDescent="0.25"/>
    <row r="21259" hidden="1" x14ac:dyDescent="0.25"/>
    <row r="21260" hidden="1" x14ac:dyDescent="0.25"/>
    <row r="21261" hidden="1" x14ac:dyDescent="0.25"/>
    <row r="21262" hidden="1" x14ac:dyDescent="0.25"/>
    <row r="21263" hidden="1" x14ac:dyDescent="0.25"/>
    <row r="21264" hidden="1" x14ac:dyDescent="0.25"/>
    <row r="21265" hidden="1" x14ac:dyDescent="0.25"/>
    <row r="21266" hidden="1" x14ac:dyDescent="0.25"/>
    <row r="21267" hidden="1" x14ac:dyDescent="0.25"/>
    <row r="21268" hidden="1" x14ac:dyDescent="0.25"/>
    <row r="21269" hidden="1" x14ac:dyDescent="0.25"/>
    <row r="21270" hidden="1" x14ac:dyDescent="0.25"/>
    <row r="21271" hidden="1" x14ac:dyDescent="0.25"/>
    <row r="21272" hidden="1" x14ac:dyDescent="0.25"/>
    <row r="21273" hidden="1" x14ac:dyDescent="0.25"/>
    <row r="21274" hidden="1" x14ac:dyDescent="0.25"/>
    <row r="21275" hidden="1" x14ac:dyDescent="0.25"/>
    <row r="21276" hidden="1" x14ac:dyDescent="0.25"/>
    <row r="21277" hidden="1" x14ac:dyDescent="0.25"/>
    <row r="21278" hidden="1" x14ac:dyDescent="0.25"/>
    <row r="21279" hidden="1" x14ac:dyDescent="0.25"/>
    <row r="21280" hidden="1" x14ac:dyDescent="0.25"/>
    <row r="21281" hidden="1" x14ac:dyDescent="0.25"/>
    <row r="21282" hidden="1" x14ac:dyDescent="0.25"/>
    <row r="21283" hidden="1" x14ac:dyDescent="0.25"/>
    <row r="21284" hidden="1" x14ac:dyDescent="0.25"/>
    <row r="21285" hidden="1" x14ac:dyDescent="0.25"/>
    <row r="21286" hidden="1" x14ac:dyDescent="0.25"/>
    <row r="21287" hidden="1" x14ac:dyDescent="0.25"/>
    <row r="21288" hidden="1" x14ac:dyDescent="0.25"/>
    <row r="21289" hidden="1" x14ac:dyDescent="0.25"/>
    <row r="21290" hidden="1" x14ac:dyDescent="0.25"/>
    <row r="21291" hidden="1" x14ac:dyDescent="0.25"/>
    <row r="21292" hidden="1" x14ac:dyDescent="0.25"/>
    <row r="21293" hidden="1" x14ac:dyDescent="0.25"/>
    <row r="21294" hidden="1" x14ac:dyDescent="0.25"/>
    <row r="21295" hidden="1" x14ac:dyDescent="0.25"/>
    <row r="21296" hidden="1" x14ac:dyDescent="0.25"/>
    <row r="21297" hidden="1" x14ac:dyDescent="0.25"/>
    <row r="21298" hidden="1" x14ac:dyDescent="0.25"/>
    <row r="21299" hidden="1" x14ac:dyDescent="0.25"/>
    <row r="21300" hidden="1" x14ac:dyDescent="0.25"/>
    <row r="21301" hidden="1" x14ac:dyDescent="0.25"/>
    <row r="21302" hidden="1" x14ac:dyDescent="0.25"/>
    <row r="21303" hidden="1" x14ac:dyDescent="0.25"/>
    <row r="21304" hidden="1" x14ac:dyDescent="0.25"/>
    <row r="21305" hidden="1" x14ac:dyDescent="0.25"/>
    <row r="21306" hidden="1" x14ac:dyDescent="0.25"/>
    <row r="21307" hidden="1" x14ac:dyDescent="0.25"/>
    <row r="21308" hidden="1" x14ac:dyDescent="0.25"/>
    <row r="21309" hidden="1" x14ac:dyDescent="0.25"/>
    <row r="21310" hidden="1" x14ac:dyDescent="0.25"/>
    <row r="21311" hidden="1" x14ac:dyDescent="0.25"/>
    <row r="21312" hidden="1" x14ac:dyDescent="0.25"/>
    <row r="21313" hidden="1" x14ac:dyDescent="0.25"/>
    <row r="21314" hidden="1" x14ac:dyDescent="0.25"/>
    <row r="21315" hidden="1" x14ac:dyDescent="0.25"/>
    <row r="21316" hidden="1" x14ac:dyDescent="0.25"/>
    <row r="21317" hidden="1" x14ac:dyDescent="0.25"/>
    <row r="21318" hidden="1" x14ac:dyDescent="0.25"/>
    <row r="21319" hidden="1" x14ac:dyDescent="0.25"/>
    <row r="21320" hidden="1" x14ac:dyDescent="0.25"/>
    <row r="21321" hidden="1" x14ac:dyDescent="0.25"/>
    <row r="21322" hidden="1" x14ac:dyDescent="0.25"/>
    <row r="21323" hidden="1" x14ac:dyDescent="0.25"/>
    <row r="21324" hidden="1" x14ac:dyDescent="0.25"/>
    <row r="21325" hidden="1" x14ac:dyDescent="0.25"/>
    <row r="21326" hidden="1" x14ac:dyDescent="0.25"/>
    <row r="21327" hidden="1" x14ac:dyDescent="0.25"/>
    <row r="21328" hidden="1" x14ac:dyDescent="0.25"/>
    <row r="21329" hidden="1" x14ac:dyDescent="0.25"/>
    <row r="21330" hidden="1" x14ac:dyDescent="0.25"/>
    <row r="21331" hidden="1" x14ac:dyDescent="0.25"/>
    <row r="21332" hidden="1" x14ac:dyDescent="0.25"/>
    <row r="21333" hidden="1" x14ac:dyDescent="0.25"/>
    <row r="21334" hidden="1" x14ac:dyDescent="0.25"/>
    <row r="21335" hidden="1" x14ac:dyDescent="0.25"/>
    <row r="21336" hidden="1" x14ac:dyDescent="0.25"/>
    <row r="21337" hidden="1" x14ac:dyDescent="0.25"/>
    <row r="21338" hidden="1" x14ac:dyDescent="0.25"/>
    <row r="21339" hidden="1" x14ac:dyDescent="0.25"/>
    <row r="21340" hidden="1" x14ac:dyDescent="0.25"/>
    <row r="21341" hidden="1" x14ac:dyDescent="0.25"/>
    <row r="21342" hidden="1" x14ac:dyDescent="0.25"/>
    <row r="21343" hidden="1" x14ac:dyDescent="0.25"/>
    <row r="21344" hidden="1" x14ac:dyDescent="0.25"/>
    <row r="21345" hidden="1" x14ac:dyDescent="0.25"/>
    <row r="21346" hidden="1" x14ac:dyDescent="0.25"/>
    <row r="21347" hidden="1" x14ac:dyDescent="0.25"/>
    <row r="21348" hidden="1" x14ac:dyDescent="0.25"/>
    <row r="21349" hidden="1" x14ac:dyDescent="0.25"/>
    <row r="21350" hidden="1" x14ac:dyDescent="0.25"/>
    <row r="21351" hidden="1" x14ac:dyDescent="0.25"/>
    <row r="21352" hidden="1" x14ac:dyDescent="0.25"/>
    <row r="21353" hidden="1" x14ac:dyDescent="0.25"/>
    <row r="21354" hidden="1" x14ac:dyDescent="0.25"/>
    <row r="21355" hidden="1" x14ac:dyDescent="0.25"/>
    <row r="21356" hidden="1" x14ac:dyDescent="0.25"/>
    <row r="21357" hidden="1" x14ac:dyDescent="0.25"/>
    <row r="21358" hidden="1" x14ac:dyDescent="0.25"/>
    <row r="21359" hidden="1" x14ac:dyDescent="0.25"/>
    <row r="21360" hidden="1" x14ac:dyDescent="0.25"/>
    <row r="21361" hidden="1" x14ac:dyDescent="0.25"/>
    <row r="21362" hidden="1" x14ac:dyDescent="0.25"/>
    <row r="21363" hidden="1" x14ac:dyDescent="0.25"/>
    <row r="21364" hidden="1" x14ac:dyDescent="0.25"/>
    <row r="21365" hidden="1" x14ac:dyDescent="0.25"/>
    <row r="21366" hidden="1" x14ac:dyDescent="0.25"/>
    <row r="21367" hidden="1" x14ac:dyDescent="0.25"/>
    <row r="21368" hidden="1" x14ac:dyDescent="0.25"/>
    <row r="21369" hidden="1" x14ac:dyDescent="0.25"/>
    <row r="21370" hidden="1" x14ac:dyDescent="0.25"/>
    <row r="21371" hidden="1" x14ac:dyDescent="0.25"/>
    <row r="21372" hidden="1" x14ac:dyDescent="0.25"/>
    <row r="21373" hidden="1" x14ac:dyDescent="0.25"/>
    <row r="21374" hidden="1" x14ac:dyDescent="0.25"/>
    <row r="21375" hidden="1" x14ac:dyDescent="0.25"/>
    <row r="21376" hidden="1" x14ac:dyDescent="0.25"/>
    <row r="21377" hidden="1" x14ac:dyDescent="0.25"/>
    <row r="21378" hidden="1" x14ac:dyDescent="0.25"/>
    <row r="21379" hidden="1" x14ac:dyDescent="0.25"/>
    <row r="21380" hidden="1" x14ac:dyDescent="0.25"/>
    <row r="21381" hidden="1" x14ac:dyDescent="0.25"/>
    <row r="21382" hidden="1" x14ac:dyDescent="0.25"/>
    <row r="21383" hidden="1" x14ac:dyDescent="0.25"/>
    <row r="21384" hidden="1" x14ac:dyDescent="0.25"/>
    <row r="21385" hidden="1" x14ac:dyDescent="0.25"/>
    <row r="21386" hidden="1" x14ac:dyDescent="0.25"/>
    <row r="21387" hidden="1" x14ac:dyDescent="0.25"/>
    <row r="21388" hidden="1" x14ac:dyDescent="0.25"/>
    <row r="21389" hidden="1" x14ac:dyDescent="0.25"/>
    <row r="21390" hidden="1" x14ac:dyDescent="0.25"/>
    <row r="21391" hidden="1" x14ac:dyDescent="0.25"/>
    <row r="21392" hidden="1" x14ac:dyDescent="0.25"/>
    <row r="21393" hidden="1" x14ac:dyDescent="0.25"/>
    <row r="21394" hidden="1" x14ac:dyDescent="0.25"/>
    <row r="21395" hidden="1" x14ac:dyDescent="0.25"/>
    <row r="21396" hidden="1" x14ac:dyDescent="0.25"/>
    <row r="21397" hidden="1" x14ac:dyDescent="0.25"/>
    <row r="21398" hidden="1" x14ac:dyDescent="0.25"/>
    <row r="21399" hidden="1" x14ac:dyDescent="0.25"/>
    <row r="21400" hidden="1" x14ac:dyDescent="0.25"/>
    <row r="21401" hidden="1" x14ac:dyDescent="0.25"/>
    <row r="21402" hidden="1" x14ac:dyDescent="0.25"/>
    <row r="21403" hidden="1" x14ac:dyDescent="0.25"/>
    <row r="21404" hidden="1" x14ac:dyDescent="0.25"/>
    <row r="21405" hidden="1" x14ac:dyDescent="0.25"/>
    <row r="21406" hidden="1" x14ac:dyDescent="0.25"/>
    <row r="21407" hidden="1" x14ac:dyDescent="0.25"/>
    <row r="21408" hidden="1" x14ac:dyDescent="0.25"/>
    <row r="21409" hidden="1" x14ac:dyDescent="0.25"/>
    <row r="21410" hidden="1" x14ac:dyDescent="0.25"/>
    <row r="21411" hidden="1" x14ac:dyDescent="0.25"/>
    <row r="21412" hidden="1" x14ac:dyDescent="0.25"/>
    <row r="21413" hidden="1" x14ac:dyDescent="0.25"/>
    <row r="21414" hidden="1" x14ac:dyDescent="0.25"/>
    <row r="21415" hidden="1" x14ac:dyDescent="0.25"/>
    <row r="21416" hidden="1" x14ac:dyDescent="0.25"/>
    <row r="21417" hidden="1" x14ac:dyDescent="0.25"/>
    <row r="21418" hidden="1" x14ac:dyDescent="0.25"/>
    <row r="21419" hidden="1" x14ac:dyDescent="0.25"/>
    <row r="21420" hidden="1" x14ac:dyDescent="0.25"/>
    <row r="21421" hidden="1" x14ac:dyDescent="0.25"/>
    <row r="21422" hidden="1" x14ac:dyDescent="0.25"/>
    <row r="21423" hidden="1" x14ac:dyDescent="0.25"/>
    <row r="21424" hidden="1" x14ac:dyDescent="0.25"/>
    <row r="21425" hidden="1" x14ac:dyDescent="0.25"/>
    <row r="21426" hidden="1" x14ac:dyDescent="0.25"/>
    <row r="21427" hidden="1" x14ac:dyDescent="0.25"/>
    <row r="21428" hidden="1" x14ac:dyDescent="0.25"/>
    <row r="21429" hidden="1" x14ac:dyDescent="0.25"/>
    <row r="21430" hidden="1" x14ac:dyDescent="0.25"/>
    <row r="21431" hidden="1" x14ac:dyDescent="0.25"/>
    <row r="21432" hidden="1" x14ac:dyDescent="0.25"/>
    <row r="21433" hidden="1" x14ac:dyDescent="0.25"/>
    <row r="21434" hidden="1" x14ac:dyDescent="0.25"/>
    <row r="21435" hidden="1" x14ac:dyDescent="0.25"/>
    <row r="21436" hidden="1" x14ac:dyDescent="0.25"/>
    <row r="21437" hidden="1" x14ac:dyDescent="0.25"/>
    <row r="21438" hidden="1" x14ac:dyDescent="0.25"/>
    <row r="21439" hidden="1" x14ac:dyDescent="0.25"/>
    <row r="21440" hidden="1" x14ac:dyDescent="0.25"/>
    <row r="21441" hidden="1" x14ac:dyDescent="0.25"/>
    <row r="21442" hidden="1" x14ac:dyDescent="0.25"/>
    <row r="21443" hidden="1" x14ac:dyDescent="0.25"/>
    <row r="21444" hidden="1" x14ac:dyDescent="0.25"/>
    <row r="21445" hidden="1" x14ac:dyDescent="0.25"/>
    <row r="21446" hidden="1" x14ac:dyDescent="0.25"/>
    <row r="21447" hidden="1" x14ac:dyDescent="0.25"/>
    <row r="21448" hidden="1" x14ac:dyDescent="0.25"/>
    <row r="21449" hidden="1" x14ac:dyDescent="0.25"/>
    <row r="21450" hidden="1" x14ac:dyDescent="0.25"/>
    <row r="21451" hidden="1" x14ac:dyDescent="0.25"/>
    <row r="21452" hidden="1" x14ac:dyDescent="0.25"/>
    <row r="21453" hidden="1" x14ac:dyDescent="0.25"/>
    <row r="21454" hidden="1" x14ac:dyDescent="0.25"/>
    <row r="21455" hidden="1" x14ac:dyDescent="0.25"/>
    <row r="21456" hidden="1" x14ac:dyDescent="0.25"/>
    <row r="21457" hidden="1" x14ac:dyDescent="0.25"/>
    <row r="21458" hidden="1" x14ac:dyDescent="0.25"/>
    <row r="21459" hidden="1" x14ac:dyDescent="0.25"/>
    <row r="21460" hidden="1" x14ac:dyDescent="0.25"/>
    <row r="21461" hidden="1" x14ac:dyDescent="0.25"/>
    <row r="21462" hidden="1" x14ac:dyDescent="0.25"/>
    <row r="21463" hidden="1" x14ac:dyDescent="0.25"/>
    <row r="21464" hidden="1" x14ac:dyDescent="0.25"/>
    <row r="21465" hidden="1" x14ac:dyDescent="0.25"/>
    <row r="21466" hidden="1" x14ac:dyDescent="0.25"/>
    <row r="21467" hidden="1" x14ac:dyDescent="0.25"/>
    <row r="21468" hidden="1" x14ac:dyDescent="0.25"/>
    <row r="21469" hidden="1" x14ac:dyDescent="0.25"/>
    <row r="21470" hidden="1" x14ac:dyDescent="0.25"/>
    <row r="21471" hidden="1" x14ac:dyDescent="0.25"/>
    <row r="21472" hidden="1" x14ac:dyDescent="0.25"/>
    <row r="21473" hidden="1" x14ac:dyDescent="0.25"/>
    <row r="21474" hidden="1" x14ac:dyDescent="0.25"/>
    <row r="21475" hidden="1" x14ac:dyDescent="0.25"/>
    <row r="21476" hidden="1" x14ac:dyDescent="0.25"/>
    <row r="21477" hidden="1" x14ac:dyDescent="0.25"/>
    <row r="21478" hidden="1" x14ac:dyDescent="0.25"/>
    <row r="21479" hidden="1" x14ac:dyDescent="0.25"/>
    <row r="21480" hidden="1" x14ac:dyDescent="0.25"/>
    <row r="21481" hidden="1" x14ac:dyDescent="0.25"/>
    <row r="21482" hidden="1" x14ac:dyDescent="0.25"/>
    <row r="21483" hidden="1" x14ac:dyDescent="0.25"/>
    <row r="21484" hidden="1" x14ac:dyDescent="0.25"/>
    <row r="21485" hidden="1" x14ac:dyDescent="0.25"/>
    <row r="21486" hidden="1" x14ac:dyDescent="0.25"/>
    <row r="21487" hidden="1" x14ac:dyDescent="0.25"/>
    <row r="21488" hidden="1" x14ac:dyDescent="0.25"/>
    <row r="21489" hidden="1" x14ac:dyDescent="0.25"/>
    <row r="21490" hidden="1" x14ac:dyDescent="0.25"/>
    <row r="21491" hidden="1" x14ac:dyDescent="0.25"/>
    <row r="21492" hidden="1" x14ac:dyDescent="0.25"/>
    <row r="21493" hidden="1" x14ac:dyDescent="0.25"/>
    <row r="21494" hidden="1" x14ac:dyDescent="0.25"/>
    <row r="21495" hidden="1" x14ac:dyDescent="0.25"/>
    <row r="21496" hidden="1" x14ac:dyDescent="0.25"/>
    <row r="21497" hidden="1" x14ac:dyDescent="0.25"/>
    <row r="21498" hidden="1" x14ac:dyDescent="0.25"/>
    <row r="21499" hidden="1" x14ac:dyDescent="0.25"/>
    <row r="21500" hidden="1" x14ac:dyDescent="0.25"/>
    <row r="21501" hidden="1" x14ac:dyDescent="0.25"/>
    <row r="21502" hidden="1" x14ac:dyDescent="0.25"/>
    <row r="21503" hidden="1" x14ac:dyDescent="0.25"/>
    <row r="21504" hidden="1" x14ac:dyDescent="0.25"/>
    <row r="21505" hidden="1" x14ac:dyDescent="0.25"/>
    <row r="21506" hidden="1" x14ac:dyDescent="0.25"/>
    <row r="21507" hidden="1" x14ac:dyDescent="0.25"/>
    <row r="21508" hidden="1" x14ac:dyDescent="0.25"/>
    <row r="21509" hidden="1" x14ac:dyDescent="0.25"/>
    <row r="21510" hidden="1" x14ac:dyDescent="0.25"/>
    <row r="21511" hidden="1" x14ac:dyDescent="0.25"/>
    <row r="21512" hidden="1" x14ac:dyDescent="0.25"/>
    <row r="21513" hidden="1" x14ac:dyDescent="0.25"/>
    <row r="21514" hidden="1" x14ac:dyDescent="0.25"/>
    <row r="21515" hidden="1" x14ac:dyDescent="0.25"/>
    <row r="21516" hidden="1" x14ac:dyDescent="0.25"/>
    <row r="21517" hidden="1" x14ac:dyDescent="0.25"/>
    <row r="21518" hidden="1" x14ac:dyDescent="0.25"/>
    <row r="21519" hidden="1" x14ac:dyDescent="0.25"/>
    <row r="21520" hidden="1" x14ac:dyDescent="0.25"/>
    <row r="21521" hidden="1" x14ac:dyDescent="0.25"/>
    <row r="21522" hidden="1" x14ac:dyDescent="0.25"/>
    <row r="21523" hidden="1" x14ac:dyDescent="0.25"/>
    <row r="21524" hidden="1" x14ac:dyDescent="0.25"/>
    <row r="21525" hidden="1" x14ac:dyDescent="0.25"/>
    <row r="21526" hidden="1" x14ac:dyDescent="0.25"/>
    <row r="21527" hidden="1" x14ac:dyDescent="0.25"/>
    <row r="21528" hidden="1" x14ac:dyDescent="0.25"/>
    <row r="21529" hidden="1" x14ac:dyDescent="0.25"/>
    <row r="21530" hidden="1" x14ac:dyDescent="0.25"/>
    <row r="21531" hidden="1" x14ac:dyDescent="0.25"/>
    <row r="21532" hidden="1" x14ac:dyDescent="0.25"/>
    <row r="21533" hidden="1" x14ac:dyDescent="0.25"/>
    <row r="21534" hidden="1" x14ac:dyDescent="0.25"/>
    <row r="21535" hidden="1" x14ac:dyDescent="0.25"/>
    <row r="21536" hidden="1" x14ac:dyDescent="0.25"/>
    <row r="21537" hidden="1" x14ac:dyDescent="0.25"/>
    <row r="21538" hidden="1" x14ac:dyDescent="0.25"/>
    <row r="21539" hidden="1" x14ac:dyDescent="0.25"/>
    <row r="21540" hidden="1" x14ac:dyDescent="0.25"/>
    <row r="21541" hidden="1" x14ac:dyDescent="0.25"/>
    <row r="21542" hidden="1" x14ac:dyDescent="0.25"/>
    <row r="21543" hidden="1" x14ac:dyDescent="0.25"/>
    <row r="21544" hidden="1" x14ac:dyDescent="0.25"/>
    <row r="21545" hidden="1" x14ac:dyDescent="0.25"/>
    <row r="21546" hidden="1" x14ac:dyDescent="0.25"/>
    <row r="21547" hidden="1" x14ac:dyDescent="0.25"/>
    <row r="21548" hidden="1" x14ac:dyDescent="0.25"/>
    <row r="21549" hidden="1" x14ac:dyDescent="0.25"/>
    <row r="21550" hidden="1" x14ac:dyDescent="0.25"/>
    <row r="21551" hidden="1" x14ac:dyDescent="0.25"/>
    <row r="21552" hidden="1" x14ac:dyDescent="0.25"/>
    <row r="21553" hidden="1" x14ac:dyDescent="0.25"/>
    <row r="21554" hidden="1" x14ac:dyDescent="0.25"/>
    <row r="21555" hidden="1" x14ac:dyDescent="0.25"/>
    <row r="21556" hidden="1" x14ac:dyDescent="0.25"/>
    <row r="21557" hidden="1" x14ac:dyDescent="0.25"/>
    <row r="21558" hidden="1" x14ac:dyDescent="0.25"/>
    <row r="21559" hidden="1" x14ac:dyDescent="0.25"/>
    <row r="21560" hidden="1" x14ac:dyDescent="0.25"/>
    <row r="21561" hidden="1" x14ac:dyDescent="0.25"/>
    <row r="21562" hidden="1" x14ac:dyDescent="0.25"/>
    <row r="21563" hidden="1" x14ac:dyDescent="0.25"/>
    <row r="21564" hidden="1" x14ac:dyDescent="0.25"/>
    <row r="21565" hidden="1" x14ac:dyDescent="0.25"/>
    <row r="21566" hidden="1" x14ac:dyDescent="0.25"/>
    <row r="21567" hidden="1" x14ac:dyDescent="0.25"/>
    <row r="21568" hidden="1" x14ac:dyDescent="0.25"/>
    <row r="21569" hidden="1" x14ac:dyDescent="0.25"/>
    <row r="21570" hidden="1" x14ac:dyDescent="0.25"/>
    <row r="21571" hidden="1" x14ac:dyDescent="0.25"/>
    <row r="21572" hidden="1" x14ac:dyDescent="0.25"/>
    <row r="21573" hidden="1" x14ac:dyDescent="0.25"/>
    <row r="21574" hidden="1" x14ac:dyDescent="0.25"/>
    <row r="21575" hidden="1" x14ac:dyDescent="0.25"/>
    <row r="21576" hidden="1" x14ac:dyDescent="0.25"/>
    <row r="21577" hidden="1" x14ac:dyDescent="0.25"/>
    <row r="21578" hidden="1" x14ac:dyDescent="0.25"/>
    <row r="21579" hidden="1" x14ac:dyDescent="0.25"/>
    <row r="21580" hidden="1" x14ac:dyDescent="0.25"/>
    <row r="21581" hidden="1" x14ac:dyDescent="0.25"/>
    <row r="21582" hidden="1" x14ac:dyDescent="0.25"/>
    <row r="21583" hidden="1" x14ac:dyDescent="0.25"/>
    <row r="21584" hidden="1" x14ac:dyDescent="0.25"/>
    <row r="21585" hidden="1" x14ac:dyDescent="0.25"/>
    <row r="21586" hidden="1" x14ac:dyDescent="0.25"/>
    <row r="21587" hidden="1" x14ac:dyDescent="0.25"/>
    <row r="21588" hidden="1" x14ac:dyDescent="0.25"/>
    <row r="21589" hidden="1" x14ac:dyDescent="0.25"/>
    <row r="21590" hidden="1" x14ac:dyDescent="0.25"/>
    <row r="21591" hidden="1" x14ac:dyDescent="0.25"/>
    <row r="21592" hidden="1" x14ac:dyDescent="0.25"/>
    <row r="21593" hidden="1" x14ac:dyDescent="0.25"/>
    <row r="21594" hidden="1" x14ac:dyDescent="0.25"/>
    <row r="21595" hidden="1" x14ac:dyDescent="0.25"/>
    <row r="21596" hidden="1" x14ac:dyDescent="0.25"/>
    <row r="21597" hidden="1" x14ac:dyDescent="0.25"/>
    <row r="21598" hidden="1" x14ac:dyDescent="0.25"/>
    <row r="21599" hidden="1" x14ac:dyDescent="0.25"/>
    <row r="21600" hidden="1" x14ac:dyDescent="0.25"/>
    <row r="21601" hidden="1" x14ac:dyDescent="0.25"/>
    <row r="21602" hidden="1" x14ac:dyDescent="0.25"/>
    <row r="21603" hidden="1" x14ac:dyDescent="0.25"/>
    <row r="21604" hidden="1" x14ac:dyDescent="0.25"/>
    <row r="21605" hidden="1" x14ac:dyDescent="0.25"/>
    <row r="21606" hidden="1" x14ac:dyDescent="0.25"/>
    <row r="21607" hidden="1" x14ac:dyDescent="0.25"/>
    <row r="21608" hidden="1" x14ac:dyDescent="0.25"/>
    <row r="21609" hidden="1" x14ac:dyDescent="0.25"/>
    <row r="21610" hidden="1" x14ac:dyDescent="0.25"/>
    <row r="21611" hidden="1" x14ac:dyDescent="0.25"/>
    <row r="21612" hidden="1" x14ac:dyDescent="0.25"/>
    <row r="21613" hidden="1" x14ac:dyDescent="0.25"/>
    <row r="21614" hidden="1" x14ac:dyDescent="0.25"/>
    <row r="21615" hidden="1" x14ac:dyDescent="0.25"/>
    <row r="21616" hidden="1" x14ac:dyDescent="0.25"/>
    <row r="21617" hidden="1" x14ac:dyDescent="0.25"/>
    <row r="21618" hidden="1" x14ac:dyDescent="0.25"/>
    <row r="21619" hidden="1" x14ac:dyDescent="0.25"/>
    <row r="21620" hidden="1" x14ac:dyDescent="0.25"/>
    <row r="21621" hidden="1" x14ac:dyDescent="0.25"/>
    <row r="21622" hidden="1" x14ac:dyDescent="0.25"/>
    <row r="21623" hidden="1" x14ac:dyDescent="0.25"/>
    <row r="21624" hidden="1" x14ac:dyDescent="0.25"/>
    <row r="21625" hidden="1" x14ac:dyDescent="0.25"/>
    <row r="21626" hidden="1" x14ac:dyDescent="0.25"/>
    <row r="21627" hidden="1" x14ac:dyDescent="0.25"/>
    <row r="21628" hidden="1" x14ac:dyDescent="0.25"/>
    <row r="21629" hidden="1" x14ac:dyDescent="0.25"/>
    <row r="21630" hidden="1" x14ac:dyDescent="0.25"/>
    <row r="21631" hidden="1" x14ac:dyDescent="0.25"/>
    <row r="21632" hidden="1" x14ac:dyDescent="0.25"/>
    <row r="21633" hidden="1" x14ac:dyDescent="0.25"/>
    <row r="21634" hidden="1" x14ac:dyDescent="0.25"/>
    <row r="21635" hidden="1" x14ac:dyDescent="0.25"/>
    <row r="21636" hidden="1" x14ac:dyDescent="0.25"/>
    <row r="21637" hidden="1" x14ac:dyDescent="0.25"/>
    <row r="21638" hidden="1" x14ac:dyDescent="0.25"/>
    <row r="21639" hidden="1" x14ac:dyDescent="0.25"/>
    <row r="21640" hidden="1" x14ac:dyDescent="0.25"/>
    <row r="21641" hidden="1" x14ac:dyDescent="0.25"/>
    <row r="21642" hidden="1" x14ac:dyDescent="0.25"/>
    <row r="21643" hidden="1" x14ac:dyDescent="0.25"/>
    <row r="21644" hidden="1" x14ac:dyDescent="0.25"/>
    <row r="21645" hidden="1" x14ac:dyDescent="0.25"/>
    <row r="21646" hidden="1" x14ac:dyDescent="0.25"/>
    <row r="21647" hidden="1" x14ac:dyDescent="0.25"/>
    <row r="21648" hidden="1" x14ac:dyDescent="0.25"/>
    <row r="21649" hidden="1" x14ac:dyDescent="0.25"/>
    <row r="21650" hidden="1" x14ac:dyDescent="0.25"/>
    <row r="21651" hidden="1" x14ac:dyDescent="0.25"/>
    <row r="21652" hidden="1" x14ac:dyDescent="0.25"/>
    <row r="21653" hidden="1" x14ac:dyDescent="0.25"/>
    <row r="21654" hidden="1" x14ac:dyDescent="0.25"/>
    <row r="21655" hidden="1" x14ac:dyDescent="0.25"/>
    <row r="21656" hidden="1" x14ac:dyDescent="0.25"/>
    <row r="21657" hidden="1" x14ac:dyDescent="0.25"/>
    <row r="21658" hidden="1" x14ac:dyDescent="0.25"/>
    <row r="21659" hidden="1" x14ac:dyDescent="0.25"/>
    <row r="21660" hidden="1" x14ac:dyDescent="0.25"/>
    <row r="21661" hidden="1" x14ac:dyDescent="0.25"/>
    <row r="21662" hidden="1" x14ac:dyDescent="0.25"/>
    <row r="21663" hidden="1" x14ac:dyDescent="0.25"/>
    <row r="21664" hidden="1" x14ac:dyDescent="0.25"/>
    <row r="21665" hidden="1" x14ac:dyDescent="0.25"/>
    <row r="21666" hidden="1" x14ac:dyDescent="0.25"/>
    <row r="21667" hidden="1" x14ac:dyDescent="0.25"/>
    <row r="21668" hidden="1" x14ac:dyDescent="0.25"/>
    <row r="21669" hidden="1" x14ac:dyDescent="0.25"/>
    <row r="21670" hidden="1" x14ac:dyDescent="0.25"/>
    <row r="21671" hidden="1" x14ac:dyDescent="0.25"/>
    <row r="21672" hidden="1" x14ac:dyDescent="0.25"/>
    <row r="21673" hidden="1" x14ac:dyDescent="0.25"/>
    <row r="21674" hidden="1" x14ac:dyDescent="0.25"/>
    <row r="21675" hidden="1" x14ac:dyDescent="0.25"/>
    <row r="21676" hidden="1" x14ac:dyDescent="0.25"/>
    <row r="21677" hidden="1" x14ac:dyDescent="0.25"/>
    <row r="21678" hidden="1" x14ac:dyDescent="0.25"/>
    <row r="21679" hidden="1" x14ac:dyDescent="0.25"/>
    <row r="21680" hidden="1" x14ac:dyDescent="0.25"/>
    <row r="21681" hidden="1" x14ac:dyDescent="0.25"/>
    <row r="21682" hidden="1" x14ac:dyDescent="0.25"/>
    <row r="21683" hidden="1" x14ac:dyDescent="0.25"/>
    <row r="21684" hidden="1" x14ac:dyDescent="0.25"/>
    <row r="21685" hidden="1" x14ac:dyDescent="0.25"/>
    <row r="21686" hidden="1" x14ac:dyDescent="0.25"/>
    <row r="21687" hidden="1" x14ac:dyDescent="0.25"/>
    <row r="21688" hidden="1" x14ac:dyDescent="0.25"/>
    <row r="21689" hidden="1" x14ac:dyDescent="0.25"/>
    <row r="21690" hidden="1" x14ac:dyDescent="0.25"/>
    <row r="21691" hidden="1" x14ac:dyDescent="0.25"/>
    <row r="21692" hidden="1" x14ac:dyDescent="0.25"/>
    <row r="21693" hidden="1" x14ac:dyDescent="0.25"/>
    <row r="21694" hidden="1" x14ac:dyDescent="0.25"/>
    <row r="21695" hidden="1" x14ac:dyDescent="0.25"/>
    <row r="21696" hidden="1" x14ac:dyDescent="0.25"/>
    <row r="21697" hidden="1" x14ac:dyDescent="0.25"/>
    <row r="21698" hidden="1" x14ac:dyDescent="0.25"/>
    <row r="21699" hidden="1" x14ac:dyDescent="0.25"/>
    <row r="21700" hidden="1" x14ac:dyDescent="0.25"/>
    <row r="21701" hidden="1" x14ac:dyDescent="0.25"/>
    <row r="21702" hidden="1" x14ac:dyDescent="0.25"/>
    <row r="21703" hidden="1" x14ac:dyDescent="0.25"/>
    <row r="21704" hidden="1" x14ac:dyDescent="0.25"/>
    <row r="21705" hidden="1" x14ac:dyDescent="0.25"/>
    <row r="21706" hidden="1" x14ac:dyDescent="0.25"/>
    <row r="21707" hidden="1" x14ac:dyDescent="0.25"/>
    <row r="21708" hidden="1" x14ac:dyDescent="0.25"/>
    <row r="21709" hidden="1" x14ac:dyDescent="0.25"/>
    <row r="21710" hidden="1" x14ac:dyDescent="0.25"/>
    <row r="21711" hidden="1" x14ac:dyDescent="0.25"/>
    <row r="21712" hidden="1" x14ac:dyDescent="0.25"/>
    <row r="21713" hidden="1" x14ac:dyDescent="0.25"/>
    <row r="21714" hidden="1" x14ac:dyDescent="0.25"/>
    <row r="21715" hidden="1" x14ac:dyDescent="0.25"/>
    <row r="21716" hidden="1" x14ac:dyDescent="0.25"/>
    <row r="21717" hidden="1" x14ac:dyDescent="0.25"/>
    <row r="21718" hidden="1" x14ac:dyDescent="0.25"/>
    <row r="21719" hidden="1" x14ac:dyDescent="0.25"/>
    <row r="21720" hidden="1" x14ac:dyDescent="0.25"/>
    <row r="21721" hidden="1" x14ac:dyDescent="0.25"/>
    <row r="21722" hidden="1" x14ac:dyDescent="0.25"/>
    <row r="21723" hidden="1" x14ac:dyDescent="0.25"/>
    <row r="21724" hidden="1" x14ac:dyDescent="0.25"/>
    <row r="21725" hidden="1" x14ac:dyDescent="0.25"/>
    <row r="21726" hidden="1" x14ac:dyDescent="0.25"/>
    <row r="21727" hidden="1" x14ac:dyDescent="0.25"/>
    <row r="21728" hidden="1" x14ac:dyDescent="0.25"/>
    <row r="21729" hidden="1" x14ac:dyDescent="0.25"/>
    <row r="21730" hidden="1" x14ac:dyDescent="0.25"/>
    <row r="21731" hidden="1" x14ac:dyDescent="0.25"/>
    <row r="21732" hidden="1" x14ac:dyDescent="0.25"/>
    <row r="21733" hidden="1" x14ac:dyDescent="0.25"/>
    <row r="21734" hidden="1" x14ac:dyDescent="0.25"/>
    <row r="21735" hidden="1" x14ac:dyDescent="0.25"/>
    <row r="21736" hidden="1" x14ac:dyDescent="0.25"/>
    <row r="21737" hidden="1" x14ac:dyDescent="0.25"/>
    <row r="21738" hidden="1" x14ac:dyDescent="0.25"/>
    <row r="21739" hidden="1" x14ac:dyDescent="0.25"/>
    <row r="21740" hidden="1" x14ac:dyDescent="0.25"/>
    <row r="21741" hidden="1" x14ac:dyDescent="0.25"/>
    <row r="21742" hidden="1" x14ac:dyDescent="0.25"/>
    <row r="21743" hidden="1" x14ac:dyDescent="0.25"/>
    <row r="21744" hidden="1" x14ac:dyDescent="0.25"/>
    <row r="21745" hidden="1" x14ac:dyDescent="0.25"/>
    <row r="21746" hidden="1" x14ac:dyDescent="0.25"/>
    <row r="21747" hidden="1" x14ac:dyDescent="0.25"/>
    <row r="21748" hidden="1" x14ac:dyDescent="0.25"/>
    <row r="21749" hidden="1" x14ac:dyDescent="0.25"/>
    <row r="21750" hidden="1" x14ac:dyDescent="0.25"/>
    <row r="21751" hidden="1" x14ac:dyDescent="0.25"/>
    <row r="21752" hidden="1" x14ac:dyDescent="0.25"/>
    <row r="21753" hidden="1" x14ac:dyDescent="0.25"/>
    <row r="21754" hidden="1" x14ac:dyDescent="0.25"/>
    <row r="21755" hidden="1" x14ac:dyDescent="0.25"/>
    <row r="21756" hidden="1" x14ac:dyDescent="0.25"/>
    <row r="21757" hidden="1" x14ac:dyDescent="0.25"/>
    <row r="21758" hidden="1" x14ac:dyDescent="0.25"/>
    <row r="21759" hidden="1" x14ac:dyDescent="0.25"/>
    <row r="21760" hidden="1" x14ac:dyDescent="0.25"/>
    <row r="21761" hidden="1" x14ac:dyDescent="0.25"/>
    <row r="21762" hidden="1" x14ac:dyDescent="0.25"/>
    <row r="21763" hidden="1" x14ac:dyDescent="0.25"/>
    <row r="21764" hidden="1" x14ac:dyDescent="0.25"/>
    <row r="21765" hidden="1" x14ac:dyDescent="0.25"/>
    <row r="21766" hidden="1" x14ac:dyDescent="0.25"/>
    <row r="21767" hidden="1" x14ac:dyDescent="0.25"/>
    <row r="21768" hidden="1" x14ac:dyDescent="0.25"/>
    <row r="21769" hidden="1" x14ac:dyDescent="0.25"/>
    <row r="21770" hidden="1" x14ac:dyDescent="0.25"/>
    <row r="21771" hidden="1" x14ac:dyDescent="0.25"/>
    <row r="21772" hidden="1" x14ac:dyDescent="0.25"/>
    <row r="21773" hidden="1" x14ac:dyDescent="0.25"/>
    <row r="21774" hidden="1" x14ac:dyDescent="0.25"/>
    <row r="21775" hidden="1" x14ac:dyDescent="0.25"/>
    <row r="21776" hidden="1" x14ac:dyDescent="0.25"/>
    <row r="21777" hidden="1" x14ac:dyDescent="0.25"/>
    <row r="21778" hidden="1" x14ac:dyDescent="0.25"/>
    <row r="21779" hidden="1" x14ac:dyDescent="0.25"/>
    <row r="21780" hidden="1" x14ac:dyDescent="0.25"/>
    <row r="21781" hidden="1" x14ac:dyDescent="0.25"/>
    <row r="21782" hidden="1" x14ac:dyDescent="0.25"/>
    <row r="21783" hidden="1" x14ac:dyDescent="0.25"/>
    <row r="21784" hidden="1" x14ac:dyDescent="0.25"/>
    <row r="21785" hidden="1" x14ac:dyDescent="0.25"/>
    <row r="21786" hidden="1" x14ac:dyDescent="0.25"/>
    <row r="21787" hidden="1" x14ac:dyDescent="0.25"/>
    <row r="21788" hidden="1" x14ac:dyDescent="0.25"/>
    <row r="21789" hidden="1" x14ac:dyDescent="0.25"/>
    <row r="21790" hidden="1" x14ac:dyDescent="0.25"/>
    <row r="21791" hidden="1" x14ac:dyDescent="0.25"/>
    <row r="21792" hidden="1" x14ac:dyDescent="0.25"/>
    <row r="21793" hidden="1" x14ac:dyDescent="0.25"/>
    <row r="21794" hidden="1" x14ac:dyDescent="0.25"/>
    <row r="21795" hidden="1" x14ac:dyDescent="0.25"/>
    <row r="21796" hidden="1" x14ac:dyDescent="0.25"/>
    <row r="21797" hidden="1" x14ac:dyDescent="0.25"/>
    <row r="21798" hidden="1" x14ac:dyDescent="0.25"/>
    <row r="21799" hidden="1" x14ac:dyDescent="0.25"/>
    <row r="21800" hidden="1" x14ac:dyDescent="0.25"/>
    <row r="21801" hidden="1" x14ac:dyDescent="0.25"/>
    <row r="21802" hidden="1" x14ac:dyDescent="0.25"/>
    <row r="21803" hidden="1" x14ac:dyDescent="0.25"/>
    <row r="21804" hidden="1" x14ac:dyDescent="0.25"/>
    <row r="21805" hidden="1" x14ac:dyDescent="0.25"/>
    <row r="21806" hidden="1" x14ac:dyDescent="0.25"/>
    <row r="21807" hidden="1" x14ac:dyDescent="0.25"/>
    <row r="21808" hidden="1" x14ac:dyDescent="0.25"/>
    <row r="21809" hidden="1" x14ac:dyDescent="0.25"/>
    <row r="21810" hidden="1" x14ac:dyDescent="0.25"/>
    <row r="21811" hidden="1" x14ac:dyDescent="0.25"/>
    <row r="21812" hidden="1" x14ac:dyDescent="0.25"/>
    <row r="21813" hidden="1" x14ac:dyDescent="0.25"/>
    <row r="21814" hidden="1" x14ac:dyDescent="0.25"/>
    <row r="21815" hidden="1" x14ac:dyDescent="0.25"/>
    <row r="21816" hidden="1" x14ac:dyDescent="0.25"/>
    <row r="21817" hidden="1" x14ac:dyDescent="0.25"/>
    <row r="21818" hidden="1" x14ac:dyDescent="0.25"/>
    <row r="21819" hidden="1" x14ac:dyDescent="0.25"/>
    <row r="21820" hidden="1" x14ac:dyDescent="0.25"/>
    <row r="21821" hidden="1" x14ac:dyDescent="0.25"/>
    <row r="21822" hidden="1" x14ac:dyDescent="0.25"/>
    <row r="21823" hidden="1" x14ac:dyDescent="0.25"/>
    <row r="21824" hidden="1" x14ac:dyDescent="0.25"/>
    <row r="21825" hidden="1" x14ac:dyDescent="0.25"/>
    <row r="21826" hidden="1" x14ac:dyDescent="0.25"/>
    <row r="21827" hidden="1" x14ac:dyDescent="0.25"/>
    <row r="21828" hidden="1" x14ac:dyDescent="0.25"/>
    <row r="21829" hidden="1" x14ac:dyDescent="0.25"/>
    <row r="21830" hidden="1" x14ac:dyDescent="0.25"/>
    <row r="21831" hidden="1" x14ac:dyDescent="0.25"/>
    <row r="21832" hidden="1" x14ac:dyDescent="0.25"/>
    <row r="21833" hidden="1" x14ac:dyDescent="0.25"/>
    <row r="21834" hidden="1" x14ac:dyDescent="0.25"/>
    <row r="21835" hidden="1" x14ac:dyDescent="0.25"/>
    <row r="21836" hidden="1" x14ac:dyDescent="0.25"/>
    <row r="21837" hidden="1" x14ac:dyDescent="0.25"/>
    <row r="21838" hidden="1" x14ac:dyDescent="0.25"/>
    <row r="21839" hidden="1" x14ac:dyDescent="0.25"/>
    <row r="21840" hidden="1" x14ac:dyDescent="0.25"/>
    <row r="21841" hidden="1" x14ac:dyDescent="0.25"/>
    <row r="21842" hidden="1" x14ac:dyDescent="0.25"/>
    <row r="21843" hidden="1" x14ac:dyDescent="0.25"/>
    <row r="21844" hidden="1" x14ac:dyDescent="0.25"/>
    <row r="21845" hidden="1" x14ac:dyDescent="0.25"/>
    <row r="21846" hidden="1" x14ac:dyDescent="0.25"/>
    <row r="21847" hidden="1" x14ac:dyDescent="0.25"/>
    <row r="21848" hidden="1" x14ac:dyDescent="0.25"/>
    <row r="21849" hidden="1" x14ac:dyDescent="0.25"/>
    <row r="21850" hidden="1" x14ac:dyDescent="0.25"/>
    <row r="21851" hidden="1" x14ac:dyDescent="0.25"/>
    <row r="21852" hidden="1" x14ac:dyDescent="0.25"/>
    <row r="21853" hidden="1" x14ac:dyDescent="0.25"/>
    <row r="21854" hidden="1" x14ac:dyDescent="0.25"/>
    <row r="21855" hidden="1" x14ac:dyDescent="0.25"/>
    <row r="21856" hidden="1" x14ac:dyDescent="0.25"/>
    <row r="21857" hidden="1" x14ac:dyDescent="0.25"/>
    <row r="21858" hidden="1" x14ac:dyDescent="0.25"/>
    <row r="21859" hidden="1" x14ac:dyDescent="0.25"/>
    <row r="21860" hidden="1" x14ac:dyDescent="0.25"/>
    <row r="21861" hidden="1" x14ac:dyDescent="0.25"/>
    <row r="21862" hidden="1" x14ac:dyDescent="0.25"/>
    <row r="21863" hidden="1" x14ac:dyDescent="0.25"/>
    <row r="21864" hidden="1" x14ac:dyDescent="0.25"/>
    <row r="21865" hidden="1" x14ac:dyDescent="0.25"/>
    <row r="21866" hidden="1" x14ac:dyDescent="0.25"/>
    <row r="21867" hidden="1" x14ac:dyDescent="0.25"/>
    <row r="21868" hidden="1" x14ac:dyDescent="0.25"/>
    <row r="21869" hidden="1" x14ac:dyDescent="0.25"/>
    <row r="21870" hidden="1" x14ac:dyDescent="0.25"/>
    <row r="21871" hidden="1" x14ac:dyDescent="0.25"/>
    <row r="21872" hidden="1" x14ac:dyDescent="0.25"/>
    <row r="21873" hidden="1" x14ac:dyDescent="0.25"/>
    <row r="21874" hidden="1" x14ac:dyDescent="0.25"/>
    <row r="21875" hidden="1" x14ac:dyDescent="0.25"/>
    <row r="21876" hidden="1" x14ac:dyDescent="0.25"/>
    <row r="21877" hidden="1" x14ac:dyDescent="0.25"/>
    <row r="21878" hidden="1" x14ac:dyDescent="0.25"/>
    <row r="21879" hidden="1" x14ac:dyDescent="0.25"/>
    <row r="21880" hidden="1" x14ac:dyDescent="0.25"/>
    <row r="21881" hidden="1" x14ac:dyDescent="0.25"/>
    <row r="21882" hidden="1" x14ac:dyDescent="0.25"/>
    <row r="21883" hidden="1" x14ac:dyDescent="0.25"/>
    <row r="21884" hidden="1" x14ac:dyDescent="0.25"/>
    <row r="21885" hidden="1" x14ac:dyDescent="0.25"/>
    <row r="21886" hidden="1" x14ac:dyDescent="0.25"/>
    <row r="21887" hidden="1" x14ac:dyDescent="0.25"/>
    <row r="21888" hidden="1" x14ac:dyDescent="0.25"/>
    <row r="21889" hidden="1" x14ac:dyDescent="0.25"/>
    <row r="21890" hidden="1" x14ac:dyDescent="0.25"/>
    <row r="21891" hidden="1" x14ac:dyDescent="0.25"/>
    <row r="21892" hidden="1" x14ac:dyDescent="0.25"/>
    <row r="21893" hidden="1" x14ac:dyDescent="0.25"/>
    <row r="21894" hidden="1" x14ac:dyDescent="0.25"/>
    <row r="21895" hidden="1" x14ac:dyDescent="0.25"/>
    <row r="21896" hidden="1" x14ac:dyDescent="0.25"/>
    <row r="21897" hidden="1" x14ac:dyDescent="0.25"/>
    <row r="21898" hidden="1" x14ac:dyDescent="0.25"/>
    <row r="21899" hidden="1" x14ac:dyDescent="0.25"/>
    <row r="21900" hidden="1" x14ac:dyDescent="0.25"/>
    <row r="21901" hidden="1" x14ac:dyDescent="0.25"/>
    <row r="21902" hidden="1" x14ac:dyDescent="0.25"/>
    <row r="21903" hidden="1" x14ac:dyDescent="0.25"/>
    <row r="21904" hidden="1" x14ac:dyDescent="0.25"/>
    <row r="21905" hidden="1" x14ac:dyDescent="0.25"/>
    <row r="21906" hidden="1" x14ac:dyDescent="0.25"/>
    <row r="21907" hidden="1" x14ac:dyDescent="0.25"/>
    <row r="21908" hidden="1" x14ac:dyDescent="0.25"/>
    <row r="21909" hidden="1" x14ac:dyDescent="0.25"/>
    <row r="21910" hidden="1" x14ac:dyDescent="0.25"/>
    <row r="21911" hidden="1" x14ac:dyDescent="0.25"/>
    <row r="21912" hidden="1" x14ac:dyDescent="0.25"/>
    <row r="21913" hidden="1" x14ac:dyDescent="0.25"/>
    <row r="21914" hidden="1" x14ac:dyDescent="0.25"/>
    <row r="21915" hidden="1" x14ac:dyDescent="0.25"/>
    <row r="21916" hidden="1" x14ac:dyDescent="0.25"/>
    <row r="21917" hidden="1" x14ac:dyDescent="0.25"/>
    <row r="21918" hidden="1" x14ac:dyDescent="0.25"/>
    <row r="21919" hidden="1" x14ac:dyDescent="0.25"/>
    <row r="21920" hidden="1" x14ac:dyDescent="0.25"/>
    <row r="21921" hidden="1" x14ac:dyDescent="0.25"/>
    <row r="21922" hidden="1" x14ac:dyDescent="0.25"/>
    <row r="21923" hidden="1" x14ac:dyDescent="0.25"/>
    <row r="21924" hidden="1" x14ac:dyDescent="0.25"/>
    <row r="21925" hidden="1" x14ac:dyDescent="0.25"/>
    <row r="21926" hidden="1" x14ac:dyDescent="0.25"/>
    <row r="21927" hidden="1" x14ac:dyDescent="0.25"/>
    <row r="21928" hidden="1" x14ac:dyDescent="0.25"/>
    <row r="21929" hidden="1" x14ac:dyDescent="0.25"/>
    <row r="21930" hidden="1" x14ac:dyDescent="0.25"/>
    <row r="21931" hidden="1" x14ac:dyDescent="0.25"/>
    <row r="21932" hidden="1" x14ac:dyDescent="0.25"/>
    <row r="21933" hidden="1" x14ac:dyDescent="0.25"/>
    <row r="21934" hidden="1" x14ac:dyDescent="0.25"/>
    <row r="21935" hidden="1" x14ac:dyDescent="0.25"/>
    <row r="21936" hidden="1" x14ac:dyDescent="0.25"/>
    <row r="21937" hidden="1" x14ac:dyDescent="0.25"/>
    <row r="21938" hidden="1" x14ac:dyDescent="0.25"/>
    <row r="21939" hidden="1" x14ac:dyDescent="0.25"/>
    <row r="21940" hidden="1" x14ac:dyDescent="0.25"/>
    <row r="21941" hidden="1" x14ac:dyDescent="0.25"/>
    <row r="21942" hidden="1" x14ac:dyDescent="0.25"/>
    <row r="21943" hidden="1" x14ac:dyDescent="0.25"/>
    <row r="21944" hidden="1" x14ac:dyDescent="0.25"/>
    <row r="21945" hidden="1" x14ac:dyDescent="0.25"/>
    <row r="21946" hidden="1" x14ac:dyDescent="0.25"/>
    <row r="21947" hidden="1" x14ac:dyDescent="0.25"/>
    <row r="21948" hidden="1" x14ac:dyDescent="0.25"/>
    <row r="21949" hidden="1" x14ac:dyDescent="0.25"/>
    <row r="21950" hidden="1" x14ac:dyDescent="0.25"/>
    <row r="21951" hidden="1" x14ac:dyDescent="0.25"/>
    <row r="21952" hidden="1" x14ac:dyDescent="0.25"/>
    <row r="21953" hidden="1" x14ac:dyDescent="0.25"/>
    <row r="21954" hidden="1" x14ac:dyDescent="0.25"/>
    <row r="21955" hidden="1" x14ac:dyDescent="0.25"/>
    <row r="21956" hidden="1" x14ac:dyDescent="0.25"/>
    <row r="21957" hidden="1" x14ac:dyDescent="0.25"/>
    <row r="21958" hidden="1" x14ac:dyDescent="0.25"/>
    <row r="21959" hidden="1" x14ac:dyDescent="0.25"/>
    <row r="21960" hidden="1" x14ac:dyDescent="0.25"/>
    <row r="21961" hidden="1" x14ac:dyDescent="0.25"/>
    <row r="21962" hidden="1" x14ac:dyDescent="0.25"/>
    <row r="21963" hidden="1" x14ac:dyDescent="0.25"/>
    <row r="21964" hidden="1" x14ac:dyDescent="0.25"/>
    <row r="21965" hidden="1" x14ac:dyDescent="0.25"/>
    <row r="21966" hidden="1" x14ac:dyDescent="0.25"/>
    <row r="21967" hidden="1" x14ac:dyDescent="0.25"/>
    <row r="21968" hidden="1" x14ac:dyDescent="0.25"/>
    <row r="21969" hidden="1" x14ac:dyDescent="0.25"/>
    <row r="21970" hidden="1" x14ac:dyDescent="0.25"/>
    <row r="21971" hidden="1" x14ac:dyDescent="0.25"/>
    <row r="21972" hidden="1" x14ac:dyDescent="0.25"/>
    <row r="21973" hidden="1" x14ac:dyDescent="0.25"/>
    <row r="21974" hidden="1" x14ac:dyDescent="0.25"/>
    <row r="21975" hidden="1" x14ac:dyDescent="0.25"/>
    <row r="21976" hidden="1" x14ac:dyDescent="0.25"/>
    <row r="21977" hidden="1" x14ac:dyDescent="0.25"/>
    <row r="21978" hidden="1" x14ac:dyDescent="0.25"/>
    <row r="21979" hidden="1" x14ac:dyDescent="0.25"/>
    <row r="21980" hidden="1" x14ac:dyDescent="0.25"/>
    <row r="21981" hidden="1" x14ac:dyDescent="0.25"/>
    <row r="21982" hidden="1" x14ac:dyDescent="0.25"/>
    <row r="21983" hidden="1" x14ac:dyDescent="0.25"/>
    <row r="21984" hidden="1" x14ac:dyDescent="0.25"/>
    <row r="21985" hidden="1" x14ac:dyDescent="0.25"/>
    <row r="21986" hidden="1" x14ac:dyDescent="0.25"/>
    <row r="21987" hidden="1" x14ac:dyDescent="0.25"/>
    <row r="21988" hidden="1" x14ac:dyDescent="0.25"/>
    <row r="21989" hidden="1" x14ac:dyDescent="0.25"/>
    <row r="21990" hidden="1" x14ac:dyDescent="0.25"/>
    <row r="21991" hidden="1" x14ac:dyDescent="0.25"/>
    <row r="21992" hidden="1" x14ac:dyDescent="0.25"/>
    <row r="21993" hidden="1" x14ac:dyDescent="0.25"/>
    <row r="21994" hidden="1" x14ac:dyDescent="0.25"/>
    <row r="21995" hidden="1" x14ac:dyDescent="0.25"/>
    <row r="21996" hidden="1" x14ac:dyDescent="0.25"/>
    <row r="21997" hidden="1" x14ac:dyDescent="0.25"/>
    <row r="21998" hidden="1" x14ac:dyDescent="0.25"/>
    <row r="21999" hidden="1" x14ac:dyDescent="0.25"/>
    <row r="22000" hidden="1" x14ac:dyDescent="0.25"/>
    <row r="22001" hidden="1" x14ac:dyDescent="0.25"/>
    <row r="22002" hidden="1" x14ac:dyDescent="0.25"/>
    <row r="22003" hidden="1" x14ac:dyDescent="0.25"/>
    <row r="22004" hidden="1" x14ac:dyDescent="0.25"/>
    <row r="22005" hidden="1" x14ac:dyDescent="0.25"/>
    <row r="22006" hidden="1" x14ac:dyDescent="0.25"/>
    <row r="22007" hidden="1" x14ac:dyDescent="0.25"/>
    <row r="22008" hidden="1" x14ac:dyDescent="0.25"/>
    <row r="22009" hidden="1" x14ac:dyDescent="0.25"/>
    <row r="22010" hidden="1" x14ac:dyDescent="0.25"/>
    <row r="22011" hidden="1" x14ac:dyDescent="0.25"/>
    <row r="22012" hidden="1" x14ac:dyDescent="0.25"/>
    <row r="22013" hidden="1" x14ac:dyDescent="0.25"/>
    <row r="22014" hidden="1" x14ac:dyDescent="0.25"/>
    <row r="22015" hidden="1" x14ac:dyDescent="0.25"/>
    <row r="22016" hidden="1" x14ac:dyDescent="0.25"/>
    <row r="22017" hidden="1" x14ac:dyDescent="0.25"/>
    <row r="22018" hidden="1" x14ac:dyDescent="0.25"/>
    <row r="22019" hidden="1" x14ac:dyDescent="0.25"/>
    <row r="22020" hidden="1" x14ac:dyDescent="0.25"/>
    <row r="22021" hidden="1" x14ac:dyDescent="0.25"/>
    <row r="22022" hidden="1" x14ac:dyDescent="0.25"/>
    <row r="22023" hidden="1" x14ac:dyDescent="0.25"/>
    <row r="22024" hidden="1" x14ac:dyDescent="0.25"/>
    <row r="22025" hidden="1" x14ac:dyDescent="0.25"/>
    <row r="22026" hidden="1" x14ac:dyDescent="0.25"/>
    <row r="22027" hidden="1" x14ac:dyDescent="0.25"/>
    <row r="22028" hidden="1" x14ac:dyDescent="0.25"/>
    <row r="22029" hidden="1" x14ac:dyDescent="0.25"/>
    <row r="22030" hidden="1" x14ac:dyDescent="0.25"/>
    <row r="22031" hidden="1" x14ac:dyDescent="0.25"/>
    <row r="22032" hidden="1" x14ac:dyDescent="0.25"/>
    <row r="22033" hidden="1" x14ac:dyDescent="0.25"/>
    <row r="22034" hidden="1" x14ac:dyDescent="0.25"/>
    <row r="22035" hidden="1" x14ac:dyDescent="0.25"/>
    <row r="22036" hidden="1" x14ac:dyDescent="0.25"/>
    <row r="22037" hidden="1" x14ac:dyDescent="0.25"/>
    <row r="22038" hidden="1" x14ac:dyDescent="0.25"/>
    <row r="22039" hidden="1" x14ac:dyDescent="0.25"/>
    <row r="22040" hidden="1" x14ac:dyDescent="0.25"/>
    <row r="22041" hidden="1" x14ac:dyDescent="0.25"/>
    <row r="22042" hidden="1" x14ac:dyDescent="0.25"/>
    <row r="22043" hidden="1" x14ac:dyDescent="0.25"/>
    <row r="22044" hidden="1" x14ac:dyDescent="0.25"/>
    <row r="22045" hidden="1" x14ac:dyDescent="0.25"/>
    <row r="22046" hidden="1" x14ac:dyDescent="0.25"/>
    <row r="22047" hidden="1" x14ac:dyDescent="0.25"/>
    <row r="22048" hidden="1" x14ac:dyDescent="0.25"/>
    <row r="22049" hidden="1" x14ac:dyDescent="0.25"/>
    <row r="22050" hidden="1" x14ac:dyDescent="0.25"/>
    <row r="22051" hidden="1" x14ac:dyDescent="0.25"/>
    <row r="22052" hidden="1" x14ac:dyDescent="0.25"/>
    <row r="22053" hidden="1" x14ac:dyDescent="0.25"/>
    <row r="22054" hidden="1" x14ac:dyDescent="0.25"/>
    <row r="22055" hidden="1" x14ac:dyDescent="0.25"/>
    <row r="22056" hidden="1" x14ac:dyDescent="0.25"/>
    <row r="22057" hidden="1" x14ac:dyDescent="0.25"/>
    <row r="22058" hidden="1" x14ac:dyDescent="0.25"/>
    <row r="22059" hidden="1" x14ac:dyDescent="0.25"/>
    <row r="22060" hidden="1" x14ac:dyDescent="0.25"/>
    <row r="22061" hidden="1" x14ac:dyDescent="0.25"/>
    <row r="22062" hidden="1" x14ac:dyDescent="0.25"/>
    <row r="22063" hidden="1" x14ac:dyDescent="0.25"/>
    <row r="22064" hidden="1" x14ac:dyDescent="0.25"/>
    <row r="22065" hidden="1" x14ac:dyDescent="0.25"/>
    <row r="22066" hidden="1" x14ac:dyDescent="0.25"/>
    <row r="22067" hidden="1" x14ac:dyDescent="0.25"/>
    <row r="22068" hidden="1" x14ac:dyDescent="0.25"/>
    <row r="22069" hidden="1" x14ac:dyDescent="0.25"/>
    <row r="22070" hidden="1" x14ac:dyDescent="0.25"/>
    <row r="22071" hidden="1" x14ac:dyDescent="0.25"/>
    <row r="22072" hidden="1" x14ac:dyDescent="0.25"/>
    <row r="22073" hidden="1" x14ac:dyDescent="0.25"/>
    <row r="22074" hidden="1" x14ac:dyDescent="0.25"/>
    <row r="22075" hidden="1" x14ac:dyDescent="0.25"/>
    <row r="22076" hidden="1" x14ac:dyDescent="0.25"/>
    <row r="22077" hidden="1" x14ac:dyDescent="0.25"/>
    <row r="22078" hidden="1" x14ac:dyDescent="0.25"/>
    <row r="22079" hidden="1" x14ac:dyDescent="0.25"/>
    <row r="22080" hidden="1" x14ac:dyDescent="0.25"/>
    <row r="22081" hidden="1" x14ac:dyDescent="0.25"/>
    <row r="22082" hidden="1" x14ac:dyDescent="0.25"/>
    <row r="22083" hidden="1" x14ac:dyDescent="0.25"/>
    <row r="22084" hidden="1" x14ac:dyDescent="0.25"/>
    <row r="22085" hidden="1" x14ac:dyDescent="0.25"/>
    <row r="22086" hidden="1" x14ac:dyDescent="0.25"/>
    <row r="22087" hidden="1" x14ac:dyDescent="0.25"/>
    <row r="22088" hidden="1" x14ac:dyDescent="0.25"/>
    <row r="22089" hidden="1" x14ac:dyDescent="0.25"/>
    <row r="22090" hidden="1" x14ac:dyDescent="0.25"/>
    <row r="22091" hidden="1" x14ac:dyDescent="0.25"/>
    <row r="22092" hidden="1" x14ac:dyDescent="0.25"/>
    <row r="22093" hidden="1" x14ac:dyDescent="0.25"/>
    <row r="22094" hidden="1" x14ac:dyDescent="0.25"/>
    <row r="22095" hidden="1" x14ac:dyDescent="0.25"/>
    <row r="22096" hidden="1" x14ac:dyDescent="0.25"/>
    <row r="22097" hidden="1" x14ac:dyDescent="0.25"/>
    <row r="22098" hidden="1" x14ac:dyDescent="0.25"/>
    <row r="22099" hidden="1" x14ac:dyDescent="0.25"/>
    <row r="22100" hidden="1" x14ac:dyDescent="0.25"/>
    <row r="22101" hidden="1" x14ac:dyDescent="0.25"/>
    <row r="22102" hidden="1" x14ac:dyDescent="0.25"/>
    <row r="22103" hidden="1" x14ac:dyDescent="0.25"/>
    <row r="22104" hidden="1" x14ac:dyDescent="0.25"/>
    <row r="22105" hidden="1" x14ac:dyDescent="0.25"/>
    <row r="22106" hidden="1" x14ac:dyDescent="0.25"/>
    <row r="22107" hidden="1" x14ac:dyDescent="0.25"/>
    <row r="22108" hidden="1" x14ac:dyDescent="0.25"/>
    <row r="22109" hidden="1" x14ac:dyDescent="0.25"/>
    <row r="22110" hidden="1" x14ac:dyDescent="0.25"/>
    <row r="22111" hidden="1" x14ac:dyDescent="0.25"/>
    <row r="22112" hidden="1" x14ac:dyDescent="0.25"/>
    <row r="22113" hidden="1" x14ac:dyDescent="0.25"/>
    <row r="22114" hidden="1" x14ac:dyDescent="0.25"/>
    <row r="22115" hidden="1" x14ac:dyDescent="0.25"/>
    <row r="22116" hidden="1" x14ac:dyDescent="0.25"/>
    <row r="22117" hidden="1" x14ac:dyDescent="0.25"/>
    <row r="22118" hidden="1" x14ac:dyDescent="0.25"/>
    <row r="22119" hidden="1" x14ac:dyDescent="0.25"/>
    <row r="22120" hidden="1" x14ac:dyDescent="0.25"/>
    <row r="22121" hidden="1" x14ac:dyDescent="0.25"/>
    <row r="22122" hidden="1" x14ac:dyDescent="0.25"/>
    <row r="22123" hidden="1" x14ac:dyDescent="0.25"/>
    <row r="22124" hidden="1" x14ac:dyDescent="0.25"/>
    <row r="22125" hidden="1" x14ac:dyDescent="0.25"/>
    <row r="22126" hidden="1" x14ac:dyDescent="0.25"/>
    <row r="22127" hidden="1" x14ac:dyDescent="0.25"/>
    <row r="22128" hidden="1" x14ac:dyDescent="0.25"/>
    <row r="22129" hidden="1" x14ac:dyDescent="0.25"/>
    <row r="22130" hidden="1" x14ac:dyDescent="0.25"/>
    <row r="22131" hidden="1" x14ac:dyDescent="0.25"/>
    <row r="22132" hidden="1" x14ac:dyDescent="0.25"/>
    <row r="22133" hidden="1" x14ac:dyDescent="0.25"/>
    <row r="22134" hidden="1" x14ac:dyDescent="0.25"/>
    <row r="22135" hidden="1" x14ac:dyDescent="0.25"/>
    <row r="22136" hidden="1" x14ac:dyDescent="0.25"/>
    <row r="22137" hidden="1" x14ac:dyDescent="0.25"/>
    <row r="22138" hidden="1" x14ac:dyDescent="0.25"/>
    <row r="22139" hidden="1" x14ac:dyDescent="0.25"/>
    <row r="22140" hidden="1" x14ac:dyDescent="0.25"/>
    <row r="22141" hidden="1" x14ac:dyDescent="0.25"/>
    <row r="22142" hidden="1" x14ac:dyDescent="0.25"/>
    <row r="22143" hidden="1" x14ac:dyDescent="0.25"/>
    <row r="22144" hidden="1" x14ac:dyDescent="0.25"/>
    <row r="22145" hidden="1" x14ac:dyDescent="0.25"/>
    <row r="22146" hidden="1" x14ac:dyDescent="0.25"/>
    <row r="22147" hidden="1" x14ac:dyDescent="0.25"/>
    <row r="22148" hidden="1" x14ac:dyDescent="0.25"/>
    <row r="22149" hidden="1" x14ac:dyDescent="0.25"/>
    <row r="22150" hidden="1" x14ac:dyDescent="0.25"/>
    <row r="22151" hidden="1" x14ac:dyDescent="0.25"/>
    <row r="22152" hidden="1" x14ac:dyDescent="0.25"/>
    <row r="22153" hidden="1" x14ac:dyDescent="0.25"/>
    <row r="22154" hidden="1" x14ac:dyDescent="0.25"/>
    <row r="22155" hidden="1" x14ac:dyDescent="0.25"/>
    <row r="22156" hidden="1" x14ac:dyDescent="0.25"/>
    <row r="22157" hidden="1" x14ac:dyDescent="0.25"/>
    <row r="22158" hidden="1" x14ac:dyDescent="0.25"/>
    <row r="22159" hidden="1" x14ac:dyDescent="0.25"/>
    <row r="22160" hidden="1" x14ac:dyDescent="0.25"/>
    <row r="22161" hidden="1" x14ac:dyDescent="0.25"/>
    <row r="22162" hidden="1" x14ac:dyDescent="0.25"/>
    <row r="22163" hidden="1" x14ac:dyDescent="0.25"/>
    <row r="22164" hidden="1" x14ac:dyDescent="0.25"/>
    <row r="22165" hidden="1" x14ac:dyDescent="0.25"/>
    <row r="22166" hidden="1" x14ac:dyDescent="0.25"/>
    <row r="22167" hidden="1" x14ac:dyDescent="0.25"/>
    <row r="22168" hidden="1" x14ac:dyDescent="0.25"/>
    <row r="22169" hidden="1" x14ac:dyDescent="0.25"/>
    <row r="22170" hidden="1" x14ac:dyDescent="0.25"/>
    <row r="22171" hidden="1" x14ac:dyDescent="0.25"/>
    <row r="22172" hidden="1" x14ac:dyDescent="0.25"/>
    <row r="22173" hidden="1" x14ac:dyDescent="0.25"/>
    <row r="22174" hidden="1" x14ac:dyDescent="0.25"/>
    <row r="22175" hidden="1" x14ac:dyDescent="0.25"/>
    <row r="22176" hidden="1" x14ac:dyDescent="0.25"/>
    <row r="22177" hidden="1" x14ac:dyDescent="0.25"/>
    <row r="22178" hidden="1" x14ac:dyDescent="0.25"/>
    <row r="22179" hidden="1" x14ac:dyDescent="0.25"/>
    <row r="22180" hidden="1" x14ac:dyDescent="0.25"/>
    <row r="22181" hidden="1" x14ac:dyDescent="0.25"/>
    <row r="22182" hidden="1" x14ac:dyDescent="0.25"/>
    <row r="22183" hidden="1" x14ac:dyDescent="0.25"/>
    <row r="22184" hidden="1" x14ac:dyDescent="0.25"/>
    <row r="22185" hidden="1" x14ac:dyDescent="0.25"/>
    <row r="22186" hidden="1" x14ac:dyDescent="0.25"/>
    <row r="22187" hidden="1" x14ac:dyDescent="0.25"/>
    <row r="22188" hidden="1" x14ac:dyDescent="0.25"/>
    <row r="22189" hidden="1" x14ac:dyDescent="0.25"/>
    <row r="22190" hidden="1" x14ac:dyDescent="0.25"/>
    <row r="22191" hidden="1" x14ac:dyDescent="0.25"/>
    <row r="22192" hidden="1" x14ac:dyDescent="0.25"/>
    <row r="22193" hidden="1" x14ac:dyDescent="0.25"/>
    <row r="22194" hidden="1" x14ac:dyDescent="0.25"/>
    <row r="22195" hidden="1" x14ac:dyDescent="0.25"/>
    <row r="22196" hidden="1" x14ac:dyDescent="0.25"/>
    <row r="22197" hidden="1" x14ac:dyDescent="0.25"/>
    <row r="22198" hidden="1" x14ac:dyDescent="0.25"/>
    <row r="22199" hidden="1" x14ac:dyDescent="0.25"/>
    <row r="22200" hidden="1" x14ac:dyDescent="0.25"/>
    <row r="22201" hidden="1" x14ac:dyDescent="0.25"/>
    <row r="22202" hidden="1" x14ac:dyDescent="0.25"/>
    <row r="22203" hidden="1" x14ac:dyDescent="0.25"/>
    <row r="22204" hidden="1" x14ac:dyDescent="0.25"/>
    <row r="22205" hidden="1" x14ac:dyDescent="0.25"/>
    <row r="22206" hidden="1" x14ac:dyDescent="0.25"/>
    <row r="22207" hidden="1" x14ac:dyDescent="0.25"/>
    <row r="22208" hidden="1" x14ac:dyDescent="0.25"/>
    <row r="22209" hidden="1" x14ac:dyDescent="0.25"/>
    <row r="22210" hidden="1" x14ac:dyDescent="0.25"/>
    <row r="22211" hidden="1" x14ac:dyDescent="0.25"/>
    <row r="22212" hidden="1" x14ac:dyDescent="0.25"/>
    <row r="22213" hidden="1" x14ac:dyDescent="0.25"/>
    <row r="22214" hidden="1" x14ac:dyDescent="0.25"/>
    <row r="22215" hidden="1" x14ac:dyDescent="0.25"/>
    <row r="22216" hidden="1" x14ac:dyDescent="0.25"/>
    <row r="22217" hidden="1" x14ac:dyDescent="0.25"/>
    <row r="22218" hidden="1" x14ac:dyDescent="0.25"/>
    <row r="22219" hidden="1" x14ac:dyDescent="0.25"/>
    <row r="22220" hidden="1" x14ac:dyDescent="0.25"/>
    <row r="22221" hidden="1" x14ac:dyDescent="0.25"/>
    <row r="22222" hidden="1" x14ac:dyDescent="0.25"/>
    <row r="22223" hidden="1" x14ac:dyDescent="0.25"/>
    <row r="22224" hidden="1" x14ac:dyDescent="0.25"/>
    <row r="22225" hidden="1" x14ac:dyDescent="0.25"/>
    <row r="22226" hidden="1" x14ac:dyDescent="0.25"/>
    <row r="22227" hidden="1" x14ac:dyDescent="0.25"/>
    <row r="22228" hidden="1" x14ac:dyDescent="0.25"/>
    <row r="22229" hidden="1" x14ac:dyDescent="0.25"/>
    <row r="22230" hidden="1" x14ac:dyDescent="0.25"/>
    <row r="22231" hidden="1" x14ac:dyDescent="0.25"/>
    <row r="22232" hidden="1" x14ac:dyDescent="0.25"/>
    <row r="22233" hidden="1" x14ac:dyDescent="0.25"/>
    <row r="22234" hidden="1" x14ac:dyDescent="0.25"/>
    <row r="22235" hidden="1" x14ac:dyDescent="0.25"/>
    <row r="22236" hidden="1" x14ac:dyDescent="0.25"/>
    <row r="22237" hidden="1" x14ac:dyDescent="0.25"/>
    <row r="22238" hidden="1" x14ac:dyDescent="0.25"/>
    <row r="22239" hidden="1" x14ac:dyDescent="0.25"/>
    <row r="22240" hidden="1" x14ac:dyDescent="0.25"/>
    <row r="22241" hidden="1" x14ac:dyDescent="0.25"/>
    <row r="22242" hidden="1" x14ac:dyDescent="0.25"/>
    <row r="22243" hidden="1" x14ac:dyDescent="0.25"/>
    <row r="22244" hidden="1" x14ac:dyDescent="0.25"/>
    <row r="22245" hidden="1" x14ac:dyDescent="0.25"/>
    <row r="22246" hidden="1" x14ac:dyDescent="0.25"/>
    <row r="22247" hidden="1" x14ac:dyDescent="0.25"/>
    <row r="22248" hidden="1" x14ac:dyDescent="0.25"/>
    <row r="22249" hidden="1" x14ac:dyDescent="0.25"/>
    <row r="22250" hidden="1" x14ac:dyDescent="0.25"/>
    <row r="22251" hidden="1" x14ac:dyDescent="0.25"/>
    <row r="22252" hidden="1" x14ac:dyDescent="0.25"/>
    <row r="22253" hidden="1" x14ac:dyDescent="0.25"/>
    <row r="22254" hidden="1" x14ac:dyDescent="0.25"/>
    <row r="22255" hidden="1" x14ac:dyDescent="0.25"/>
    <row r="22256" hidden="1" x14ac:dyDescent="0.25"/>
    <row r="22257" hidden="1" x14ac:dyDescent="0.25"/>
    <row r="22258" hidden="1" x14ac:dyDescent="0.25"/>
    <row r="22259" hidden="1" x14ac:dyDescent="0.25"/>
    <row r="22260" hidden="1" x14ac:dyDescent="0.25"/>
    <row r="22261" hidden="1" x14ac:dyDescent="0.25"/>
    <row r="22262" hidden="1" x14ac:dyDescent="0.25"/>
    <row r="22263" hidden="1" x14ac:dyDescent="0.25"/>
    <row r="22264" hidden="1" x14ac:dyDescent="0.25"/>
    <row r="22265" hidden="1" x14ac:dyDescent="0.25"/>
    <row r="22266" hidden="1" x14ac:dyDescent="0.25"/>
    <row r="22267" hidden="1" x14ac:dyDescent="0.25"/>
    <row r="22268" hidden="1" x14ac:dyDescent="0.25"/>
    <row r="22269" hidden="1" x14ac:dyDescent="0.25"/>
    <row r="22270" hidden="1" x14ac:dyDescent="0.25"/>
    <row r="22271" hidden="1" x14ac:dyDescent="0.25"/>
    <row r="22272" hidden="1" x14ac:dyDescent="0.25"/>
    <row r="22273" hidden="1" x14ac:dyDescent="0.25"/>
    <row r="22274" hidden="1" x14ac:dyDescent="0.25"/>
    <row r="22275" hidden="1" x14ac:dyDescent="0.25"/>
    <row r="22276" hidden="1" x14ac:dyDescent="0.25"/>
    <row r="22277" hidden="1" x14ac:dyDescent="0.25"/>
    <row r="22278" hidden="1" x14ac:dyDescent="0.25"/>
    <row r="22279" hidden="1" x14ac:dyDescent="0.25"/>
    <row r="22280" hidden="1" x14ac:dyDescent="0.25"/>
    <row r="22281" hidden="1" x14ac:dyDescent="0.25"/>
    <row r="22282" hidden="1" x14ac:dyDescent="0.25"/>
    <row r="22283" hidden="1" x14ac:dyDescent="0.25"/>
    <row r="22284" hidden="1" x14ac:dyDescent="0.25"/>
    <row r="22285" hidden="1" x14ac:dyDescent="0.25"/>
    <row r="22286" hidden="1" x14ac:dyDescent="0.25"/>
    <row r="22287" hidden="1" x14ac:dyDescent="0.25"/>
    <row r="22288" hidden="1" x14ac:dyDescent="0.25"/>
    <row r="22289" hidden="1" x14ac:dyDescent="0.25"/>
    <row r="22290" hidden="1" x14ac:dyDescent="0.25"/>
    <row r="22291" hidden="1" x14ac:dyDescent="0.25"/>
    <row r="22292" hidden="1" x14ac:dyDescent="0.25"/>
    <row r="22293" hidden="1" x14ac:dyDescent="0.25"/>
    <row r="22294" hidden="1" x14ac:dyDescent="0.25"/>
    <row r="22295" hidden="1" x14ac:dyDescent="0.25"/>
    <row r="22296" hidden="1" x14ac:dyDescent="0.25"/>
    <row r="22297" hidden="1" x14ac:dyDescent="0.25"/>
    <row r="22298" hidden="1" x14ac:dyDescent="0.25"/>
    <row r="22299" hidden="1" x14ac:dyDescent="0.25"/>
    <row r="22300" hidden="1" x14ac:dyDescent="0.25"/>
    <row r="22301" hidden="1" x14ac:dyDescent="0.25"/>
    <row r="22302" hidden="1" x14ac:dyDescent="0.25"/>
    <row r="22303" hidden="1" x14ac:dyDescent="0.25"/>
    <row r="22304" hidden="1" x14ac:dyDescent="0.25"/>
    <row r="22305" hidden="1" x14ac:dyDescent="0.25"/>
    <row r="22306" hidden="1" x14ac:dyDescent="0.25"/>
    <row r="22307" hidden="1" x14ac:dyDescent="0.25"/>
    <row r="22308" hidden="1" x14ac:dyDescent="0.25"/>
    <row r="22309" hidden="1" x14ac:dyDescent="0.25"/>
    <row r="22310" hidden="1" x14ac:dyDescent="0.25"/>
    <row r="22311" hidden="1" x14ac:dyDescent="0.25"/>
    <row r="22312" hidden="1" x14ac:dyDescent="0.25"/>
    <row r="22313" hidden="1" x14ac:dyDescent="0.25"/>
    <row r="22314" hidden="1" x14ac:dyDescent="0.25"/>
    <row r="22315" hidden="1" x14ac:dyDescent="0.25"/>
    <row r="22316" hidden="1" x14ac:dyDescent="0.25"/>
    <row r="22317" hidden="1" x14ac:dyDescent="0.25"/>
    <row r="22318" hidden="1" x14ac:dyDescent="0.25"/>
    <row r="22319" hidden="1" x14ac:dyDescent="0.25"/>
    <row r="22320" hidden="1" x14ac:dyDescent="0.25"/>
    <row r="22321" hidden="1" x14ac:dyDescent="0.25"/>
    <row r="22322" hidden="1" x14ac:dyDescent="0.25"/>
    <row r="22323" hidden="1" x14ac:dyDescent="0.25"/>
    <row r="22324" hidden="1" x14ac:dyDescent="0.25"/>
    <row r="22325" hidden="1" x14ac:dyDescent="0.25"/>
    <row r="22326" hidden="1" x14ac:dyDescent="0.25"/>
    <row r="22327" hidden="1" x14ac:dyDescent="0.25"/>
    <row r="22328" hidden="1" x14ac:dyDescent="0.25"/>
    <row r="22329" hidden="1" x14ac:dyDescent="0.25"/>
    <row r="22330" hidden="1" x14ac:dyDescent="0.25"/>
    <row r="22331" hidden="1" x14ac:dyDescent="0.25"/>
    <row r="22332" hidden="1" x14ac:dyDescent="0.25"/>
    <row r="22333" hidden="1" x14ac:dyDescent="0.25"/>
    <row r="22334" hidden="1" x14ac:dyDescent="0.25"/>
    <row r="22335" hidden="1" x14ac:dyDescent="0.25"/>
    <row r="22336" hidden="1" x14ac:dyDescent="0.25"/>
    <row r="22337" hidden="1" x14ac:dyDescent="0.25"/>
    <row r="22338" hidden="1" x14ac:dyDescent="0.25"/>
    <row r="22339" hidden="1" x14ac:dyDescent="0.25"/>
    <row r="22340" hidden="1" x14ac:dyDescent="0.25"/>
    <row r="22341" hidden="1" x14ac:dyDescent="0.25"/>
    <row r="22342" hidden="1" x14ac:dyDescent="0.25"/>
    <row r="22343" hidden="1" x14ac:dyDescent="0.25"/>
    <row r="22344" hidden="1" x14ac:dyDescent="0.25"/>
    <row r="22345" hidden="1" x14ac:dyDescent="0.25"/>
    <row r="22346" hidden="1" x14ac:dyDescent="0.25"/>
    <row r="22347" hidden="1" x14ac:dyDescent="0.25"/>
    <row r="22348" hidden="1" x14ac:dyDescent="0.25"/>
    <row r="22349" hidden="1" x14ac:dyDescent="0.25"/>
    <row r="22350" hidden="1" x14ac:dyDescent="0.25"/>
    <row r="22351" hidden="1" x14ac:dyDescent="0.25"/>
    <row r="22352" hidden="1" x14ac:dyDescent="0.25"/>
    <row r="22353" hidden="1" x14ac:dyDescent="0.25"/>
    <row r="22354" hidden="1" x14ac:dyDescent="0.25"/>
    <row r="22355" hidden="1" x14ac:dyDescent="0.25"/>
    <row r="22356" hidden="1" x14ac:dyDescent="0.25"/>
    <row r="22357" hidden="1" x14ac:dyDescent="0.25"/>
    <row r="22358" hidden="1" x14ac:dyDescent="0.25"/>
    <row r="22359" hidden="1" x14ac:dyDescent="0.25"/>
    <row r="22360" hidden="1" x14ac:dyDescent="0.25"/>
    <row r="22361" hidden="1" x14ac:dyDescent="0.25"/>
    <row r="22362" hidden="1" x14ac:dyDescent="0.25"/>
    <row r="22363" hidden="1" x14ac:dyDescent="0.25"/>
    <row r="22364" hidden="1" x14ac:dyDescent="0.25"/>
    <row r="22365" hidden="1" x14ac:dyDescent="0.25"/>
    <row r="22366" hidden="1" x14ac:dyDescent="0.25"/>
    <row r="22367" hidden="1" x14ac:dyDescent="0.25"/>
    <row r="22368" hidden="1" x14ac:dyDescent="0.25"/>
    <row r="22369" hidden="1" x14ac:dyDescent="0.25"/>
    <row r="22370" hidden="1" x14ac:dyDescent="0.25"/>
    <row r="22371" hidden="1" x14ac:dyDescent="0.25"/>
    <row r="22372" hidden="1" x14ac:dyDescent="0.25"/>
    <row r="22373" hidden="1" x14ac:dyDescent="0.25"/>
    <row r="22374" hidden="1" x14ac:dyDescent="0.25"/>
    <row r="22375" hidden="1" x14ac:dyDescent="0.25"/>
    <row r="22376" hidden="1" x14ac:dyDescent="0.25"/>
    <row r="22377" hidden="1" x14ac:dyDescent="0.25"/>
    <row r="22378" hidden="1" x14ac:dyDescent="0.25"/>
    <row r="22379" hidden="1" x14ac:dyDescent="0.25"/>
    <row r="22380" hidden="1" x14ac:dyDescent="0.25"/>
    <row r="22381" hidden="1" x14ac:dyDescent="0.25"/>
    <row r="22382" hidden="1" x14ac:dyDescent="0.25"/>
    <row r="22383" hidden="1" x14ac:dyDescent="0.25"/>
    <row r="22384" hidden="1" x14ac:dyDescent="0.25"/>
    <row r="22385" hidden="1" x14ac:dyDescent="0.25"/>
    <row r="22386" hidden="1" x14ac:dyDescent="0.25"/>
    <row r="22387" hidden="1" x14ac:dyDescent="0.25"/>
    <row r="22388" hidden="1" x14ac:dyDescent="0.25"/>
    <row r="22389" hidden="1" x14ac:dyDescent="0.25"/>
    <row r="22390" hidden="1" x14ac:dyDescent="0.25"/>
    <row r="22391" hidden="1" x14ac:dyDescent="0.25"/>
    <row r="22392" hidden="1" x14ac:dyDescent="0.25"/>
    <row r="22393" hidden="1" x14ac:dyDescent="0.25"/>
    <row r="22394" hidden="1" x14ac:dyDescent="0.25"/>
    <row r="22395" hidden="1" x14ac:dyDescent="0.25"/>
    <row r="22396" hidden="1" x14ac:dyDescent="0.25"/>
    <row r="22397" hidden="1" x14ac:dyDescent="0.25"/>
    <row r="22398" hidden="1" x14ac:dyDescent="0.25"/>
    <row r="22399" hidden="1" x14ac:dyDescent="0.25"/>
    <row r="22400" hidden="1" x14ac:dyDescent="0.25"/>
    <row r="22401" hidden="1" x14ac:dyDescent="0.25"/>
    <row r="22402" hidden="1" x14ac:dyDescent="0.25"/>
    <row r="22403" hidden="1" x14ac:dyDescent="0.25"/>
    <row r="22404" hidden="1" x14ac:dyDescent="0.25"/>
    <row r="22405" hidden="1" x14ac:dyDescent="0.25"/>
    <row r="22406" hidden="1" x14ac:dyDescent="0.25"/>
    <row r="22407" hidden="1" x14ac:dyDescent="0.25"/>
    <row r="22408" hidden="1" x14ac:dyDescent="0.25"/>
    <row r="22409" hidden="1" x14ac:dyDescent="0.25"/>
    <row r="22410" hidden="1" x14ac:dyDescent="0.25"/>
    <row r="22411" hidden="1" x14ac:dyDescent="0.25"/>
    <row r="22412" hidden="1" x14ac:dyDescent="0.25"/>
    <row r="22413" hidden="1" x14ac:dyDescent="0.25"/>
    <row r="22414" hidden="1" x14ac:dyDescent="0.25"/>
    <row r="22415" hidden="1" x14ac:dyDescent="0.25"/>
    <row r="22416" hidden="1" x14ac:dyDescent="0.25"/>
    <row r="22417" hidden="1" x14ac:dyDescent="0.25"/>
    <row r="22418" hidden="1" x14ac:dyDescent="0.25"/>
    <row r="22419" hidden="1" x14ac:dyDescent="0.25"/>
    <row r="22420" hidden="1" x14ac:dyDescent="0.25"/>
    <row r="22421" hidden="1" x14ac:dyDescent="0.25"/>
    <row r="22422" hidden="1" x14ac:dyDescent="0.25"/>
    <row r="22423" hidden="1" x14ac:dyDescent="0.25"/>
    <row r="22424" hidden="1" x14ac:dyDescent="0.25"/>
    <row r="22425" hidden="1" x14ac:dyDescent="0.25"/>
    <row r="22426" hidden="1" x14ac:dyDescent="0.25"/>
    <row r="22427" hidden="1" x14ac:dyDescent="0.25"/>
    <row r="22428" hidden="1" x14ac:dyDescent="0.25"/>
    <row r="22429" hidden="1" x14ac:dyDescent="0.25"/>
    <row r="22430" hidden="1" x14ac:dyDescent="0.25"/>
    <row r="22431" hidden="1" x14ac:dyDescent="0.25"/>
    <row r="22432" hidden="1" x14ac:dyDescent="0.25"/>
    <row r="22433" hidden="1" x14ac:dyDescent="0.25"/>
    <row r="22434" hidden="1" x14ac:dyDescent="0.25"/>
    <row r="22435" hidden="1" x14ac:dyDescent="0.25"/>
    <row r="22436" hidden="1" x14ac:dyDescent="0.25"/>
    <row r="22437" hidden="1" x14ac:dyDescent="0.25"/>
    <row r="22438" hidden="1" x14ac:dyDescent="0.25"/>
    <row r="22439" hidden="1" x14ac:dyDescent="0.25"/>
    <row r="22440" hidden="1" x14ac:dyDescent="0.25"/>
    <row r="22441" hidden="1" x14ac:dyDescent="0.25"/>
    <row r="22442" hidden="1" x14ac:dyDescent="0.25"/>
    <row r="22443" hidden="1" x14ac:dyDescent="0.25"/>
    <row r="22444" hidden="1" x14ac:dyDescent="0.25"/>
    <row r="22445" hidden="1" x14ac:dyDescent="0.25"/>
    <row r="22446" hidden="1" x14ac:dyDescent="0.25"/>
    <row r="22447" hidden="1" x14ac:dyDescent="0.25"/>
    <row r="22448" hidden="1" x14ac:dyDescent="0.25"/>
    <row r="22449" hidden="1" x14ac:dyDescent="0.25"/>
    <row r="22450" hidden="1" x14ac:dyDescent="0.25"/>
    <row r="22451" hidden="1" x14ac:dyDescent="0.25"/>
    <row r="22452" hidden="1" x14ac:dyDescent="0.25"/>
    <row r="22453" hidden="1" x14ac:dyDescent="0.25"/>
    <row r="22454" hidden="1" x14ac:dyDescent="0.25"/>
    <row r="22455" hidden="1" x14ac:dyDescent="0.25"/>
    <row r="22456" hidden="1" x14ac:dyDescent="0.25"/>
    <row r="22457" hidden="1" x14ac:dyDescent="0.25"/>
    <row r="22458" hidden="1" x14ac:dyDescent="0.25"/>
    <row r="22459" hidden="1" x14ac:dyDescent="0.25"/>
    <row r="22460" hidden="1" x14ac:dyDescent="0.25"/>
    <row r="22461" hidden="1" x14ac:dyDescent="0.25"/>
    <row r="22462" hidden="1" x14ac:dyDescent="0.25"/>
    <row r="22463" hidden="1" x14ac:dyDescent="0.25"/>
    <row r="22464" hidden="1" x14ac:dyDescent="0.25"/>
    <row r="22465" hidden="1" x14ac:dyDescent="0.25"/>
    <row r="22466" hidden="1" x14ac:dyDescent="0.25"/>
    <row r="22467" hidden="1" x14ac:dyDescent="0.25"/>
    <row r="22468" hidden="1" x14ac:dyDescent="0.25"/>
    <row r="22469" hidden="1" x14ac:dyDescent="0.25"/>
    <row r="22470" hidden="1" x14ac:dyDescent="0.25"/>
    <row r="22471" hidden="1" x14ac:dyDescent="0.25"/>
    <row r="22472" hidden="1" x14ac:dyDescent="0.25"/>
    <row r="22473" hidden="1" x14ac:dyDescent="0.25"/>
    <row r="22474" hidden="1" x14ac:dyDescent="0.25"/>
    <row r="22475" hidden="1" x14ac:dyDescent="0.25"/>
    <row r="22476" hidden="1" x14ac:dyDescent="0.25"/>
    <row r="22477" hidden="1" x14ac:dyDescent="0.25"/>
    <row r="22478" hidden="1" x14ac:dyDescent="0.25"/>
    <row r="22479" hidden="1" x14ac:dyDescent="0.25"/>
    <row r="22480" hidden="1" x14ac:dyDescent="0.25"/>
    <row r="22481" hidden="1" x14ac:dyDescent="0.25"/>
    <row r="22482" hidden="1" x14ac:dyDescent="0.25"/>
    <row r="22483" hidden="1" x14ac:dyDescent="0.25"/>
    <row r="22484" hidden="1" x14ac:dyDescent="0.25"/>
    <row r="22485" hidden="1" x14ac:dyDescent="0.25"/>
    <row r="22486" hidden="1" x14ac:dyDescent="0.25"/>
    <row r="22487" hidden="1" x14ac:dyDescent="0.25"/>
    <row r="22488" hidden="1" x14ac:dyDescent="0.25"/>
    <row r="22489" hidden="1" x14ac:dyDescent="0.25"/>
    <row r="22490" hidden="1" x14ac:dyDescent="0.25"/>
    <row r="22491" hidden="1" x14ac:dyDescent="0.25"/>
    <row r="22492" hidden="1" x14ac:dyDescent="0.25"/>
    <row r="22493" hidden="1" x14ac:dyDescent="0.25"/>
    <row r="22494" hidden="1" x14ac:dyDescent="0.25"/>
    <row r="22495" hidden="1" x14ac:dyDescent="0.25"/>
    <row r="22496" hidden="1" x14ac:dyDescent="0.25"/>
    <row r="22497" hidden="1" x14ac:dyDescent="0.25"/>
    <row r="22498" hidden="1" x14ac:dyDescent="0.25"/>
    <row r="22499" hidden="1" x14ac:dyDescent="0.25"/>
    <row r="22500" hidden="1" x14ac:dyDescent="0.25"/>
    <row r="22501" hidden="1" x14ac:dyDescent="0.25"/>
    <row r="22502" hidden="1" x14ac:dyDescent="0.25"/>
    <row r="22503" hidden="1" x14ac:dyDescent="0.25"/>
    <row r="22504" hidden="1" x14ac:dyDescent="0.25"/>
    <row r="22505" hidden="1" x14ac:dyDescent="0.25"/>
    <row r="22506" hidden="1" x14ac:dyDescent="0.25"/>
    <row r="22507" hidden="1" x14ac:dyDescent="0.25"/>
    <row r="22508" hidden="1" x14ac:dyDescent="0.25"/>
    <row r="22509" hidden="1" x14ac:dyDescent="0.25"/>
    <row r="22510" hidden="1" x14ac:dyDescent="0.25"/>
    <row r="22511" hidden="1" x14ac:dyDescent="0.25"/>
    <row r="22512" hidden="1" x14ac:dyDescent="0.25"/>
    <row r="22513" hidden="1" x14ac:dyDescent="0.25"/>
    <row r="22514" hidden="1" x14ac:dyDescent="0.25"/>
    <row r="22515" hidden="1" x14ac:dyDescent="0.25"/>
    <row r="22516" hidden="1" x14ac:dyDescent="0.25"/>
    <row r="22517" hidden="1" x14ac:dyDescent="0.25"/>
    <row r="22518" hidden="1" x14ac:dyDescent="0.25"/>
    <row r="22519" hidden="1" x14ac:dyDescent="0.25"/>
    <row r="22520" hidden="1" x14ac:dyDescent="0.25"/>
    <row r="22521" hidden="1" x14ac:dyDescent="0.25"/>
    <row r="22522" hidden="1" x14ac:dyDescent="0.25"/>
    <row r="22523" hidden="1" x14ac:dyDescent="0.25"/>
    <row r="22524" hidden="1" x14ac:dyDescent="0.25"/>
    <row r="22525" hidden="1" x14ac:dyDescent="0.25"/>
    <row r="22526" hidden="1" x14ac:dyDescent="0.25"/>
    <row r="22527" hidden="1" x14ac:dyDescent="0.25"/>
    <row r="22528" hidden="1" x14ac:dyDescent="0.25"/>
    <row r="22529" hidden="1" x14ac:dyDescent="0.25"/>
    <row r="22530" hidden="1" x14ac:dyDescent="0.25"/>
    <row r="22531" hidden="1" x14ac:dyDescent="0.25"/>
    <row r="22532" hidden="1" x14ac:dyDescent="0.25"/>
    <row r="22533" hidden="1" x14ac:dyDescent="0.25"/>
    <row r="22534" hidden="1" x14ac:dyDescent="0.25"/>
    <row r="22535" hidden="1" x14ac:dyDescent="0.25"/>
    <row r="22536" hidden="1" x14ac:dyDescent="0.25"/>
    <row r="22537" hidden="1" x14ac:dyDescent="0.25"/>
    <row r="22538" hidden="1" x14ac:dyDescent="0.25"/>
    <row r="22539" hidden="1" x14ac:dyDescent="0.25"/>
    <row r="22540" hidden="1" x14ac:dyDescent="0.25"/>
    <row r="22541" hidden="1" x14ac:dyDescent="0.25"/>
    <row r="22542" hidden="1" x14ac:dyDescent="0.25"/>
    <row r="22543" hidden="1" x14ac:dyDescent="0.25"/>
    <row r="22544" hidden="1" x14ac:dyDescent="0.25"/>
    <row r="22545" hidden="1" x14ac:dyDescent="0.25"/>
    <row r="22546" hidden="1" x14ac:dyDescent="0.25"/>
    <row r="22547" hidden="1" x14ac:dyDescent="0.25"/>
    <row r="22548" hidden="1" x14ac:dyDescent="0.25"/>
    <row r="22549" hidden="1" x14ac:dyDescent="0.25"/>
    <row r="22550" hidden="1" x14ac:dyDescent="0.25"/>
    <row r="22551" hidden="1" x14ac:dyDescent="0.25"/>
    <row r="22552" hidden="1" x14ac:dyDescent="0.25"/>
    <row r="22553" hidden="1" x14ac:dyDescent="0.25"/>
    <row r="22554" hidden="1" x14ac:dyDescent="0.25"/>
    <row r="22555" hidden="1" x14ac:dyDescent="0.25"/>
    <row r="22556" hidden="1" x14ac:dyDescent="0.25"/>
    <row r="22557" hidden="1" x14ac:dyDescent="0.25"/>
    <row r="22558" hidden="1" x14ac:dyDescent="0.25"/>
    <row r="22559" hidden="1" x14ac:dyDescent="0.25"/>
    <row r="22560" hidden="1" x14ac:dyDescent="0.25"/>
    <row r="22561" hidden="1" x14ac:dyDescent="0.25"/>
    <row r="22562" hidden="1" x14ac:dyDescent="0.25"/>
    <row r="22563" hidden="1" x14ac:dyDescent="0.25"/>
    <row r="22564" hidden="1" x14ac:dyDescent="0.25"/>
    <row r="22565" hidden="1" x14ac:dyDescent="0.25"/>
    <row r="22566" hidden="1" x14ac:dyDescent="0.25"/>
    <row r="22567" hidden="1" x14ac:dyDescent="0.25"/>
    <row r="22568" hidden="1" x14ac:dyDescent="0.25"/>
    <row r="22569" hidden="1" x14ac:dyDescent="0.25"/>
    <row r="22570" hidden="1" x14ac:dyDescent="0.25"/>
    <row r="22571" hidden="1" x14ac:dyDescent="0.25"/>
    <row r="22572" hidden="1" x14ac:dyDescent="0.25"/>
    <row r="22573" hidden="1" x14ac:dyDescent="0.25"/>
    <row r="22574" hidden="1" x14ac:dyDescent="0.25"/>
    <row r="22575" hidden="1" x14ac:dyDescent="0.25"/>
    <row r="22576" hidden="1" x14ac:dyDescent="0.25"/>
    <row r="22577" hidden="1" x14ac:dyDescent="0.25"/>
    <row r="22578" hidden="1" x14ac:dyDescent="0.25"/>
    <row r="22579" hidden="1" x14ac:dyDescent="0.25"/>
    <row r="22580" hidden="1" x14ac:dyDescent="0.25"/>
    <row r="22581" hidden="1" x14ac:dyDescent="0.25"/>
    <row r="22582" hidden="1" x14ac:dyDescent="0.25"/>
    <row r="22583" hidden="1" x14ac:dyDescent="0.25"/>
    <row r="22584" hidden="1" x14ac:dyDescent="0.25"/>
    <row r="22585" hidden="1" x14ac:dyDescent="0.25"/>
    <row r="22586" hidden="1" x14ac:dyDescent="0.25"/>
    <row r="22587" hidden="1" x14ac:dyDescent="0.25"/>
    <row r="22588" hidden="1" x14ac:dyDescent="0.25"/>
    <row r="22589" hidden="1" x14ac:dyDescent="0.25"/>
    <row r="22590" hidden="1" x14ac:dyDescent="0.25"/>
    <row r="22591" hidden="1" x14ac:dyDescent="0.25"/>
    <row r="22592" hidden="1" x14ac:dyDescent="0.25"/>
    <row r="22593" hidden="1" x14ac:dyDescent="0.25"/>
    <row r="22594" hidden="1" x14ac:dyDescent="0.25"/>
    <row r="22595" hidden="1" x14ac:dyDescent="0.25"/>
    <row r="22596" hidden="1" x14ac:dyDescent="0.25"/>
    <row r="22597" hidden="1" x14ac:dyDescent="0.25"/>
    <row r="22598" hidden="1" x14ac:dyDescent="0.25"/>
    <row r="22599" hidden="1" x14ac:dyDescent="0.25"/>
    <row r="22600" hidden="1" x14ac:dyDescent="0.25"/>
    <row r="22601" hidden="1" x14ac:dyDescent="0.25"/>
    <row r="22602" hidden="1" x14ac:dyDescent="0.25"/>
    <row r="22603" hidden="1" x14ac:dyDescent="0.25"/>
    <row r="22604" hidden="1" x14ac:dyDescent="0.25"/>
    <row r="22605" hidden="1" x14ac:dyDescent="0.25"/>
    <row r="22606" hidden="1" x14ac:dyDescent="0.25"/>
    <row r="22607" hidden="1" x14ac:dyDescent="0.25"/>
    <row r="22608" hidden="1" x14ac:dyDescent="0.25"/>
    <row r="22609" hidden="1" x14ac:dyDescent="0.25"/>
    <row r="22610" hidden="1" x14ac:dyDescent="0.25"/>
    <row r="22611" hidden="1" x14ac:dyDescent="0.25"/>
    <row r="22612" hidden="1" x14ac:dyDescent="0.25"/>
    <row r="22613" hidden="1" x14ac:dyDescent="0.25"/>
    <row r="22614" hidden="1" x14ac:dyDescent="0.25"/>
    <row r="22615" hidden="1" x14ac:dyDescent="0.25"/>
    <row r="22616" hidden="1" x14ac:dyDescent="0.25"/>
    <row r="22617" hidden="1" x14ac:dyDescent="0.25"/>
    <row r="22618" hidden="1" x14ac:dyDescent="0.25"/>
    <row r="22619" hidden="1" x14ac:dyDescent="0.25"/>
    <row r="22620" hidden="1" x14ac:dyDescent="0.25"/>
    <row r="22621" hidden="1" x14ac:dyDescent="0.25"/>
    <row r="22622" hidden="1" x14ac:dyDescent="0.25"/>
    <row r="22623" hidden="1" x14ac:dyDescent="0.25"/>
    <row r="22624" hidden="1" x14ac:dyDescent="0.25"/>
    <row r="22625" hidden="1" x14ac:dyDescent="0.25"/>
    <row r="22626" hidden="1" x14ac:dyDescent="0.25"/>
    <row r="22627" hidden="1" x14ac:dyDescent="0.25"/>
    <row r="22628" hidden="1" x14ac:dyDescent="0.25"/>
    <row r="22629" hidden="1" x14ac:dyDescent="0.25"/>
    <row r="22630" hidden="1" x14ac:dyDescent="0.25"/>
    <row r="22631" hidden="1" x14ac:dyDescent="0.25"/>
    <row r="22632" hidden="1" x14ac:dyDescent="0.25"/>
    <row r="22633" hidden="1" x14ac:dyDescent="0.25"/>
    <row r="22634" hidden="1" x14ac:dyDescent="0.25"/>
    <row r="22635" hidden="1" x14ac:dyDescent="0.25"/>
    <row r="22636" hidden="1" x14ac:dyDescent="0.25"/>
    <row r="22637" hidden="1" x14ac:dyDescent="0.25"/>
    <row r="22638" hidden="1" x14ac:dyDescent="0.25"/>
    <row r="22639" hidden="1" x14ac:dyDescent="0.25"/>
    <row r="22640" hidden="1" x14ac:dyDescent="0.25"/>
    <row r="22641" hidden="1" x14ac:dyDescent="0.25"/>
    <row r="22642" hidden="1" x14ac:dyDescent="0.25"/>
    <row r="22643" hidden="1" x14ac:dyDescent="0.25"/>
    <row r="22644" hidden="1" x14ac:dyDescent="0.25"/>
    <row r="22645" hidden="1" x14ac:dyDescent="0.25"/>
    <row r="22646" hidden="1" x14ac:dyDescent="0.25"/>
    <row r="22647" hidden="1" x14ac:dyDescent="0.25"/>
    <row r="22648" hidden="1" x14ac:dyDescent="0.25"/>
    <row r="22649" hidden="1" x14ac:dyDescent="0.25"/>
    <row r="22650" hidden="1" x14ac:dyDescent="0.25"/>
    <row r="22651" hidden="1" x14ac:dyDescent="0.25"/>
    <row r="22652" hidden="1" x14ac:dyDescent="0.25"/>
    <row r="22653" hidden="1" x14ac:dyDescent="0.25"/>
    <row r="22654" hidden="1" x14ac:dyDescent="0.25"/>
    <row r="22655" hidden="1" x14ac:dyDescent="0.25"/>
    <row r="22656" hidden="1" x14ac:dyDescent="0.25"/>
    <row r="22657" hidden="1" x14ac:dyDescent="0.25"/>
    <row r="22658" hidden="1" x14ac:dyDescent="0.25"/>
    <row r="22659" hidden="1" x14ac:dyDescent="0.25"/>
    <row r="22660" hidden="1" x14ac:dyDescent="0.25"/>
    <row r="22661" hidden="1" x14ac:dyDescent="0.25"/>
    <row r="22662" hidden="1" x14ac:dyDescent="0.25"/>
    <row r="22663" hidden="1" x14ac:dyDescent="0.25"/>
    <row r="22664" hidden="1" x14ac:dyDescent="0.25"/>
    <row r="22665" hidden="1" x14ac:dyDescent="0.25"/>
    <row r="22666" hidden="1" x14ac:dyDescent="0.25"/>
    <row r="22667" hidden="1" x14ac:dyDescent="0.25"/>
    <row r="22668" hidden="1" x14ac:dyDescent="0.25"/>
    <row r="22669" hidden="1" x14ac:dyDescent="0.25"/>
    <row r="22670" hidden="1" x14ac:dyDescent="0.25"/>
    <row r="22671" hidden="1" x14ac:dyDescent="0.25"/>
    <row r="22672" hidden="1" x14ac:dyDescent="0.25"/>
    <row r="22673" hidden="1" x14ac:dyDescent="0.25"/>
    <row r="22674" hidden="1" x14ac:dyDescent="0.25"/>
    <row r="22675" hidden="1" x14ac:dyDescent="0.25"/>
    <row r="22676" hidden="1" x14ac:dyDescent="0.25"/>
    <row r="22677" hidden="1" x14ac:dyDescent="0.25"/>
    <row r="22678" hidden="1" x14ac:dyDescent="0.25"/>
    <row r="22679" hidden="1" x14ac:dyDescent="0.25"/>
    <row r="22680" hidden="1" x14ac:dyDescent="0.25"/>
    <row r="22681" hidden="1" x14ac:dyDescent="0.25"/>
    <row r="22682" hidden="1" x14ac:dyDescent="0.25"/>
    <row r="22683" hidden="1" x14ac:dyDescent="0.25"/>
    <row r="22684" hidden="1" x14ac:dyDescent="0.25"/>
    <row r="22685" hidden="1" x14ac:dyDescent="0.25"/>
    <row r="22686" hidden="1" x14ac:dyDescent="0.25"/>
    <row r="22687" hidden="1" x14ac:dyDescent="0.25"/>
    <row r="22688" hidden="1" x14ac:dyDescent="0.25"/>
    <row r="22689" hidden="1" x14ac:dyDescent="0.25"/>
    <row r="22690" hidden="1" x14ac:dyDescent="0.25"/>
    <row r="22691" hidden="1" x14ac:dyDescent="0.25"/>
    <row r="22692" hidden="1" x14ac:dyDescent="0.25"/>
    <row r="22693" hidden="1" x14ac:dyDescent="0.25"/>
    <row r="22694" hidden="1" x14ac:dyDescent="0.25"/>
    <row r="22695" hidden="1" x14ac:dyDescent="0.25"/>
    <row r="22696" hidden="1" x14ac:dyDescent="0.25"/>
    <row r="22697" hidden="1" x14ac:dyDescent="0.25"/>
    <row r="22698" hidden="1" x14ac:dyDescent="0.25"/>
    <row r="22699" hidden="1" x14ac:dyDescent="0.25"/>
    <row r="22700" hidden="1" x14ac:dyDescent="0.25"/>
    <row r="22701" hidden="1" x14ac:dyDescent="0.25"/>
    <row r="22702" hidden="1" x14ac:dyDescent="0.25"/>
    <row r="22703" hidden="1" x14ac:dyDescent="0.25"/>
    <row r="22704" hidden="1" x14ac:dyDescent="0.25"/>
    <row r="22705" hidden="1" x14ac:dyDescent="0.25"/>
    <row r="22706" hidden="1" x14ac:dyDescent="0.25"/>
    <row r="22707" hidden="1" x14ac:dyDescent="0.25"/>
    <row r="22708" hidden="1" x14ac:dyDescent="0.25"/>
    <row r="22709" hidden="1" x14ac:dyDescent="0.25"/>
    <row r="22710" hidden="1" x14ac:dyDescent="0.25"/>
    <row r="22711" hidden="1" x14ac:dyDescent="0.25"/>
    <row r="22712" hidden="1" x14ac:dyDescent="0.25"/>
    <row r="22713" hidden="1" x14ac:dyDescent="0.25"/>
    <row r="22714" hidden="1" x14ac:dyDescent="0.25"/>
    <row r="22715" hidden="1" x14ac:dyDescent="0.25"/>
    <row r="22716" hidden="1" x14ac:dyDescent="0.25"/>
    <row r="22717" hidden="1" x14ac:dyDescent="0.25"/>
    <row r="22718" hidden="1" x14ac:dyDescent="0.25"/>
    <row r="22719" hidden="1" x14ac:dyDescent="0.25"/>
    <row r="22720" hidden="1" x14ac:dyDescent="0.25"/>
    <row r="22721" hidden="1" x14ac:dyDescent="0.25"/>
    <row r="22722" hidden="1" x14ac:dyDescent="0.25"/>
    <row r="22723" hidden="1" x14ac:dyDescent="0.25"/>
    <row r="22724" hidden="1" x14ac:dyDescent="0.25"/>
    <row r="22725" hidden="1" x14ac:dyDescent="0.25"/>
    <row r="22726" hidden="1" x14ac:dyDescent="0.25"/>
    <row r="22727" hidden="1" x14ac:dyDescent="0.25"/>
    <row r="22728" hidden="1" x14ac:dyDescent="0.25"/>
    <row r="22729" hidden="1" x14ac:dyDescent="0.25"/>
    <row r="22730" hidden="1" x14ac:dyDescent="0.25"/>
    <row r="22731" hidden="1" x14ac:dyDescent="0.25"/>
    <row r="22732" hidden="1" x14ac:dyDescent="0.25"/>
    <row r="22733" hidden="1" x14ac:dyDescent="0.25"/>
    <row r="22734" hidden="1" x14ac:dyDescent="0.25"/>
    <row r="22735" hidden="1" x14ac:dyDescent="0.25"/>
    <row r="22736" hidden="1" x14ac:dyDescent="0.25"/>
    <row r="22737" hidden="1" x14ac:dyDescent="0.25"/>
    <row r="22738" hidden="1" x14ac:dyDescent="0.25"/>
    <row r="22739" hidden="1" x14ac:dyDescent="0.25"/>
    <row r="22740" hidden="1" x14ac:dyDescent="0.25"/>
    <row r="22741" hidden="1" x14ac:dyDescent="0.25"/>
    <row r="22742" hidden="1" x14ac:dyDescent="0.25"/>
    <row r="22743" hidden="1" x14ac:dyDescent="0.25"/>
    <row r="22744" hidden="1" x14ac:dyDescent="0.25"/>
    <row r="22745" hidden="1" x14ac:dyDescent="0.25"/>
    <row r="22746" hidden="1" x14ac:dyDescent="0.25"/>
    <row r="22747" hidden="1" x14ac:dyDescent="0.25"/>
    <row r="22748" hidden="1" x14ac:dyDescent="0.25"/>
    <row r="22749" hidden="1" x14ac:dyDescent="0.25"/>
    <row r="22750" hidden="1" x14ac:dyDescent="0.25"/>
    <row r="22751" hidden="1" x14ac:dyDescent="0.25"/>
    <row r="22752" hidden="1" x14ac:dyDescent="0.25"/>
    <row r="22753" hidden="1" x14ac:dyDescent="0.25"/>
    <row r="22754" hidden="1" x14ac:dyDescent="0.25"/>
    <row r="22755" hidden="1" x14ac:dyDescent="0.25"/>
    <row r="22756" hidden="1" x14ac:dyDescent="0.25"/>
    <row r="22757" hidden="1" x14ac:dyDescent="0.25"/>
    <row r="22758" hidden="1" x14ac:dyDescent="0.25"/>
    <row r="22759" hidden="1" x14ac:dyDescent="0.25"/>
    <row r="22760" hidden="1" x14ac:dyDescent="0.25"/>
    <row r="22761" hidden="1" x14ac:dyDescent="0.25"/>
    <row r="22762" hidden="1" x14ac:dyDescent="0.25"/>
    <row r="22763" hidden="1" x14ac:dyDescent="0.25"/>
    <row r="22764" hidden="1" x14ac:dyDescent="0.25"/>
    <row r="22765" hidden="1" x14ac:dyDescent="0.25"/>
    <row r="22766" hidden="1" x14ac:dyDescent="0.25"/>
    <row r="22767" hidden="1" x14ac:dyDescent="0.25"/>
    <row r="22768" hidden="1" x14ac:dyDescent="0.25"/>
    <row r="22769" hidden="1" x14ac:dyDescent="0.25"/>
    <row r="22770" hidden="1" x14ac:dyDescent="0.25"/>
    <row r="22771" hidden="1" x14ac:dyDescent="0.25"/>
    <row r="22772" hidden="1" x14ac:dyDescent="0.25"/>
    <row r="22773" hidden="1" x14ac:dyDescent="0.25"/>
    <row r="22774" hidden="1" x14ac:dyDescent="0.25"/>
    <row r="22775" hidden="1" x14ac:dyDescent="0.25"/>
    <row r="22776" hidden="1" x14ac:dyDescent="0.25"/>
    <row r="22777" hidden="1" x14ac:dyDescent="0.25"/>
    <row r="22778" hidden="1" x14ac:dyDescent="0.25"/>
    <row r="22779" hidden="1" x14ac:dyDescent="0.25"/>
    <row r="22780" hidden="1" x14ac:dyDescent="0.25"/>
    <row r="22781" hidden="1" x14ac:dyDescent="0.25"/>
    <row r="22782" hidden="1" x14ac:dyDescent="0.25"/>
    <row r="22783" hidden="1" x14ac:dyDescent="0.25"/>
    <row r="22784" hidden="1" x14ac:dyDescent="0.25"/>
    <row r="22785" hidden="1" x14ac:dyDescent="0.25"/>
    <row r="22786" hidden="1" x14ac:dyDescent="0.25"/>
    <row r="22787" hidden="1" x14ac:dyDescent="0.25"/>
    <row r="22788" hidden="1" x14ac:dyDescent="0.25"/>
    <row r="22789" hidden="1" x14ac:dyDescent="0.25"/>
    <row r="22790" hidden="1" x14ac:dyDescent="0.25"/>
    <row r="22791" hidden="1" x14ac:dyDescent="0.25"/>
    <row r="22792" hidden="1" x14ac:dyDescent="0.25"/>
    <row r="22793" hidden="1" x14ac:dyDescent="0.25"/>
    <row r="22794" hidden="1" x14ac:dyDescent="0.25"/>
    <row r="22795" hidden="1" x14ac:dyDescent="0.25"/>
    <row r="22796" hidden="1" x14ac:dyDescent="0.25"/>
    <row r="22797" hidden="1" x14ac:dyDescent="0.25"/>
    <row r="22798" hidden="1" x14ac:dyDescent="0.25"/>
    <row r="22799" hidden="1" x14ac:dyDescent="0.25"/>
    <row r="22800" hidden="1" x14ac:dyDescent="0.25"/>
    <row r="22801" hidden="1" x14ac:dyDescent="0.25"/>
    <row r="22802" hidden="1" x14ac:dyDescent="0.25"/>
    <row r="22803" hidden="1" x14ac:dyDescent="0.25"/>
    <row r="22804" hidden="1" x14ac:dyDescent="0.25"/>
    <row r="22805" hidden="1" x14ac:dyDescent="0.25"/>
    <row r="22806" hidden="1" x14ac:dyDescent="0.25"/>
    <row r="22807" hidden="1" x14ac:dyDescent="0.25"/>
    <row r="22808" hidden="1" x14ac:dyDescent="0.25"/>
    <row r="22809" hidden="1" x14ac:dyDescent="0.25"/>
    <row r="22810" hidden="1" x14ac:dyDescent="0.25"/>
    <row r="22811" hidden="1" x14ac:dyDescent="0.25"/>
    <row r="22812" hidden="1" x14ac:dyDescent="0.25"/>
    <row r="22813" hidden="1" x14ac:dyDescent="0.25"/>
    <row r="22814" hidden="1" x14ac:dyDescent="0.25"/>
    <row r="22815" hidden="1" x14ac:dyDescent="0.25"/>
    <row r="22816" hidden="1" x14ac:dyDescent="0.25"/>
    <row r="22817" hidden="1" x14ac:dyDescent="0.25"/>
    <row r="22818" hidden="1" x14ac:dyDescent="0.25"/>
    <row r="22819" hidden="1" x14ac:dyDescent="0.25"/>
    <row r="22820" hidden="1" x14ac:dyDescent="0.25"/>
    <row r="22821" hidden="1" x14ac:dyDescent="0.25"/>
    <row r="22822" hidden="1" x14ac:dyDescent="0.25"/>
    <row r="22823" hidden="1" x14ac:dyDescent="0.25"/>
    <row r="22824" hidden="1" x14ac:dyDescent="0.25"/>
    <row r="22825" hidden="1" x14ac:dyDescent="0.25"/>
    <row r="22826" hidden="1" x14ac:dyDescent="0.25"/>
    <row r="22827" hidden="1" x14ac:dyDescent="0.25"/>
    <row r="22828" hidden="1" x14ac:dyDescent="0.25"/>
    <row r="22829" hidden="1" x14ac:dyDescent="0.25"/>
    <row r="22830" hidden="1" x14ac:dyDescent="0.25"/>
    <row r="22831" hidden="1" x14ac:dyDescent="0.25"/>
    <row r="22832" hidden="1" x14ac:dyDescent="0.25"/>
    <row r="22833" hidden="1" x14ac:dyDescent="0.25"/>
    <row r="22834" hidden="1" x14ac:dyDescent="0.25"/>
    <row r="22835" hidden="1" x14ac:dyDescent="0.25"/>
    <row r="22836" hidden="1" x14ac:dyDescent="0.25"/>
    <row r="22837" hidden="1" x14ac:dyDescent="0.25"/>
    <row r="22838" hidden="1" x14ac:dyDescent="0.25"/>
    <row r="22839" hidden="1" x14ac:dyDescent="0.25"/>
    <row r="22840" hidden="1" x14ac:dyDescent="0.25"/>
    <row r="22841" hidden="1" x14ac:dyDescent="0.25"/>
    <row r="22842" hidden="1" x14ac:dyDescent="0.25"/>
    <row r="22843" hidden="1" x14ac:dyDescent="0.25"/>
    <row r="22844" hidden="1" x14ac:dyDescent="0.25"/>
    <row r="22845" hidden="1" x14ac:dyDescent="0.25"/>
    <row r="22846" hidden="1" x14ac:dyDescent="0.25"/>
    <row r="22847" hidden="1" x14ac:dyDescent="0.25"/>
    <row r="22848" hidden="1" x14ac:dyDescent="0.25"/>
    <row r="22849" hidden="1" x14ac:dyDescent="0.25"/>
    <row r="22850" hidden="1" x14ac:dyDescent="0.25"/>
    <row r="22851" hidden="1" x14ac:dyDescent="0.25"/>
    <row r="22852" hidden="1" x14ac:dyDescent="0.25"/>
    <row r="22853" hidden="1" x14ac:dyDescent="0.25"/>
    <row r="22854" hidden="1" x14ac:dyDescent="0.25"/>
    <row r="22855" hidden="1" x14ac:dyDescent="0.25"/>
    <row r="22856" hidden="1" x14ac:dyDescent="0.25"/>
    <row r="22857" hidden="1" x14ac:dyDescent="0.25"/>
    <row r="22858" hidden="1" x14ac:dyDescent="0.25"/>
    <row r="22859" hidden="1" x14ac:dyDescent="0.25"/>
    <row r="22860" hidden="1" x14ac:dyDescent="0.25"/>
    <row r="22861" hidden="1" x14ac:dyDescent="0.25"/>
    <row r="22862" hidden="1" x14ac:dyDescent="0.25"/>
    <row r="22863" hidden="1" x14ac:dyDescent="0.25"/>
    <row r="22864" hidden="1" x14ac:dyDescent="0.25"/>
    <row r="22865" hidden="1" x14ac:dyDescent="0.25"/>
    <row r="22866" hidden="1" x14ac:dyDescent="0.25"/>
    <row r="22867" hidden="1" x14ac:dyDescent="0.25"/>
    <row r="22868" hidden="1" x14ac:dyDescent="0.25"/>
    <row r="22869" hidden="1" x14ac:dyDescent="0.25"/>
    <row r="22870" hidden="1" x14ac:dyDescent="0.25"/>
    <row r="22871" hidden="1" x14ac:dyDescent="0.25"/>
    <row r="22872" hidden="1" x14ac:dyDescent="0.25"/>
    <row r="22873" hidden="1" x14ac:dyDescent="0.25"/>
    <row r="22874" hidden="1" x14ac:dyDescent="0.25"/>
    <row r="22875" hidden="1" x14ac:dyDescent="0.25"/>
    <row r="22876" hidden="1" x14ac:dyDescent="0.25"/>
    <row r="22877" hidden="1" x14ac:dyDescent="0.25"/>
    <row r="22878" hidden="1" x14ac:dyDescent="0.25"/>
    <row r="22879" hidden="1" x14ac:dyDescent="0.25"/>
    <row r="22880" hidden="1" x14ac:dyDescent="0.25"/>
    <row r="22881" hidden="1" x14ac:dyDescent="0.25"/>
    <row r="22882" hidden="1" x14ac:dyDescent="0.25"/>
    <row r="22883" hidden="1" x14ac:dyDescent="0.25"/>
    <row r="22884" hidden="1" x14ac:dyDescent="0.25"/>
    <row r="22885" hidden="1" x14ac:dyDescent="0.25"/>
    <row r="22886" hidden="1" x14ac:dyDescent="0.25"/>
    <row r="22887" hidden="1" x14ac:dyDescent="0.25"/>
    <row r="22888" hidden="1" x14ac:dyDescent="0.25"/>
    <row r="22889" hidden="1" x14ac:dyDescent="0.25"/>
    <row r="22890" hidden="1" x14ac:dyDescent="0.25"/>
    <row r="22891" hidden="1" x14ac:dyDescent="0.25"/>
    <row r="22892" hidden="1" x14ac:dyDescent="0.25"/>
    <row r="22893" hidden="1" x14ac:dyDescent="0.25"/>
    <row r="22894" hidden="1" x14ac:dyDescent="0.25"/>
    <row r="22895" hidden="1" x14ac:dyDescent="0.25"/>
    <row r="22896" hidden="1" x14ac:dyDescent="0.25"/>
    <row r="22897" hidden="1" x14ac:dyDescent="0.25"/>
    <row r="22898" hidden="1" x14ac:dyDescent="0.25"/>
    <row r="22899" hidden="1" x14ac:dyDescent="0.25"/>
    <row r="22900" hidden="1" x14ac:dyDescent="0.25"/>
    <row r="22901" hidden="1" x14ac:dyDescent="0.25"/>
    <row r="22902" hidden="1" x14ac:dyDescent="0.25"/>
    <row r="22903" hidden="1" x14ac:dyDescent="0.25"/>
    <row r="22904" hidden="1" x14ac:dyDescent="0.25"/>
    <row r="22905" hidden="1" x14ac:dyDescent="0.25"/>
    <row r="22906" hidden="1" x14ac:dyDescent="0.25"/>
    <row r="22907" hidden="1" x14ac:dyDescent="0.25"/>
    <row r="22908" hidden="1" x14ac:dyDescent="0.25"/>
    <row r="22909" hidden="1" x14ac:dyDescent="0.25"/>
    <row r="22910" hidden="1" x14ac:dyDescent="0.25"/>
    <row r="22911" hidden="1" x14ac:dyDescent="0.25"/>
    <row r="22912" hidden="1" x14ac:dyDescent="0.25"/>
    <row r="22913" hidden="1" x14ac:dyDescent="0.25"/>
    <row r="22914" hidden="1" x14ac:dyDescent="0.25"/>
    <row r="22915" hidden="1" x14ac:dyDescent="0.25"/>
    <row r="22916" hidden="1" x14ac:dyDescent="0.25"/>
    <row r="22917" hidden="1" x14ac:dyDescent="0.25"/>
    <row r="22918" hidden="1" x14ac:dyDescent="0.25"/>
    <row r="22919" hidden="1" x14ac:dyDescent="0.25"/>
    <row r="22920" hidden="1" x14ac:dyDescent="0.25"/>
    <row r="22921" hidden="1" x14ac:dyDescent="0.25"/>
    <row r="22922" hidden="1" x14ac:dyDescent="0.25"/>
    <row r="22923" hidden="1" x14ac:dyDescent="0.25"/>
    <row r="22924" hidden="1" x14ac:dyDescent="0.25"/>
    <row r="22925" hidden="1" x14ac:dyDescent="0.25"/>
    <row r="22926" hidden="1" x14ac:dyDescent="0.25"/>
    <row r="22927" hidden="1" x14ac:dyDescent="0.25"/>
    <row r="22928" hidden="1" x14ac:dyDescent="0.25"/>
    <row r="22929" hidden="1" x14ac:dyDescent="0.25"/>
    <row r="22930" hidden="1" x14ac:dyDescent="0.25"/>
    <row r="22931" hidden="1" x14ac:dyDescent="0.25"/>
    <row r="22932" hidden="1" x14ac:dyDescent="0.25"/>
    <row r="22933" hidden="1" x14ac:dyDescent="0.25"/>
    <row r="22934" hidden="1" x14ac:dyDescent="0.25"/>
    <row r="22935" hidden="1" x14ac:dyDescent="0.25"/>
    <row r="22936" hidden="1" x14ac:dyDescent="0.25"/>
    <row r="22937" hidden="1" x14ac:dyDescent="0.25"/>
    <row r="22938" hidden="1" x14ac:dyDescent="0.25"/>
    <row r="22939" hidden="1" x14ac:dyDescent="0.25"/>
    <row r="22940" hidden="1" x14ac:dyDescent="0.25"/>
    <row r="22941" hidden="1" x14ac:dyDescent="0.25"/>
    <row r="22942" hidden="1" x14ac:dyDescent="0.25"/>
    <row r="22943" hidden="1" x14ac:dyDescent="0.25"/>
    <row r="22944" hidden="1" x14ac:dyDescent="0.25"/>
    <row r="22945" hidden="1" x14ac:dyDescent="0.25"/>
    <row r="22946" hidden="1" x14ac:dyDescent="0.25"/>
    <row r="22947" hidden="1" x14ac:dyDescent="0.25"/>
    <row r="22948" hidden="1" x14ac:dyDescent="0.25"/>
    <row r="22949" hidden="1" x14ac:dyDescent="0.25"/>
    <row r="22950" hidden="1" x14ac:dyDescent="0.25"/>
    <row r="22951" hidden="1" x14ac:dyDescent="0.25"/>
    <row r="22952" hidden="1" x14ac:dyDescent="0.25"/>
    <row r="22953" hidden="1" x14ac:dyDescent="0.25"/>
    <row r="22954" hidden="1" x14ac:dyDescent="0.25"/>
    <row r="22955" hidden="1" x14ac:dyDescent="0.25"/>
    <row r="22956" hidden="1" x14ac:dyDescent="0.25"/>
    <row r="22957" hidden="1" x14ac:dyDescent="0.25"/>
    <row r="22958" hidden="1" x14ac:dyDescent="0.25"/>
    <row r="22959" hidden="1" x14ac:dyDescent="0.25"/>
    <row r="22960" hidden="1" x14ac:dyDescent="0.25"/>
    <row r="22961" hidden="1" x14ac:dyDescent="0.25"/>
    <row r="22962" hidden="1" x14ac:dyDescent="0.25"/>
    <row r="22963" hidden="1" x14ac:dyDescent="0.25"/>
    <row r="22964" hidden="1" x14ac:dyDescent="0.25"/>
    <row r="22965" hidden="1" x14ac:dyDescent="0.25"/>
    <row r="22966" hidden="1" x14ac:dyDescent="0.25"/>
    <row r="22967" hidden="1" x14ac:dyDescent="0.25"/>
    <row r="22968" hidden="1" x14ac:dyDescent="0.25"/>
    <row r="22969" hidden="1" x14ac:dyDescent="0.25"/>
    <row r="22970" hidden="1" x14ac:dyDescent="0.25"/>
    <row r="22971" hidden="1" x14ac:dyDescent="0.25"/>
    <row r="22972" hidden="1" x14ac:dyDescent="0.25"/>
    <row r="22973" hidden="1" x14ac:dyDescent="0.25"/>
    <row r="22974" hidden="1" x14ac:dyDescent="0.25"/>
    <row r="22975" hidden="1" x14ac:dyDescent="0.25"/>
    <row r="22976" hidden="1" x14ac:dyDescent="0.25"/>
    <row r="22977" hidden="1" x14ac:dyDescent="0.25"/>
    <row r="22978" hidden="1" x14ac:dyDescent="0.25"/>
    <row r="22979" hidden="1" x14ac:dyDescent="0.25"/>
    <row r="22980" hidden="1" x14ac:dyDescent="0.25"/>
    <row r="22981" hidden="1" x14ac:dyDescent="0.25"/>
    <row r="22982" hidden="1" x14ac:dyDescent="0.25"/>
    <row r="22983" hidden="1" x14ac:dyDescent="0.25"/>
    <row r="22984" hidden="1" x14ac:dyDescent="0.25"/>
    <row r="22985" hidden="1" x14ac:dyDescent="0.25"/>
    <row r="22986" hidden="1" x14ac:dyDescent="0.25"/>
    <row r="22987" hidden="1" x14ac:dyDescent="0.25"/>
    <row r="22988" hidden="1" x14ac:dyDescent="0.25"/>
    <row r="22989" hidden="1" x14ac:dyDescent="0.25"/>
    <row r="22990" hidden="1" x14ac:dyDescent="0.25"/>
    <row r="22991" hidden="1" x14ac:dyDescent="0.25"/>
    <row r="22992" hidden="1" x14ac:dyDescent="0.25"/>
    <row r="22993" hidden="1" x14ac:dyDescent="0.25"/>
    <row r="22994" hidden="1" x14ac:dyDescent="0.25"/>
    <row r="22995" hidden="1" x14ac:dyDescent="0.25"/>
    <row r="22996" hidden="1" x14ac:dyDescent="0.25"/>
    <row r="22997" hidden="1" x14ac:dyDescent="0.25"/>
    <row r="22998" hidden="1" x14ac:dyDescent="0.25"/>
    <row r="22999" hidden="1" x14ac:dyDescent="0.25"/>
    <row r="23000" hidden="1" x14ac:dyDescent="0.25"/>
    <row r="23001" hidden="1" x14ac:dyDescent="0.25"/>
    <row r="23002" hidden="1" x14ac:dyDescent="0.25"/>
    <row r="23003" hidden="1" x14ac:dyDescent="0.25"/>
    <row r="23004" hidden="1" x14ac:dyDescent="0.25"/>
    <row r="23005" hidden="1" x14ac:dyDescent="0.25"/>
    <row r="23006" hidden="1" x14ac:dyDescent="0.25"/>
    <row r="23007" hidden="1" x14ac:dyDescent="0.25"/>
    <row r="23008" hidden="1" x14ac:dyDescent="0.25"/>
    <row r="23009" hidden="1" x14ac:dyDescent="0.25"/>
    <row r="23010" hidden="1" x14ac:dyDescent="0.25"/>
    <row r="23011" hidden="1" x14ac:dyDescent="0.25"/>
    <row r="23012" hidden="1" x14ac:dyDescent="0.25"/>
    <row r="23013" hidden="1" x14ac:dyDescent="0.25"/>
    <row r="23014" hidden="1" x14ac:dyDescent="0.25"/>
    <row r="23015" hidden="1" x14ac:dyDescent="0.25"/>
    <row r="23016" hidden="1" x14ac:dyDescent="0.25"/>
    <row r="23017" hidden="1" x14ac:dyDescent="0.25"/>
    <row r="23018" hidden="1" x14ac:dyDescent="0.25"/>
    <row r="23019" hidden="1" x14ac:dyDescent="0.25"/>
    <row r="23020" hidden="1" x14ac:dyDescent="0.25"/>
    <row r="23021" hidden="1" x14ac:dyDescent="0.25"/>
    <row r="23022" hidden="1" x14ac:dyDescent="0.25"/>
    <row r="23023" hidden="1" x14ac:dyDescent="0.25"/>
    <row r="23024" hidden="1" x14ac:dyDescent="0.25"/>
    <row r="23025" hidden="1" x14ac:dyDescent="0.25"/>
    <row r="23026" hidden="1" x14ac:dyDescent="0.25"/>
    <row r="23027" hidden="1" x14ac:dyDescent="0.25"/>
    <row r="23028" hidden="1" x14ac:dyDescent="0.25"/>
    <row r="23029" hidden="1" x14ac:dyDescent="0.25"/>
    <row r="23030" hidden="1" x14ac:dyDescent="0.25"/>
    <row r="23031" hidden="1" x14ac:dyDescent="0.25"/>
    <row r="23032" hidden="1" x14ac:dyDescent="0.25"/>
    <row r="23033" hidden="1" x14ac:dyDescent="0.25"/>
    <row r="23034" hidden="1" x14ac:dyDescent="0.25"/>
    <row r="23035" hidden="1" x14ac:dyDescent="0.25"/>
    <row r="23036" hidden="1" x14ac:dyDescent="0.25"/>
    <row r="23037" hidden="1" x14ac:dyDescent="0.25"/>
    <row r="23038" hidden="1" x14ac:dyDescent="0.25"/>
    <row r="23039" hidden="1" x14ac:dyDescent="0.25"/>
    <row r="23040" hidden="1" x14ac:dyDescent="0.25"/>
    <row r="23041" hidden="1" x14ac:dyDescent="0.25"/>
    <row r="23042" hidden="1" x14ac:dyDescent="0.25"/>
    <row r="23043" hidden="1" x14ac:dyDescent="0.25"/>
    <row r="23044" hidden="1" x14ac:dyDescent="0.25"/>
    <row r="23045" hidden="1" x14ac:dyDescent="0.25"/>
    <row r="23046" hidden="1" x14ac:dyDescent="0.25"/>
    <row r="23047" hidden="1" x14ac:dyDescent="0.25"/>
    <row r="23048" hidden="1" x14ac:dyDescent="0.25"/>
    <row r="23049" hidden="1" x14ac:dyDescent="0.25"/>
    <row r="23050" hidden="1" x14ac:dyDescent="0.25"/>
    <row r="23051" hidden="1" x14ac:dyDescent="0.25"/>
    <row r="23052" hidden="1" x14ac:dyDescent="0.25"/>
    <row r="23053" hidden="1" x14ac:dyDescent="0.25"/>
    <row r="23054" hidden="1" x14ac:dyDescent="0.25"/>
    <row r="23055" hidden="1" x14ac:dyDescent="0.25"/>
    <row r="23056" hidden="1" x14ac:dyDescent="0.25"/>
    <row r="23057" hidden="1" x14ac:dyDescent="0.25"/>
    <row r="23058" hidden="1" x14ac:dyDescent="0.25"/>
    <row r="23059" hidden="1" x14ac:dyDescent="0.25"/>
    <row r="23060" hidden="1" x14ac:dyDescent="0.25"/>
    <row r="23061" hidden="1" x14ac:dyDescent="0.25"/>
    <row r="23062" hidden="1" x14ac:dyDescent="0.25"/>
    <row r="23063" hidden="1" x14ac:dyDescent="0.25"/>
    <row r="23064" hidden="1" x14ac:dyDescent="0.25"/>
    <row r="23065" hidden="1" x14ac:dyDescent="0.25"/>
    <row r="23066" hidden="1" x14ac:dyDescent="0.25"/>
    <row r="23067" hidden="1" x14ac:dyDescent="0.25"/>
    <row r="23068" hidden="1" x14ac:dyDescent="0.25"/>
    <row r="23069" hidden="1" x14ac:dyDescent="0.25"/>
    <row r="23070" hidden="1" x14ac:dyDescent="0.25"/>
    <row r="23071" hidden="1" x14ac:dyDescent="0.25"/>
    <row r="23072" hidden="1" x14ac:dyDescent="0.25"/>
    <row r="23073" hidden="1" x14ac:dyDescent="0.25"/>
    <row r="23074" hidden="1" x14ac:dyDescent="0.25"/>
    <row r="23075" hidden="1" x14ac:dyDescent="0.25"/>
    <row r="23076" hidden="1" x14ac:dyDescent="0.25"/>
    <row r="23077" hidden="1" x14ac:dyDescent="0.25"/>
    <row r="23078" hidden="1" x14ac:dyDescent="0.25"/>
    <row r="23079" hidden="1" x14ac:dyDescent="0.25"/>
    <row r="23080" hidden="1" x14ac:dyDescent="0.25"/>
    <row r="23081" hidden="1" x14ac:dyDescent="0.25"/>
    <row r="23082" hidden="1" x14ac:dyDescent="0.25"/>
    <row r="23083" hidden="1" x14ac:dyDescent="0.25"/>
    <row r="23084" hidden="1" x14ac:dyDescent="0.25"/>
    <row r="23085" hidden="1" x14ac:dyDescent="0.25"/>
    <row r="23086" hidden="1" x14ac:dyDescent="0.25"/>
    <row r="23087" hidden="1" x14ac:dyDescent="0.25"/>
    <row r="23088" hidden="1" x14ac:dyDescent="0.25"/>
    <row r="23089" hidden="1" x14ac:dyDescent="0.25"/>
    <row r="23090" hidden="1" x14ac:dyDescent="0.25"/>
    <row r="23091" hidden="1" x14ac:dyDescent="0.25"/>
    <row r="23092" hidden="1" x14ac:dyDescent="0.25"/>
    <row r="23093" hidden="1" x14ac:dyDescent="0.25"/>
    <row r="23094" hidden="1" x14ac:dyDescent="0.25"/>
    <row r="23095" hidden="1" x14ac:dyDescent="0.25"/>
    <row r="23096" hidden="1" x14ac:dyDescent="0.25"/>
    <row r="23097" hidden="1" x14ac:dyDescent="0.25"/>
    <row r="23098" hidden="1" x14ac:dyDescent="0.25"/>
    <row r="23099" hidden="1" x14ac:dyDescent="0.25"/>
    <row r="23100" hidden="1" x14ac:dyDescent="0.25"/>
    <row r="23101" hidden="1" x14ac:dyDescent="0.25"/>
    <row r="23102" hidden="1" x14ac:dyDescent="0.25"/>
    <row r="23103" hidden="1" x14ac:dyDescent="0.25"/>
    <row r="23104" hidden="1" x14ac:dyDescent="0.25"/>
    <row r="23105" hidden="1" x14ac:dyDescent="0.25"/>
    <row r="23106" hidden="1" x14ac:dyDescent="0.25"/>
    <row r="23107" hidden="1" x14ac:dyDescent="0.25"/>
    <row r="23108" hidden="1" x14ac:dyDescent="0.25"/>
    <row r="23109" hidden="1" x14ac:dyDescent="0.25"/>
    <row r="23110" hidden="1" x14ac:dyDescent="0.25"/>
    <row r="23111" hidden="1" x14ac:dyDescent="0.25"/>
    <row r="23112" hidden="1" x14ac:dyDescent="0.25"/>
    <row r="23113" hidden="1" x14ac:dyDescent="0.25"/>
    <row r="23114" hidden="1" x14ac:dyDescent="0.25"/>
    <row r="23115" hidden="1" x14ac:dyDescent="0.25"/>
    <row r="23116" hidden="1" x14ac:dyDescent="0.25"/>
    <row r="23117" hidden="1" x14ac:dyDescent="0.25"/>
    <row r="23118" hidden="1" x14ac:dyDescent="0.25"/>
    <row r="23119" hidden="1" x14ac:dyDescent="0.25"/>
    <row r="23120" hidden="1" x14ac:dyDescent="0.25"/>
    <row r="23121" hidden="1" x14ac:dyDescent="0.25"/>
    <row r="23122" hidden="1" x14ac:dyDescent="0.25"/>
    <row r="23123" hidden="1" x14ac:dyDescent="0.25"/>
    <row r="23124" hidden="1" x14ac:dyDescent="0.25"/>
    <row r="23125" hidden="1" x14ac:dyDescent="0.25"/>
    <row r="23126" hidden="1" x14ac:dyDescent="0.25"/>
    <row r="23127" hidden="1" x14ac:dyDescent="0.25"/>
    <row r="23128" hidden="1" x14ac:dyDescent="0.25"/>
    <row r="23129" hidden="1" x14ac:dyDescent="0.25"/>
    <row r="23130" hidden="1" x14ac:dyDescent="0.25"/>
    <row r="23131" hidden="1" x14ac:dyDescent="0.25"/>
    <row r="23132" hidden="1" x14ac:dyDescent="0.25"/>
    <row r="23133" hidden="1" x14ac:dyDescent="0.25"/>
    <row r="23134" hidden="1" x14ac:dyDescent="0.25"/>
    <row r="23135" hidden="1" x14ac:dyDescent="0.25"/>
    <row r="23136" hidden="1" x14ac:dyDescent="0.25"/>
    <row r="23137" hidden="1" x14ac:dyDescent="0.25"/>
    <row r="23138" hidden="1" x14ac:dyDescent="0.25"/>
    <row r="23139" hidden="1" x14ac:dyDescent="0.25"/>
    <row r="23140" hidden="1" x14ac:dyDescent="0.25"/>
    <row r="23141" hidden="1" x14ac:dyDescent="0.25"/>
    <row r="23142" hidden="1" x14ac:dyDescent="0.25"/>
    <row r="23143" hidden="1" x14ac:dyDescent="0.25"/>
    <row r="23144" hidden="1" x14ac:dyDescent="0.25"/>
    <row r="23145" hidden="1" x14ac:dyDescent="0.25"/>
    <row r="23146" hidden="1" x14ac:dyDescent="0.25"/>
    <row r="23147" hidden="1" x14ac:dyDescent="0.25"/>
    <row r="23148" hidden="1" x14ac:dyDescent="0.25"/>
    <row r="23149" hidden="1" x14ac:dyDescent="0.25"/>
    <row r="23150" hidden="1" x14ac:dyDescent="0.25"/>
    <row r="23151" hidden="1" x14ac:dyDescent="0.25"/>
    <row r="23152" hidden="1" x14ac:dyDescent="0.25"/>
    <row r="23153" hidden="1" x14ac:dyDescent="0.25"/>
    <row r="23154" hidden="1" x14ac:dyDescent="0.25"/>
    <row r="23155" hidden="1" x14ac:dyDescent="0.25"/>
    <row r="23156" hidden="1" x14ac:dyDescent="0.25"/>
    <row r="23157" hidden="1" x14ac:dyDescent="0.25"/>
    <row r="23158" hidden="1" x14ac:dyDescent="0.25"/>
    <row r="23159" hidden="1" x14ac:dyDescent="0.25"/>
    <row r="23160" hidden="1" x14ac:dyDescent="0.25"/>
    <row r="23161" hidden="1" x14ac:dyDescent="0.25"/>
    <row r="23162" hidden="1" x14ac:dyDescent="0.25"/>
    <row r="23163" hidden="1" x14ac:dyDescent="0.25"/>
    <row r="23164" hidden="1" x14ac:dyDescent="0.25"/>
    <row r="23165" hidden="1" x14ac:dyDescent="0.25"/>
    <row r="23166" hidden="1" x14ac:dyDescent="0.25"/>
    <row r="23167" hidden="1" x14ac:dyDescent="0.25"/>
    <row r="23168" hidden="1" x14ac:dyDescent="0.25"/>
    <row r="23169" hidden="1" x14ac:dyDescent="0.25"/>
    <row r="23170" hidden="1" x14ac:dyDescent="0.25"/>
    <row r="23171" hidden="1" x14ac:dyDescent="0.25"/>
    <row r="23172" hidden="1" x14ac:dyDescent="0.25"/>
    <row r="23173" hidden="1" x14ac:dyDescent="0.25"/>
    <row r="23174" hidden="1" x14ac:dyDescent="0.25"/>
    <row r="23175" hidden="1" x14ac:dyDescent="0.25"/>
    <row r="23176" hidden="1" x14ac:dyDescent="0.25"/>
    <row r="23177" hidden="1" x14ac:dyDescent="0.25"/>
    <row r="23178" hidden="1" x14ac:dyDescent="0.25"/>
    <row r="23179" hidden="1" x14ac:dyDescent="0.25"/>
    <row r="23180" hidden="1" x14ac:dyDescent="0.25"/>
    <row r="23181" hidden="1" x14ac:dyDescent="0.25"/>
    <row r="23182" hidden="1" x14ac:dyDescent="0.25"/>
    <row r="23183" hidden="1" x14ac:dyDescent="0.25"/>
    <row r="23184" hidden="1" x14ac:dyDescent="0.25"/>
    <row r="23185" hidden="1" x14ac:dyDescent="0.25"/>
    <row r="23186" hidden="1" x14ac:dyDescent="0.25"/>
    <row r="23187" hidden="1" x14ac:dyDescent="0.25"/>
    <row r="23188" hidden="1" x14ac:dyDescent="0.25"/>
    <row r="23189" hidden="1" x14ac:dyDescent="0.25"/>
    <row r="23190" hidden="1" x14ac:dyDescent="0.25"/>
    <row r="23191" hidden="1" x14ac:dyDescent="0.25"/>
    <row r="23192" hidden="1" x14ac:dyDescent="0.25"/>
    <row r="23193" hidden="1" x14ac:dyDescent="0.25"/>
    <row r="23194" hidden="1" x14ac:dyDescent="0.25"/>
    <row r="23195" hidden="1" x14ac:dyDescent="0.25"/>
    <row r="23196" hidden="1" x14ac:dyDescent="0.25"/>
    <row r="23197" hidden="1" x14ac:dyDescent="0.25"/>
    <row r="23198" hidden="1" x14ac:dyDescent="0.25"/>
    <row r="23199" hidden="1" x14ac:dyDescent="0.25"/>
    <row r="23200" hidden="1" x14ac:dyDescent="0.25"/>
    <row r="23201" hidden="1" x14ac:dyDescent="0.25"/>
    <row r="23202" hidden="1" x14ac:dyDescent="0.25"/>
    <row r="23203" hidden="1" x14ac:dyDescent="0.25"/>
    <row r="23204" hidden="1" x14ac:dyDescent="0.25"/>
    <row r="23205" hidden="1" x14ac:dyDescent="0.25"/>
    <row r="23206" hidden="1" x14ac:dyDescent="0.25"/>
    <row r="23207" hidden="1" x14ac:dyDescent="0.25"/>
    <row r="23208" hidden="1" x14ac:dyDescent="0.25"/>
    <row r="23209" hidden="1" x14ac:dyDescent="0.25"/>
    <row r="23210" hidden="1" x14ac:dyDescent="0.25"/>
    <row r="23211" hidden="1" x14ac:dyDescent="0.25"/>
    <row r="23212" hidden="1" x14ac:dyDescent="0.25"/>
    <row r="23213" hidden="1" x14ac:dyDescent="0.25"/>
    <row r="23214" hidden="1" x14ac:dyDescent="0.25"/>
    <row r="23215" hidden="1" x14ac:dyDescent="0.25"/>
    <row r="23216" hidden="1" x14ac:dyDescent="0.25"/>
    <row r="23217" hidden="1" x14ac:dyDescent="0.25"/>
    <row r="23218" hidden="1" x14ac:dyDescent="0.25"/>
    <row r="23219" hidden="1" x14ac:dyDescent="0.25"/>
    <row r="23220" hidden="1" x14ac:dyDescent="0.25"/>
    <row r="23221" hidden="1" x14ac:dyDescent="0.25"/>
    <row r="23222" hidden="1" x14ac:dyDescent="0.25"/>
    <row r="23223" hidden="1" x14ac:dyDescent="0.25"/>
    <row r="23224" hidden="1" x14ac:dyDescent="0.25"/>
    <row r="23225" hidden="1" x14ac:dyDescent="0.25"/>
    <row r="23226" hidden="1" x14ac:dyDescent="0.25"/>
    <row r="23227" hidden="1" x14ac:dyDescent="0.25"/>
    <row r="23228" hidden="1" x14ac:dyDescent="0.25"/>
    <row r="23229" hidden="1" x14ac:dyDescent="0.25"/>
    <row r="23230" hidden="1" x14ac:dyDescent="0.25"/>
    <row r="23231" hidden="1" x14ac:dyDescent="0.25"/>
    <row r="23232" hidden="1" x14ac:dyDescent="0.25"/>
    <row r="23233" hidden="1" x14ac:dyDescent="0.25"/>
    <row r="23234" hidden="1" x14ac:dyDescent="0.25"/>
    <row r="23235" hidden="1" x14ac:dyDescent="0.25"/>
    <row r="23236" hidden="1" x14ac:dyDescent="0.25"/>
    <row r="23237" hidden="1" x14ac:dyDescent="0.25"/>
    <row r="23238" hidden="1" x14ac:dyDescent="0.25"/>
    <row r="23239" hidden="1" x14ac:dyDescent="0.25"/>
    <row r="23240" hidden="1" x14ac:dyDescent="0.25"/>
    <row r="23241" hidden="1" x14ac:dyDescent="0.25"/>
    <row r="23242" hidden="1" x14ac:dyDescent="0.25"/>
    <row r="23243" hidden="1" x14ac:dyDescent="0.25"/>
    <row r="23244" hidden="1" x14ac:dyDescent="0.25"/>
    <row r="23245" hidden="1" x14ac:dyDescent="0.25"/>
    <row r="23246" hidden="1" x14ac:dyDescent="0.25"/>
    <row r="23247" hidden="1" x14ac:dyDescent="0.25"/>
    <row r="23248" hidden="1" x14ac:dyDescent="0.25"/>
    <row r="23249" hidden="1" x14ac:dyDescent="0.25"/>
    <row r="23250" hidden="1" x14ac:dyDescent="0.25"/>
    <row r="23251" hidden="1" x14ac:dyDescent="0.25"/>
    <row r="23252" hidden="1" x14ac:dyDescent="0.25"/>
    <row r="23253" hidden="1" x14ac:dyDescent="0.25"/>
    <row r="23254" hidden="1" x14ac:dyDescent="0.25"/>
    <row r="23255" hidden="1" x14ac:dyDescent="0.25"/>
    <row r="23256" hidden="1" x14ac:dyDescent="0.25"/>
    <row r="23257" hidden="1" x14ac:dyDescent="0.25"/>
    <row r="23258" hidden="1" x14ac:dyDescent="0.25"/>
    <row r="23259" hidden="1" x14ac:dyDescent="0.25"/>
    <row r="23260" hidden="1" x14ac:dyDescent="0.25"/>
    <row r="23261" hidden="1" x14ac:dyDescent="0.25"/>
    <row r="23262" hidden="1" x14ac:dyDescent="0.25"/>
    <row r="23263" hidden="1" x14ac:dyDescent="0.25"/>
    <row r="23264" hidden="1" x14ac:dyDescent="0.25"/>
    <row r="23265" hidden="1" x14ac:dyDescent="0.25"/>
    <row r="23266" hidden="1" x14ac:dyDescent="0.25"/>
    <row r="23267" hidden="1" x14ac:dyDescent="0.25"/>
    <row r="23268" hidden="1" x14ac:dyDescent="0.25"/>
    <row r="23269" hidden="1" x14ac:dyDescent="0.25"/>
    <row r="23270" hidden="1" x14ac:dyDescent="0.25"/>
    <row r="23271" hidden="1" x14ac:dyDescent="0.25"/>
    <row r="23272" hidden="1" x14ac:dyDescent="0.25"/>
    <row r="23273" hidden="1" x14ac:dyDescent="0.25"/>
    <row r="23274" hidden="1" x14ac:dyDescent="0.25"/>
    <row r="23275" hidden="1" x14ac:dyDescent="0.25"/>
    <row r="23276" hidden="1" x14ac:dyDescent="0.25"/>
    <row r="23277" hidden="1" x14ac:dyDescent="0.25"/>
    <row r="23278" hidden="1" x14ac:dyDescent="0.25"/>
    <row r="23279" hidden="1" x14ac:dyDescent="0.25"/>
    <row r="23280" hidden="1" x14ac:dyDescent="0.25"/>
    <row r="23281" hidden="1" x14ac:dyDescent="0.25"/>
    <row r="23282" hidden="1" x14ac:dyDescent="0.25"/>
    <row r="23283" hidden="1" x14ac:dyDescent="0.25"/>
    <row r="23284" hidden="1" x14ac:dyDescent="0.25"/>
    <row r="23285" hidden="1" x14ac:dyDescent="0.25"/>
    <row r="23286" hidden="1" x14ac:dyDescent="0.25"/>
    <row r="23287" hidden="1" x14ac:dyDescent="0.25"/>
    <row r="23288" hidden="1" x14ac:dyDescent="0.25"/>
    <row r="23289" hidden="1" x14ac:dyDescent="0.25"/>
    <row r="23290" hidden="1" x14ac:dyDescent="0.25"/>
    <row r="23291" hidden="1" x14ac:dyDescent="0.25"/>
    <row r="23292" hidden="1" x14ac:dyDescent="0.25"/>
    <row r="23293" hidden="1" x14ac:dyDescent="0.25"/>
    <row r="23294" hidden="1" x14ac:dyDescent="0.25"/>
    <row r="23295" hidden="1" x14ac:dyDescent="0.25"/>
    <row r="23296" hidden="1" x14ac:dyDescent="0.25"/>
    <row r="23297" hidden="1" x14ac:dyDescent="0.25"/>
    <row r="23298" hidden="1" x14ac:dyDescent="0.25"/>
    <row r="23299" hidden="1" x14ac:dyDescent="0.25"/>
    <row r="23300" hidden="1" x14ac:dyDescent="0.25"/>
    <row r="23301" hidden="1" x14ac:dyDescent="0.25"/>
    <row r="23302" hidden="1" x14ac:dyDescent="0.25"/>
    <row r="23303" hidden="1" x14ac:dyDescent="0.25"/>
    <row r="23304" hidden="1" x14ac:dyDescent="0.25"/>
    <row r="23305" hidden="1" x14ac:dyDescent="0.25"/>
    <row r="23306" hidden="1" x14ac:dyDescent="0.25"/>
    <row r="23307" hidden="1" x14ac:dyDescent="0.25"/>
    <row r="23308" hidden="1" x14ac:dyDescent="0.25"/>
    <row r="23309" hidden="1" x14ac:dyDescent="0.25"/>
    <row r="23310" hidden="1" x14ac:dyDescent="0.25"/>
    <row r="23311" hidden="1" x14ac:dyDescent="0.25"/>
    <row r="23312" hidden="1" x14ac:dyDescent="0.25"/>
    <row r="23313" hidden="1" x14ac:dyDescent="0.25"/>
    <row r="23314" hidden="1" x14ac:dyDescent="0.25"/>
    <row r="23315" hidden="1" x14ac:dyDescent="0.25"/>
    <row r="23316" hidden="1" x14ac:dyDescent="0.25"/>
    <row r="23317" hidden="1" x14ac:dyDescent="0.25"/>
    <row r="23318" hidden="1" x14ac:dyDescent="0.25"/>
    <row r="23319" hidden="1" x14ac:dyDescent="0.25"/>
    <row r="23320" hidden="1" x14ac:dyDescent="0.25"/>
    <row r="23321" hidden="1" x14ac:dyDescent="0.25"/>
    <row r="23322" hidden="1" x14ac:dyDescent="0.25"/>
    <row r="23323" hidden="1" x14ac:dyDescent="0.25"/>
    <row r="23324" hidden="1" x14ac:dyDescent="0.25"/>
    <row r="23325" hidden="1" x14ac:dyDescent="0.25"/>
    <row r="23326" hidden="1" x14ac:dyDescent="0.25"/>
    <row r="23327" hidden="1" x14ac:dyDescent="0.25"/>
    <row r="23328" hidden="1" x14ac:dyDescent="0.25"/>
    <row r="23329" hidden="1" x14ac:dyDescent="0.25"/>
    <row r="23330" hidden="1" x14ac:dyDescent="0.25"/>
    <row r="23331" hidden="1" x14ac:dyDescent="0.25"/>
    <row r="23332" hidden="1" x14ac:dyDescent="0.25"/>
    <row r="23333" hidden="1" x14ac:dyDescent="0.25"/>
    <row r="23334" hidden="1" x14ac:dyDescent="0.25"/>
    <row r="23335" hidden="1" x14ac:dyDescent="0.25"/>
    <row r="23336" hidden="1" x14ac:dyDescent="0.25"/>
    <row r="23337" hidden="1" x14ac:dyDescent="0.25"/>
    <row r="23338" hidden="1" x14ac:dyDescent="0.25"/>
    <row r="23339" hidden="1" x14ac:dyDescent="0.25"/>
    <row r="23340" hidden="1" x14ac:dyDescent="0.25"/>
    <row r="23341" hidden="1" x14ac:dyDescent="0.25"/>
    <row r="23342" hidden="1" x14ac:dyDescent="0.25"/>
    <row r="23343" hidden="1" x14ac:dyDescent="0.25"/>
    <row r="23344" hidden="1" x14ac:dyDescent="0.25"/>
    <row r="23345" hidden="1" x14ac:dyDescent="0.25"/>
    <row r="23346" hidden="1" x14ac:dyDescent="0.25"/>
    <row r="23347" hidden="1" x14ac:dyDescent="0.25"/>
    <row r="23348" hidden="1" x14ac:dyDescent="0.25"/>
    <row r="23349" hidden="1" x14ac:dyDescent="0.25"/>
    <row r="23350" hidden="1" x14ac:dyDescent="0.25"/>
    <row r="23351" hidden="1" x14ac:dyDescent="0.25"/>
    <row r="23352" hidden="1" x14ac:dyDescent="0.25"/>
    <row r="23353" hidden="1" x14ac:dyDescent="0.25"/>
    <row r="23354" hidden="1" x14ac:dyDescent="0.25"/>
    <row r="23355" hidden="1" x14ac:dyDescent="0.25"/>
    <row r="23356" hidden="1" x14ac:dyDescent="0.25"/>
    <row r="23357" hidden="1" x14ac:dyDescent="0.25"/>
    <row r="23358" hidden="1" x14ac:dyDescent="0.25"/>
    <row r="23359" hidden="1" x14ac:dyDescent="0.25"/>
    <row r="23360" hidden="1" x14ac:dyDescent="0.25"/>
    <row r="23361" hidden="1" x14ac:dyDescent="0.25"/>
    <row r="23362" hidden="1" x14ac:dyDescent="0.25"/>
    <row r="23363" hidden="1" x14ac:dyDescent="0.25"/>
    <row r="23364" hidden="1" x14ac:dyDescent="0.25"/>
    <row r="23365" hidden="1" x14ac:dyDescent="0.25"/>
    <row r="23366" hidden="1" x14ac:dyDescent="0.25"/>
    <row r="23367" hidden="1" x14ac:dyDescent="0.25"/>
    <row r="23368" hidden="1" x14ac:dyDescent="0.25"/>
    <row r="23369" hidden="1" x14ac:dyDescent="0.25"/>
    <row r="23370" hidden="1" x14ac:dyDescent="0.25"/>
    <row r="23371" hidden="1" x14ac:dyDescent="0.25"/>
    <row r="23372" hidden="1" x14ac:dyDescent="0.25"/>
    <row r="23373" hidden="1" x14ac:dyDescent="0.25"/>
    <row r="23374" hidden="1" x14ac:dyDescent="0.25"/>
    <row r="23375" hidden="1" x14ac:dyDescent="0.25"/>
    <row r="23376" hidden="1" x14ac:dyDescent="0.25"/>
    <row r="23377" hidden="1" x14ac:dyDescent="0.25"/>
    <row r="23378" hidden="1" x14ac:dyDescent="0.25"/>
    <row r="23379" hidden="1" x14ac:dyDescent="0.25"/>
    <row r="23380" hidden="1" x14ac:dyDescent="0.25"/>
    <row r="23381" hidden="1" x14ac:dyDescent="0.25"/>
    <row r="23382" hidden="1" x14ac:dyDescent="0.25"/>
    <row r="23383" hidden="1" x14ac:dyDescent="0.25"/>
    <row r="23384" hidden="1" x14ac:dyDescent="0.25"/>
    <row r="23385" hidden="1" x14ac:dyDescent="0.25"/>
    <row r="23386" hidden="1" x14ac:dyDescent="0.25"/>
    <row r="23387" hidden="1" x14ac:dyDescent="0.25"/>
    <row r="23388" hidden="1" x14ac:dyDescent="0.25"/>
    <row r="23389" hidden="1" x14ac:dyDescent="0.25"/>
    <row r="23390" hidden="1" x14ac:dyDescent="0.25"/>
    <row r="23391" hidden="1" x14ac:dyDescent="0.25"/>
    <row r="23392" hidden="1" x14ac:dyDescent="0.25"/>
    <row r="23393" hidden="1" x14ac:dyDescent="0.25"/>
    <row r="23394" hidden="1" x14ac:dyDescent="0.25"/>
    <row r="23395" hidden="1" x14ac:dyDescent="0.25"/>
    <row r="23396" hidden="1" x14ac:dyDescent="0.25"/>
    <row r="23397" hidden="1" x14ac:dyDescent="0.25"/>
    <row r="23398" hidden="1" x14ac:dyDescent="0.25"/>
    <row r="23399" hidden="1" x14ac:dyDescent="0.25"/>
    <row r="23400" hidden="1" x14ac:dyDescent="0.25"/>
    <row r="23401" hidden="1" x14ac:dyDescent="0.25"/>
    <row r="23402" hidden="1" x14ac:dyDescent="0.25"/>
    <row r="23403" hidden="1" x14ac:dyDescent="0.25"/>
    <row r="23404" hidden="1" x14ac:dyDescent="0.25"/>
    <row r="23405" hidden="1" x14ac:dyDescent="0.25"/>
    <row r="23406" hidden="1" x14ac:dyDescent="0.25"/>
    <row r="23407" hidden="1" x14ac:dyDescent="0.25"/>
    <row r="23408" hidden="1" x14ac:dyDescent="0.25"/>
    <row r="23409" hidden="1" x14ac:dyDescent="0.25"/>
    <row r="23410" hidden="1" x14ac:dyDescent="0.25"/>
    <row r="23411" hidden="1" x14ac:dyDescent="0.25"/>
    <row r="23412" hidden="1" x14ac:dyDescent="0.25"/>
    <row r="23413" hidden="1" x14ac:dyDescent="0.25"/>
    <row r="23414" hidden="1" x14ac:dyDescent="0.25"/>
    <row r="23415" hidden="1" x14ac:dyDescent="0.25"/>
    <row r="23416" hidden="1" x14ac:dyDescent="0.25"/>
    <row r="23417" hidden="1" x14ac:dyDescent="0.25"/>
    <row r="23418" hidden="1" x14ac:dyDescent="0.25"/>
    <row r="23419" hidden="1" x14ac:dyDescent="0.25"/>
    <row r="23420" hidden="1" x14ac:dyDescent="0.25"/>
    <row r="23421" hidden="1" x14ac:dyDescent="0.25"/>
    <row r="23422" hidden="1" x14ac:dyDescent="0.25"/>
    <row r="23423" hidden="1" x14ac:dyDescent="0.25"/>
    <row r="23424" hidden="1" x14ac:dyDescent="0.25"/>
    <row r="23425" hidden="1" x14ac:dyDescent="0.25"/>
    <row r="23426" hidden="1" x14ac:dyDescent="0.25"/>
    <row r="23427" hidden="1" x14ac:dyDescent="0.25"/>
    <row r="23428" hidden="1" x14ac:dyDescent="0.25"/>
    <row r="23429" hidden="1" x14ac:dyDescent="0.25"/>
    <row r="23430" hidden="1" x14ac:dyDescent="0.25"/>
    <row r="23431" hidden="1" x14ac:dyDescent="0.25"/>
    <row r="23432" hidden="1" x14ac:dyDescent="0.25"/>
    <row r="23433" hidden="1" x14ac:dyDescent="0.25"/>
    <row r="23434" hidden="1" x14ac:dyDescent="0.25"/>
    <row r="23435" hidden="1" x14ac:dyDescent="0.25"/>
    <row r="23436" hidden="1" x14ac:dyDescent="0.25"/>
    <row r="23437" hidden="1" x14ac:dyDescent="0.25"/>
    <row r="23438" hidden="1" x14ac:dyDescent="0.25"/>
    <row r="23439" hidden="1" x14ac:dyDescent="0.25"/>
    <row r="23440" hidden="1" x14ac:dyDescent="0.25"/>
    <row r="23441" hidden="1" x14ac:dyDescent="0.25"/>
    <row r="23442" hidden="1" x14ac:dyDescent="0.25"/>
    <row r="23443" hidden="1" x14ac:dyDescent="0.25"/>
    <row r="23444" hidden="1" x14ac:dyDescent="0.25"/>
    <row r="23445" hidden="1" x14ac:dyDescent="0.25"/>
    <row r="23446" hidden="1" x14ac:dyDescent="0.25"/>
    <row r="23447" hidden="1" x14ac:dyDescent="0.25"/>
    <row r="23448" hidden="1" x14ac:dyDescent="0.25"/>
    <row r="23449" hidden="1" x14ac:dyDescent="0.25"/>
    <row r="23450" hidden="1" x14ac:dyDescent="0.25"/>
    <row r="23451" hidden="1" x14ac:dyDescent="0.25"/>
    <row r="23452" hidden="1" x14ac:dyDescent="0.25"/>
    <row r="23453" hidden="1" x14ac:dyDescent="0.25"/>
    <row r="23454" hidden="1" x14ac:dyDescent="0.25"/>
    <row r="23455" hidden="1" x14ac:dyDescent="0.25"/>
    <row r="23456" hidden="1" x14ac:dyDescent="0.25"/>
    <row r="23457" hidden="1" x14ac:dyDescent="0.25"/>
    <row r="23458" hidden="1" x14ac:dyDescent="0.25"/>
    <row r="23459" hidden="1" x14ac:dyDescent="0.25"/>
    <row r="23460" hidden="1" x14ac:dyDescent="0.25"/>
    <row r="23461" hidden="1" x14ac:dyDescent="0.25"/>
    <row r="23462" hidden="1" x14ac:dyDescent="0.25"/>
    <row r="23463" hidden="1" x14ac:dyDescent="0.25"/>
    <row r="23464" hidden="1" x14ac:dyDescent="0.25"/>
    <row r="23465" hidden="1" x14ac:dyDescent="0.25"/>
    <row r="23466" hidden="1" x14ac:dyDescent="0.25"/>
    <row r="23467" hidden="1" x14ac:dyDescent="0.25"/>
    <row r="23468" hidden="1" x14ac:dyDescent="0.25"/>
    <row r="23469" hidden="1" x14ac:dyDescent="0.25"/>
    <row r="23470" hidden="1" x14ac:dyDescent="0.25"/>
    <row r="23471" hidden="1" x14ac:dyDescent="0.25"/>
    <row r="23472" hidden="1" x14ac:dyDescent="0.25"/>
    <row r="23473" hidden="1" x14ac:dyDescent="0.25"/>
    <row r="23474" hidden="1" x14ac:dyDescent="0.25"/>
    <row r="23475" hidden="1" x14ac:dyDescent="0.25"/>
    <row r="23476" hidden="1" x14ac:dyDescent="0.25"/>
    <row r="23477" hidden="1" x14ac:dyDescent="0.25"/>
    <row r="23478" hidden="1" x14ac:dyDescent="0.25"/>
    <row r="23479" hidden="1" x14ac:dyDescent="0.25"/>
    <row r="23480" hidden="1" x14ac:dyDescent="0.25"/>
    <row r="23481" hidden="1" x14ac:dyDescent="0.25"/>
    <row r="23482" hidden="1" x14ac:dyDescent="0.25"/>
    <row r="23483" hidden="1" x14ac:dyDescent="0.25"/>
    <row r="23484" hidden="1" x14ac:dyDescent="0.25"/>
    <row r="23485" hidden="1" x14ac:dyDescent="0.25"/>
    <row r="23486" hidden="1" x14ac:dyDescent="0.25"/>
    <row r="23487" hidden="1" x14ac:dyDescent="0.25"/>
    <row r="23488" hidden="1" x14ac:dyDescent="0.25"/>
    <row r="23489" hidden="1" x14ac:dyDescent="0.25"/>
    <row r="23490" hidden="1" x14ac:dyDescent="0.25"/>
    <row r="23491" hidden="1" x14ac:dyDescent="0.25"/>
    <row r="23492" hidden="1" x14ac:dyDescent="0.25"/>
    <row r="23493" hidden="1" x14ac:dyDescent="0.25"/>
    <row r="23494" hidden="1" x14ac:dyDescent="0.25"/>
    <row r="23495" hidden="1" x14ac:dyDescent="0.25"/>
    <row r="23496" hidden="1" x14ac:dyDescent="0.25"/>
    <row r="23497" hidden="1" x14ac:dyDescent="0.25"/>
    <row r="23498" hidden="1" x14ac:dyDescent="0.25"/>
    <row r="23499" hidden="1" x14ac:dyDescent="0.25"/>
    <row r="23500" hidden="1" x14ac:dyDescent="0.25"/>
    <row r="23501" hidden="1" x14ac:dyDescent="0.25"/>
    <row r="23502" hidden="1" x14ac:dyDescent="0.25"/>
    <row r="23503" hidden="1" x14ac:dyDescent="0.25"/>
    <row r="23504" hidden="1" x14ac:dyDescent="0.25"/>
    <row r="23505" hidden="1" x14ac:dyDescent="0.25"/>
    <row r="23506" hidden="1" x14ac:dyDescent="0.25"/>
    <row r="23507" hidden="1" x14ac:dyDescent="0.25"/>
    <row r="23508" hidden="1" x14ac:dyDescent="0.25"/>
    <row r="23509" hidden="1" x14ac:dyDescent="0.25"/>
    <row r="23510" hidden="1" x14ac:dyDescent="0.25"/>
    <row r="23511" hidden="1" x14ac:dyDescent="0.25"/>
    <row r="23512" hidden="1" x14ac:dyDescent="0.25"/>
    <row r="23513" hidden="1" x14ac:dyDescent="0.25"/>
    <row r="23514" hidden="1" x14ac:dyDescent="0.25"/>
    <row r="23515" hidden="1" x14ac:dyDescent="0.25"/>
    <row r="23516" hidden="1" x14ac:dyDescent="0.25"/>
    <row r="23517" hidden="1" x14ac:dyDescent="0.25"/>
    <row r="23518" hidden="1" x14ac:dyDescent="0.25"/>
    <row r="23519" hidden="1" x14ac:dyDescent="0.25"/>
    <row r="23520" hidden="1" x14ac:dyDescent="0.25"/>
    <row r="23521" hidden="1" x14ac:dyDescent="0.25"/>
    <row r="23522" hidden="1" x14ac:dyDescent="0.25"/>
    <row r="23523" hidden="1" x14ac:dyDescent="0.25"/>
    <row r="23524" hidden="1" x14ac:dyDescent="0.25"/>
    <row r="23525" hidden="1" x14ac:dyDescent="0.25"/>
    <row r="23526" hidden="1" x14ac:dyDescent="0.25"/>
    <row r="23527" hidden="1" x14ac:dyDescent="0.25"/>
    <row r="23528" hidden="1" x14ac:dyDescent="0.25"/>
    <row r="23529" hidden="1" x14ac:dyDescent="0.25"/>
    <row r="23530" hidden="1" x14ac:dyDescent="0.25"/>
    <row r="23531" hidden="1" x14ac:dyDescent="0.25"/>
    <row r="23532" hidden="1" x14ac:dyDescent="0.25"/>
    <row r="23533" hidden="1" x14ac:dyDescent="0.25"/>
    <row r="23534" hidden="1" x14ac:dyDescent="0.25"/>
    <row r="23535" hidden="1" x14ac:dyDescent="0.25"/>
    <row r="23536" hidden="1" x14ac:dyDescent="0.25"/>
    <row r="23537" hidden="1" x14ac:dyDescent="0.25"/>
    <row r="23538" hidden="1" x14ac:dyDescent="0.25"/>
    <row r="23539" hidden="1" x14ac:dyDescent="0.25"/>
    <row r="23540" hidden="1" x14ac:dyDescent="0.25"/>
    <row r="23541" hidden="1" x14ac:dyDescent="0.25"/>
    <row r="23542" hidden="1" x14ac:dyDescent="0.25"/>
    <row r="23543" hidden="1" x14ac:dyDescent="0.25"/>
    <row r="23544" hidden="1" x14ac:dyDescent="0.25"/>
    <row r="23545" hidden="1" x14ac:dyDescent="0.25"/>
    <row r="23546" hidden="1" x14ac:dyDescent="0.25"/>
    <row r="23547" hidden="1" x14ac:dyDescent="0.25"/>
    <row r="23548" hidden="1" x14ac:dyDescent="0.25"/>
    <row r="23549" hidden="1" x14ac:dyDescent="0.25"/>
    <row r="23550" hidden="1" x14ac:dyDescent="0.25"/>
    <row r="23551" hidden="1" x14ac:dyDescent="0.25"/>
    <row r="23552" hidden="1" x14ac:dyDescent="0.25"/>
    <row r="23553" hidden="1" x14ac:dyDescent="0.25"/>
    <row r="23554" hidden="1" x14ac:dyDescent="0.25"/>
    <row r="23555" hidden="1" x14ac:dyDescent="0.25"/>
    <row r="23556" hidden="1" x14ac:dyDescent="0.25"/>
    <row r="23557" hidden="1" x14ac:dyDescent="0.25"/>
    <row r="23558" hidden="1" x14ac:dyDescent="0.25"/>
    <row r="23559" hidden="1" x14ac:dyDescent="0.25"/>
    <row r="23560" hidden="1" x14ac:dyDescent="0.25"/>
    <row r="23561" hidden="1" x14ac:dyDescent="0.25"/>
    <row r="23562" hidden="1" x14ac:dyDescent="0.25"/>
    <row r="23563" hidden="1" x14ac:dyDescent="0.25"/>
    <row r="23564" hidden="1" x14ac:dyDescent="0.25"/>
    <row r="23565" hidden="1" x14ac:dyDescent="0.25"/>
    <row r="23566" hidden="1" x14ac:dyDescent="0.25"/>
    <row r="23567" hidden="1" x14ac:dyDescent="0.25"/>
    <row r="23568" hidden="1" x14ac:dyDescent="0.25"/>
    <row r="23569" hidden="1" x14ac:dyDescent="0.25"/>
    <row r="23570" hidden="1" x14ac:dyDescent="0.25"/>
    <row r="23571" hidden="1" x14ac:dyDescent="0.25"/>
    <row r="23572" hidden="1" x14ac:dyDescent="0.25"/>
    <row r="23573" hidden="1" x14ac:dyDescent="0.25"/>
    <row r="23574" hidden="1" x14ac:dyDescent="0.25"/>
    <row r="23575" hidden="1" x14ac:dyDescent="0.25"/>
    <row r="23576" hidden="1" x14ac:dyDescent="0.25"/>
    <row r="23577" hidden="1" x14ac:dyDescent="0.25"/>
    <row r="23578" hidden="1" x14ac:dyDescent="0.25"/>
    <row r="23579" hidden="1" x14ac:dyDescent="0.25"/>
    <row r="23580" hidden="1" x14ac:dyDescent="0.25"/>
    <row r="23581" hidden="1" x14ac:dyDescent="0.25"/>
    <row r="23582" hidden="1" x14ac:dyDescent="0.25"/>
    <row r="23583" hidden="1" x14ac:dyDescent="0.25"/>
    <row r="23584" hidden="1" x14ac:dyDescent="0.25"/>
    <row r="23585" hidden="1" x14ac:dyDescent="0.25"/>
    <row r="23586" hidden="1" x14ac:dyDescent="0.25"/>
    <row r="23587" hidden="1" x14ac:dyDescent="0.25"/>
    <row r="23588" hidden="1" x14ac:dyDescent="0.25"/>
    <row r="23589" hidden="1" x14ac:dyDescent="0.25"/>
    <row r="23590" hidden="1" x14ac:dyDescent="0.25"/>
    <row r="23591" hidden="1" x14ac:dyDescent="0.25"/>
    <row r="23592" hidden="1" x14ac:dyDescent="0.25"/>
    <row r="23593" hidden="1" x14ac:dyDescent="0.25"/>
    <row r="23594" hidden="1" x14ac:dyDescent="0.25"/>
    <row r="23595" hidden="1" x14ac:dyDescent="0.25"/>
    <row r="23596" hidden="1" x14ac:dyDescent="0.25"/>
    <row r="23597" hidden="1" x14ac:dyDescent="0.25"/>
    <row r="23598" hidden="1" x14ac:dyDescent="0.25"/>
    <row r="23599" hidden="1" x14ac:dyDescent="0.25"/>
    <row r="23600" hidden="1" x14ac:dyDescent="0.25"/>
    <row r="23601" hidden="1" x14ac:dyDescent="0.25"/>
    <row r="23602" hidden="1" x14ac:dyDescent="0.25"/>
    <row r="23603" hidden="1" x14ac:dyDescent="0.25"/>
    <row r="23604" hidden="1" x14ac:dyDescent="0.25"/>
    <row r="23605" hidden="1" x14ac:dyDescent="0.25"/>
    <row r="23606" hidden="1" x14ac:dyDescent="0.25"/>
    <row r="23607" hidden="1" x14ac:dyDescent="0.25"/>
    <row r="23608" hidden="1" x14ac:dyDescent="0.25"/>
    <row r="23609" hidden="1" x14ac:dyDescent="0.25"/>
    <row r="23610" hidden="1" x14ac:dyDescent="0.25"/>
    <row r="23611" hidden="1" x14ac:dyDescent="0.25"/>
    <row r="23612" hidden="1" x14ac:dyDescent="0.25"/>
    <row r="23613" hidden="1" x14ac:dyDescent="0.25"/>
    <row r="23614" hidden="1" x14ac:dyDescent="0.25"/>
    <row r="23615" hidden="1" x14ac:dyDescent="0.25"/>
    <row r="23616" hidden="1" x14ac:dyDescent="0.25"/>
    <row r="23617" hidden="1" x14ac:dyDescent="0.25"/>
    <row r="23618" hidden="1" x14ac:dyDescent="0.25"/>
    <row r="23619" hidden="1" x14ac:dyDescent="0.25"/>
    <row r="23620" hidden="1" x14ac:dyDescent="0.25"/>
    <row r="23621" hidden="1" x14ac:dyDescent="0.25"/>
    <row r="23622" hidden="1" x14ac:dyDescent="0.25"/>
    <row r="23623" hidden="1" x14ac:dyDescent="0.25"/>
    <row r="23624" hidden="1" x14ac:dyDescent="0.25"/>
    <row r="23625" hidden="1" x14ac:dyDescent="0.25"/>
    <row r="23626" hidden="1" x14ac:dyDescent="0.25"/>
    <row r="23627" hidden="1" x14ac:dyDescent="0.25"/>
    <row r="23628" hidden="1" x14ac:dyDescent="0.25"/>
    <row r="23629" hidden="1" x14ac:dyDescent="0.25"/>
    <row r="23630" hidden="1" x14ac:dyDescent="0.25"/>
    <row r="23631" hidden="1" x14ac:dyDescent="0.25"/>
    <row r="23632" hidden="1" x14ac:dyDescent="0.25"/>
    <row r="23633" hidden="1" x14ac:dyDescent="0.25"/>
    <row r="23634" hidden="1" x14ac:dyDescent="0.25"/>
    <row r="23635" hidden="1" x14ac:dyDescent="0.25"/>
    <row r="23636" hidden="1" x14ac:dyDescent="0.25"/>
    <row r="23637" hidden="1" x14ac:dyDescent="0.25"/>
    <row r="23638" hidden="1" x14ac:dyDescent="0.25"/>
    <row r="23639" hidden="1" x14ac:dyDescent="0.25"/>
    <row r="23640" hidden="1" x14ac:dyDescent="0.25"/>
    <row r="23641" hidden="1" x14ac:dyDescent="0.25"/>
    <row r="23642" hidden="1" x14ac:dyDescent="0.25"/>
    <row r="23643" hidden="1" x14ac:dyDescent="0.25"/>
    <row r="23644" hidden="1" x14ac:dyDescent="0.25"/>
    <row r="23645" hidden="1" x14ac:dyDescent="0.25"/>
    <row r="23646" hidden="1" x14ac:dyDescent="0.25"/>
    <row r="23647" hidden="1" x14ac:dyDescent="0.25"/>
    <row r="23648" hidden="1" x14ac:dyDescent="0.25"/>
    <row r="23649" hidden="1" x14ac:dyDescent="0.25"/>
    <row r="23650" hidden="1" x14ac:dyDescent="0.25"/>
    <row r="23651" hidden="1" x14ac:dyDescent="0.25"/>
    <row r="23652" hidden="1" x14ac:dyDescent="0.25"/>
    <row r="23653" hidden="1" x14ac:dyDescent="0.25"/>
    <row r="23654" hidden="1" x14ac:dyDescent="0.25"/>
    <row r="23655" hidden="1" x14ac:dyDescent="0.25"/>
    <row r="23656" hidden="1" x14ac:dyDescent="0.25"/>
    <row r="23657" hidden="1" x14ac:dyDescent="0.25"/>
    <row r="23658" hidden="1" x14ac:dyDescent="0.25"/>
    <row r="23659" hidden="1" x14ac:dyDescent="0.25"/>
    <row r="23660" hidden="1" x14ac:dyDescent="0.25"/>
    <row r="23661" hidden="1" x14ac:dyDescent="0.25"/>
    <row r="23662" hidden="1" x14ac:dyDescent="0.25"/>
    <row r="23663" hidden="1" x14ac:dyDescent="0.25"/>
    <row r="23664" hidden="1" x14ac:dyDescent="0.25"/>
    <row r="23665" hidden="1" x14ac:dyDescent="0.25"/>
    <row r="23666" hidden="1" x14ac:dyDescent="0.25"/>
    <row r="23667" hidden="1" x14ac:dyDescent="0.25"/>
    <row r="23668" hidden="1" x14ac:dyDescent="0.25"/>
    <row r="23669" hidden="1" x14ac:dyDescent="0.25"/>
    <row r="23670" hidden="1" x14ac:dyDescent="0.25"/>
    <row r="23671" hidden="1" x14ac:dyDescent="0.25"/>
    <row r="23672" hidden="1" x14ac:dyDescent="0.25"/>
    <row r="23673" hidden="1" x14ac:dyDescent="0.25"/>
    <row r="23674" hidden="1" x14ac:dyDescent="0.25"/>
    <row r="23675" hidden="1" x14ac:dyDescent="0.25"/>
    <row r="23676" hidden="1" x14ac:dyDescent="0.25"/>
    <row r="23677" hidden="1" x14ac:dyDescent="0.25"/>
    <row r="23678" hidden="1" x14ac:dyDescent="0.25"/>
    <row r="23679" hidden="1" x14ac:dyDescent="0.25"/>
    <row r="23680" hidden="1" x14ac:dyDescent="0.25"/>
    <row r="23681" hidden="1" x14ac:dyDescent="0.25"/>
    <row r="23682" hidden="1" x14ac:dyDescent="0.25"/>
    <row r="23683" hidden="1" x14ac:dyDescent="0.25"/>
    <row r="23684" hidden="1" x14ac:dyDescent="0.25"/>
    <row r="23685" hidden="1" x14ac:dyDescent="0.25"/>
    <row r="23686" hidden="1" x14ac:dyDescent="0.25"/>
    <row r="23687" hidden="1" x14ac:dyDescent="0.25"/>
    <row r="23688" hidden="1" x14ac:dyDescent="0.25"/>
    <row r="23689" hidden="1" x14ac:dyDescent="0.25"/>
    <row r="23690" hidden="1" x14ac:dyDescent="0.25"/>
    <row r="23691" hidden="1" x14ac:dyDescent="0.25"/>
    <row r="23692" hidden="1" x14ac:dyDescent="0.25"/>
    <row r="23693" hidden="1" x14ac:dyDescent="0.25"/>
    <row r="23694" hidden="1" x14ac:dyDescent="0.25"/>
    <row r="23695" hidden="1" x14ac:dyDescent="0.25"/>
    <row r="23696" hidden="1" x14ac:dyDescent="0.25"/>
    <row r="23697" hidden="1" x14ac:dyDescent="0.25"/>
    <row r="23698" hidden="1" x14ac:dyDescent="0.25"/>
    <row r="23699" hidden="1" x14ac:dyDescent="0.25"/>
    <row r="23700" hidden="1" x14ac:dyDescent="0.25"/>
    <row r="23701" hidden="1" x14ac:dyDescent="0.25"/>
    <row r="23702" hidden="1" x14ac:dyDescent="0.25"/>
    <row r="23703" hidden="1" x14ac:dyDescent="0.25"/>
    <row r="23704" hidden="1" x14ac:dyDescent="0.25"/>
    <row r="23705" hidden="1" x14ac:dyDescent="0.25"/>
    <row r="23706" hidden="1" x14ac:dyDescent="0.25"/>
    <row r="23707" hidden="1" x14ac:dyDescent="0.25"/>
    <row r="23708" hidden="1" x14ac:dyDescent="0.25"/>
    <row r="23709" hidden="1" x14ac:dyDescent="0.25"/>
    <row r="23710" hidden="1" x14ac:dyDescent="0.25"/>
    <row r="23711" hidden="1" x14ac:dyDescent="0.25"/>
    <row r="23712" hidden="1" x14ac:dyDescent="0.25"/>
    <row r="23713" hidden="1" x14ac:dyDescent="0.25"/>
    <row r="23714" hidden="1" x14ac:dyDescent="0.25"/>
    <row r="23715" hidden="1" x14ac:dyDescent="0.25"/>
    <row r="23716" hidden="1" x14ac:dyDescent="0.25"/>
    <row r="23717" hidden="1" x14ac:dyDescent="0.25"/>
    <row r="23718" hidden="1" x14ac:dyDescent="0.25"/>
    <row r="23719" hidden="1" x14ac:dyDescent="0.25"/>
    <row r="23720" hidden="1" x14ac:dyDescent="0.25"/>
    <row r="23721" hidden="1" x14ac:dyDescent="0.25"/>
    <row r="23722" hidden="1" x14ac:dyDescent="0.25"/>
    <row r="23723" hidden="1" x14ac:dyDescent="0.25"/>
    <row r="23724" hidden="1" x14ac:dyDescent="0.25"/>
    <row r="23725" hidden="1" x14ac:dyDescent="0.25"/>
    <row r="23726" hidden="1" x14ac:dyDescent="0.25"/>
    <row r="23727" hidden="1" x14ac:dyDescent="0.25"/>
    <row r="23728" hidden="1" x14ac:dyDescent="0.25"/>
    <row r="23729" hidden="1" x14ac:dyDescent="0.25"/>
    <row r="23730" hidden="1" x14ac:dyDescent="0.25"/>
    <row r="23731" hidden="1" x14ac:dyDescent="0.25"/>
    <row r="23732" hidden="1" x14ac:dyDescent="0.25"/>
    <row r="23733" hidden="1" x14ac:dyDescent="0.25"/>
    <row r="23734" hidden="1" x14ac:dyDescent="0.25"/>
    <row r="23735" hidden="1" x14ac:dyDescent="0.25"/>
    <row r="23736" hidden="1" x14ac:dyDescent="0.25"/>
    <row r="23737" hidden="1" x14ac:dyDescent="0.25"/>
    <row r="23738" hidden="1" x14ac:dyDescent="0.25"/>
    <row r="23739" hidden="1" x14ac:dyDescent="0.25"/>
    <row r="23740" hidden="1" x14ac:dyDescent="0.25"/>
    <row r="23741" hidden="1" x14ac:dyDescent="0.25"/>
    <row r="23742" hidden="1" x14ac:dyDescent="0.25"/>
    <row r="23743" hidden="1" x14ac:dyDescent="0.25"/>
    <row r="23744" hidden="1" x14ac:dyDescent="0.25"/>
    <row r="23745" hidden="1" x14ac:dyDescent="0.25"/>
    <row r="23746" hidden="1" x14ac:dyDescent="0.25"/>
    <row r="23747" hidden="1" x14ac:dyDescent="0.25"/>
    <row r="23748" hidden="1" x14ac:dyDescent="0.25"/>
    <row r="23749" hidden="1" x14ac:dyDescent="0.25"/>
    <row r="23750" hidden="1" x14ac:dyDescent="0.25"/>
    <row r="23751" hidden="1" x14ac:dyDescent="0.25"/>
    <row r="23752" hidden="1" x14ac:dyDescent="0.25"/>
    <row r="23753" hidden="1" x14ac:dyDescent="0.25"/>
    <row r="23754" hidden="1" x14ac:dyDescent="0.25"/>
    <row r="23755" hidden="1" x14ac:dyDescent="0.25"/>
    <row r="23756" hidden="1" x14ac:dyDescent="0.25"/>
    <row r="23757" hidden="1" x14ac:dyDescent="0.25"/>
    <row r="23758" hidden="1" x14ac:dyDescent="0.25"/>
    <row r="23759" hidden="1" x14ac:dyDescent="0.25"/>
    <row r="23760" hidden="1" x14ac:dyDescent="0.25"/>
    <row r="23761" hidden="1" x14ac:dyDescent="0.25"/>
    <row r="23762" hidden="1" x14ac:dyDescent="0.25"/>
    <row r="23763" hidden="1" x14ac:dyDescent="0.25"/>
    <row r="23764" hidden="1" x14ac:dyDescent="0.25"/>
    <row r="23765" hidden="1" x14ac:dyDescent="0.25"/>
    <row r="23766" hidden="1" x14ac:dyDescent="0.25"/>
    <row r="23767" hidden="1" x14ac:dyDescent="0.25"/>
    <row r="23768" hidden="1" x14ac:dyDescent="0.25"/>
    <row r="23769" hidden="1" x14ac:dyDescent="0.25"/>
    <row r="23770" hidden="1" x14ac:dyDescent="0.25"/>
    <row r="23771" hidden="1" x14ac:dyDescent="0.25"/>
    <row r="23772" hidden="1" x14ac:dyDescent="0.25"/>
    <row r="23773" hidden="1" x14ac:dyDescent="0.25"/>
    <row r="23774" hidden="1" x14ac:dyDescent="0.25"/>
    <row r="23775" hidden="1" x14ac:dyDescent="0.25"/>
    <row r="23776" hidden="1" x14ac:dyDescent="0.25"/>
    <row r="23777" hidden="1" x14ac:dyDescent="0.25"/>
    <row r="23778" hidden="1" x14ac:dyDescent="0.25"/>
    <row r="23779" hidden="1" x14ac:dyDescent="0.25"/>
    <row r="23780" hidden="1" x14ac:dyDescent="0.25"/>
    <row r="23781" hidden="1" x14ac:dyDescent="0.25"/>
    <row r="23782" hidden="1" x14ac:dyDescent="0.25"/>
    <row r="23783" hidden="1" x14ac:dyDescent="0.25"/>
    <row r="23784" hidden="1" x14ac:dyDescent="0.25"/>
    <row r="23785" hidden="1" x14ac:dyDescent="0.25"/>
    <row r="23786" hidden="1" x14ac:dyDescent="0.25"/>
    <row r="23787" hidden="1" x14ac:dyDescent="0.25"/>
    <row r="23788" hidden="1" x14ac:dyDescent="0.25"/>
    <row r="23789" hidden="1" x14ac:dyDescent="0.25"/>
    <row r="23790" hidden="1" x14ac:dyDescent="0.25"/>
    <row r="23791" hidden="1" x14ac:dyDescent="0.25"/>
    <row r="23792" hidden="1" x14ac:dyDescent="0.25"/>
    <row r="23793" hidden="1" x14ac:dyDescent="0.25"/>
    <row r="23794" hidden="1" x14ac:dyDescent="0.25"/>
    <row r="23795" hidden="1" x14ac:dyDescent="0.25"/>
    <row r="23796" hidden="1" x14ac:dyDescent="0.25"/>
    <row r="23797" hidden="1" x14ac:dyDescent="0.25"/>
    <row r="23798" hidden="1" x14ac:dyDescent="0.25"/>
    <row r="23799" hidden="1" x14ac:dyDescent="0.25"/>
    <row r="23800" hidden="1" x14ac:dyDescent="0.25"/>
    <row r="23801" hidden="1" x14ac:dyDescent="0.25"/>
    <row r="23802" hidden="1" x14ac:dyDescent="0.25"/>
    <row r="23803" hidden="1" x14ac:dyDescent="0.25"/>
    <row r="23804" hidden="1" x14ac:dyDescent="0.25"/>
    <row r="23805" hidden="1" x14ac:dyDescent="0.25"/>
    <row r="23806" hidden="1" x14ac:dyDescent="0.25"/>
    <row r="23807" hidden="1" x14ac:dyDescent="0.25"/>
    <row r="23808" hidden="1" x14ac:dyDescent="0.25"/>
    <row r="23809" hidden="1" x14ac:dyDescent="0.25"/>
    <row r="23810" hidden="1" x14ac:dyDescent="0.25"/>
    <row r="23811" hidden="1" x14ac:dyDescent="0.25"/>
    <row r="23812" hidden="1" x14ac:dyDescent="0.25"/>
    <row r="23813" hidden="1" x14ac:dyDescent="0.25"/>
    <row r="23814" hidden="1" x14ac:dyDescent="0.25"/>
    <row r="23815" hidden="1" x14ac:dyDescent="0.25"/>
    <row r="23816" hidden="1" x14ac:dyDescent="0.25"/>
    <row r="23817" hidden="1" x14ac:dyDescent="0.25"/>
    <row r="23818" hidden="1" x14ac:dyDescent="0.25"/>
    <row r="23819" hidden="1" x14ac:dyDescent="0.25"/>
    <row r="23820" hidden="1" x14ac:dyDescent="0.25"/>
    <row r="23821" hidden="1" x14ac:dyDescent="0.25"/>
    <row r="23822" hidden="1" x14ac:dyDescent="0.25"/>
    <row r="23823" hidden="1" x14ac:dyDescent="0.25"/>
    <row r="23824" hidden="1" x14ac:dyDescent="0.25"/>
    <row r="23825" hidden="1" x14ac:dyDescent="0.25"/>
    <row r="23826" hidden="1" x14ac:dyDescent="0.25"/>
    <row r="23827" hidden="1" x14ac:dyDescent="0.25"/>
    <row r="23828" hidden="1" x14ac:dyDescent="0.25"/>
    <row r="23829" hidden="1" x14ac:dyDescent="0.25"/>
    <row r="23830" hidden="1" x14ac:dyDescent="0.25"/>
    <row r="23831" hidden="1" x14ac:dyDescent="0.25"/>
    <row r="23832" hidden="1" x14ac:dyDescent="0.25"/>
    <row r="23833" hidden="1" x14ac:dyDescent="0.25"/>
    <row r="23834" hidden="1" x14ac:dyDescent="0.25"/>
    <row r="23835" hidden="1" x14ac:dyDescent="0.25"/>
    <row r="23836" hidden="1" x14ac:dyDescent="0.25"/>
    <row r="23837" hidden="1" x14ac:dyDescent="0.25"/>
    <row r="23838" hidden="1" x14ac:dyDescent="0.25"/>
    <row r="23839" hidden="1" x14ac:dyDescent="0.25"/>
    <row r="23840" hidden="1" x14ac:dyDescent="0.25"/>
    <row r="23841" hidden="1" x14ac:dyDescent="0.25"/>
    <row r="23842" hidden="1" x14ac:dyDescent="0.25"/>
    <row r="23843" hidden="1" x14ac:dyDescent="0.25"/>
    <row r="23844" hidden="1" x14ac:dyDescent="0.25"/>
    <row r="23845" hidden="1" x14ac:dyDescent="0.25"/>
    <row r="23846" hidden="1" x14ac:dyDescent="0.25"/>
    <row r="23847" hidden="1" x14ac:dyDescent="0.25"/>
    <row r="23848" hidden="1" x14ac:dyDescent="0.25"/>
    <row r="23849" hidden="1" x14ac:dyDescent="0.25"/>
    <row r="23850" hidden="1" x14ac:dyDescent="0.25"/>
    <row r="23851" hidden="1" x14ac:dyDescent="0.25"/>
    <row r="23852" hidden="1" x14ac:dyDescent="0.25"/>
    <row r="23853" hidden="1" x14ac:dyDescent="0.25"/>
    <row r="23854" hidden="1" x14ac:dyDescent="0.25"/>
    <row r="23855" hidden="1" x14ac:dyDescent="0.25"/>
    <row r="23856" hidden="1" x14ac:dyDescent="0.25"/>
    <row r="23857" hidden="1" x14ac:dyDescent="0.25"/>
    <row r="23858" hidden="1" x14ac:dyDescent="0.25"/>
    <row r="23859" hidden="1" x14ac:dyDescent="0.25"/>
    <row r="23860" hidden="1" x14ac:dyDescent="0.25"/>
    <row r="23861" hidden="1" x14ac:dyDescent="0.25"/>
    <row r="23862" hidden="1" x14ac:dyDescent="0.25"/>
    <row r="23863" hidden="1" x14ac:dyDescent="0.25"/>
    <row r="23864" hidden="1" x14ac:dyDescent="0.25"/>
    <row r="23865" hidden="1" x14ac:dyDescent="0.25"/>
    <row r="23866" hidden="1" x14ac:dyDescent="0.25"/>
    <row r="23867" hidden="1" x14ac:dyDescent="0.25"/>
    <row r="23868" hidden="1" x14ac:dyDescent="0.25"/>
    <row r="23869" hidden="1" x14ac:dyDescent="0.25"/>
    <row r="23870" hidden="1" x14ac:dyDescent="0.25"/>
    <row r="23871" hidden="1" x14ac:dyDescent="0.25"/>
    <row r="23872" hidden="1" x14ac:dyDescent="0.25"/>
    <row r="23873" hidden="1" x14ac:dyDescent="0.25"/>
    <row r="23874" hidden="1" x14ac:dyDescent="0.25"/>
    <row r="23875" hidden="1" x14ac:dyDescent="0.25"/>
    <row r="23876" hidden="1" x14ac:dyDescent="0.25"/>
    <row r="23877" hidden="1" x14ac:dyDescent="0.25"/>
    <row r="23878" hidden="1" x14ac:dyDescent="0.25"/>
    <row r="23879" hidden="1" x14ac:dyDescent="0.25"/>
    <row r="23880" hidden="1" x14ac:dyDescent="0.25"/>
    <row r="23881" hidden="1" x14ac:dyDescent="0.25"/>
    <row r="23882" hidden="1" x14ac:dyDescent="0.25"/>
    <row r="23883" hidden="1" x14ac:dyDescent="0.25"/>
    <row r="23884" hidden="1" x14ac:dyDescent="0.25"/>
    <row r="23885" hidden="1" x14ac:dyDescent="0.25"/>
    <row r="23886" hidden="1" x14ac:dyDescent="0.25"/>
    <row r="23887" hidden="1" x14ac:dyDescent="0.25"/>
    <row r="23888" hidden="1" x14ac:dyDescent="0.25"/>
    <row r="23889" hidden="1" x14ac:dyDescent="0.25"/>
    <row r="23890" hidden="1" x14ac:dyDescent="0.25"/>
    <row r="23891" hidden="1" x14ac:dyDescent="0.25"/>
    <row r="23892" hidden="1" x14ac:dyDescent="0.25"/>
    <row r="23893" hidden="1" x14ac:dyDescent="0.25"/>
    <row r="23894" hidden="1" x14ac:dyDescent="0.25"/>
    <row r="23895" hidden="1" x14ac:dyDescent="0.25"/>
    <row r="23896" hidden="1" x14ac:dyDescent="0.25"/>
    <row r="23897" hidden="1" x14ac:dyDescent="0.25"/>
    <row r="23898" hidden="1" x14ac:dyDescent="0.25"/>
    <row r="23899" hidden="1" x14ac:dyDescent="0.25"/>
    <row r="23900" hidden="1" x14ac:dyDescent="0.25"/>
    <row r="23901" hidden="1" x14ac:dyDescent="0.25"/>
    <row r="23902" hidden="1" x14ac:dyDescent="0.25"/>
    <row r="23903" hidden="1" x14ac:dyDescent="0.25"/>
    <row r="23904" hidden="1" x14ac:dyDescent="0.25"/>
    <row r="23905" hidden="1" x14ac:dyDescent="0.25"/>
    <row r="23906" hidden="1" x14ac:dyDescent="0.25"/>
    <row r="23907" hidden="1" x14ac:dyDescent="0.25"/>
    <row r="23908" hidden="1" x14ac:dyDescent="0.25"/>
    <row r="23909" hidden="1" x14ac:dyDescent="0.25"/>
    <row r="23910" hidden="1" x14ac:dyDescent="0.25"/>
    <row r="23911" hidden="1" x14ac:dyDescent="0.25"/>
    <row r="23912" hidden="1" x14ac:dyDescent="0.25"/>
    <row r="23913" hidden="1" x14ac:dyDescent="0.25"/>
    <row r="23914" hidden="1" x14ac:dyDescent="0.25"/>
    <row r="23915" hidden="1" x14ac:dyDescent="0.25"/>
    <row r="23916" hidden="1" x14ac:dyDescent="0.25"/>
    <row r="23917" hidden="1" x14ac:dyDescent="0.25"/>
    <row r="23918" hidden="1" x14ac:dyDescent="0.25"/>
    <row r="23919" hidden="1" x14ac:dyDescent="0.25"/>
    <row r="23920" hidden="1" x14ac:dyDescent="0.25"/>
    <row r="23921" hidden="1" x14ac:dyDescent="0.25"/>
    <row r="23922" hidden="1" x14ac:dyDescent="0.25"/>
    <row r="23923" hidden="1" x14ac:dyDescent="0.25"/>
    <row r="23924" hidden="1" x14ac:dyDescent="0.25"/>
    <row r="23925" hidden="1" x14ac:dyDescent="0.25"/>
    <row r="23926" hidden="1" x14ac:dyDescent="0.25"/>
    <row r="23927" hidden="1" x14ac:dyDescent="0.25"/>
    <row r="23928" hidden="1" x14ac:dyDescent="0.25"/>
    <row r="23929" hidden="1" x14ac:dyDescent="0.25"/>
    <row r="23930" hidden="1" x14ac:dyDescent="0.25"/>
    <row r="23931" hidden="1" x14ac:dyDescent="0.25"/>
    <row r="23932" hidden="1" x14ac:dyDescent="0.25"/>
    <row r="23933" hidden="1" x14ac:dyDescent="0.25"/>
    <row r="23934" hidden="1" x14ac:dyDescent="0.25"/>
    <row r="23935" hidden="1" x14ac:dyDescent="0.25"/>
    <row r="23936" hidden="1" x14ac:dyDescent="0.25"/>
    <row r="23937" hidden="1" x14ac:dyDescent="0.25"/>
    <row r="23938" hidden="1" x14ac:dyDescent="0.25"/>
    <row r="23939" hidden="1" x14ac:dyDescent="0.25"/>
    <row r="23940" hidden="1" x14ac:dyDescent="0.25"/>
    <row r="23941" hidden="1" x14ac:dyDescent="0.25"/>
    <row r="23942" hidden="1" x14ac:dyDescent="0.25"/>
    <row r="23943" hidden="1" x14ac:dyDescent="0.25"/>
    <row r="23944" hidden="1" x14ac:dyDescent="0.25"/>
    <row r="23945" hidden="1" x14ac:dyDescent="0.25"/>
    <row r="23946" hidden="1" x14ac:dyDescent="0.25"/>
    <row r="23947" hidden="1" x14ac:dyDescent="0.25"/>
    <row r="23948" hidden="1" x14ac:dyDescent="0.25"/>
    <row r="23949" hidden="1" x14ac:dyDescent="0.25"/>
    <row r="23950" hidden="1" x14ac:dyDescent="0.25"/>
    <row r="23951" hidden="1" x14ac:dyDescent="0.25"/>
    <row r="23952" hidden="1" x14ac:dyDescent="0.25"/>
    <row r="23953" hidden="1" x14ac:dyDescent="0.25"/>
    <row r="23954" hidden="1" x14ac:dyDescent="0.25"/>
    <row r="23955" hidden="1" x14ac:dyDescent="0.25"/>
    <row r="23956" hidden="1" x14ac:dyDescent="0.25"/>
    <row r="23957" hidden="1" x14ac:dyDescent="0.25"/>
    <row r="23958" hidden="1" x14ac:dyDescent="0.25"/>
    <row r="23959" hidden="1" x14ac:dyDescent="0.25"/>
    <row r="23960" hidden="1" x14ac:dyDescent="0.25"/>
    <row r="23961" hidden="1" x14ac:dyDescent="0.25"/>
    <row r="23962" hidden="1" x14ac:dyDescent="0.25"/>
    <row r="23963" hidden="1" x14ac:dyDescent="0.25"/>
    <row r="23964" hidden="1" x14ac:dyDescent="0.25"/>
    <row r="23965" hidden="1" x14ac:dyDescent="0.25"/>
    <row r="23966" hidden="1" x14ac:dyDescent="0.25"/>
    <row r="23967" hidden="1" x14ac:dyDescent="0.25"/>
    <row r="23968" hidden="1" x14ac:dyDescent="0.25"/>
    <row r="23969" hidden="1" x14ac:dyDescent="0.25"/>
    <row r="23970" hidden="1" x14ac:dyDescent="0.25"/>
    <row r="23971" hidden="1" x14ac:dyDescent="0.25"/>
    <row r="23972" hidden="1" x14ac:dyDescent="0.25"/>
    <row r="23973" hidden="1" x14ac:dyDescent="0.25"/>
    <row r="23974" hidden="1" x14ac:dyDescent="0.25"/>
    <row r="23975" hidden="1" x14ac:dyDescent="0.25"/>
    <row r="23976" hidden="1" x14ac:dyDescent="0.25"/>
    <row r="23977" hidden="1" x14ac:dyDescent="0.25"/>
    <row r="23978" hidden="1" x14ac:dyDescent="0.25"/>
    <row r="23979" hidden="1" x14ac:dyDescent="0.25"/>
    <row r="23980" hidden="1" x14ac:dyDescent="0.25"/>
    <row r="23981" hidden="1" x14ac:dyDescent="0.25"/>
    <row r="23982" hidden="1" x14ac:dyDescent="0.25"/>
    <row r="23983" hidden="1" x14ac:dyDescent="0.25"/>
    <row r="23984" hidden="1" x14ac:dyDescent="0.25"/>
    <row r="23985" hidden="1" x14ac:dyDescent="0.25"/>
    <row r="23986" hidden="1" x14ac:dyDescent="0.25"/>
    <row r="23987" hidden="1" x14ac:dyDescent="0.25"/>
    <row r="23988" hidden="1" x14ac:dyDescent="0.25"/>
    <row r="23989" hidden="1" x14ac:dyDescent="0.25"/>
    <row r="23990" hidden="1" x14ac:dyDescent="0.25"/>
    <row r="23991" hidden="1" x14ac:dyDescent="0.25"/>
    <row r="23992" hidden="1" x14ac:dyDescent="0.25"/>
    <row r="23993" hidden="1" x14ac:dyDescent="0.25"/>
    <row r="23994" hidden="1" x14ac:dyDescent="0.25"/>
    <row r="23995" hidden="1" x14ac:dyDescent="0.25"/>
    <row r="23996" hidden="1" x14ac:dyDescent="0.25"/>
    <row r="23997" hidden="1" x14ac:dyDescent="0.25"/>
    <row r="23998" hidden="1" x14ac:dyDescent="0.25"/>
    <row r="23999" hidden="1" x14ac:dyDescent="0.25"/>
    <row r="24000" hidden="1" x14ac:dyDescent="0.25"/>
    <row r="24001" hidden="1" x14ac:dyDescent="0.25"/>
    <row r="24002" hidden="1" x14ac:dyDescent="0.25"/>
    <row r="24003" hidden="1" x14ac:dyDescent="0.25"/>
    <row r="24004" hidden="1" x14ac:dyDescent="0.25"/>
    <row r="24005" hidden="1" x14ac:dyDescent="0.25"/>
    <row r="24006" hidden="1" x14ac:dyDescent="0.25"/>
    <row r="24007" hidden="1" x14ac:dyDescent="0.25"/>
    <row r="24008" hidden="1" x14ac:dyDescent="0.25"/>
    <row r="24009" hidden="1" x14ac:dyDescent="0.25"/>
    <row r="24010" hidden="1" x14ac:dyDescent="0.25"/>
    <row r="24011" hidden="1" x14ac:dyDescent="0.25"/>
    <row r="24012" hidden="1" x14ac:dyDescent="0.25"/>
    <row r="24013" hidden="1" x14ac:dyDescent="0.25"/>
    <row r="24014" hidden="1" x14ac:dyDescent="0.25"/>
    <row r="24015" hidden="1" x14ac:dyDescent="0.25"/>
    <row r="24016" hidden="1" x14ac:dyDescent="0.25"/>
    <row r="24017" hidden="1" x14ac:dyDescent="0.25"/>
    <row r="24018" hidden="1" x14ac:dyDescent="0.25"/>
    <row r="24019" hidden="1" x14ac:dyDescent="0.25"/>
    <row r="24020" hidden="1" x14ac:dyDescent="0.25"/>
    <row r="24021" hidden="1" x14ac:dyDescent="0.25"/>
    <row r="24022" hidden="1" x14ac:dyDescent="0.25"/>
    <row r="24023" hidden="1" x14ac:dyDescent="0.25"/>
    <row r="24024" hidden="1" x14ac:dyDescent="0.25"/>
    <row r="24025" hidden="1" x14ac:dyDescent="0.25"/>
    <row r="24026" hidden="1" x14ac:dyDescent="0.25"/>
    <row r="24027" hidden="1" x14ac:dyDescent="0.25"/>
    <row r="24028" hidden="1" x14ac:dyDescent="0.25"/>
    <row r="24029" hidden="1" x14ac:dyDescent="0.25"/>
    <row r="24030" hidden="1" x14ac:dyDescent="0.25"/>
    <row r="24031" hidden="1" x14ac:dyDescent="0.25"/>
    <row r="24032" hidden="1" x14ac:dyDescent="0.25"/>
    <row r="24033" hidden="1" x14ac:dyDescent="0.25"/>
    <row r="24034" hidden="1" x14ac:dyDescent="0.25"/>
    <row r="24035" hidden="1" x14ac:dyDescent="0.25"/>
    <row r="24036" hidden="1" x14ac:dyDescent="0.25"/>
    <row r="24037" hidden="1" x14ac:dyDescent="0.25"/>
    <row r="24038" hidden="1" x14ac:dyDescent="0.25"/>
    <row r="24039" hidden="1" x14ac:dyDescent="0.25"/>
    <row r="24040" hidden="1" x14ac:dyDescent="0.25"/>
    <row r="24041" hidden="1" x14ac:dyDescent="0.25"/>
    <row r="24042" hidden="1" x14ac:dyDescent="0.25"/>
    <row r="24043" hidden="1" x14ac:dyDescent="0.25"/>
    <row r="24044" hidden="1" x14ac:dyDescent="0.25"/>
    <row r="24045" hidden="1" x14ac:dyDescent="0.25"/>
    <row r="24046" hidden="1" x14ac:dyDescent="0.25"/>
    <row r="24047" hidden="1" x14ac:dyDescent="0.25"/>
    <row r="24048" hidden="1" x14ac:dyDescent="0.25"/>
    <row r="24049" hidden="1" x14ac:dyDescent="0.25"/>
    <row r="24050" hidden="1" x14ac:dyDescent="0.25"/>
    <row r="24051" hidden="1" x14ac:dyDescent="0.25"/>
    <row r="24052" hidden="1" x14ac:dyDescent="0.25"/>
    <row r="24053" hidden="1" x14ac:dyDescent="0.25"/>
    <row r="24054" hidden="1" x14ac:dyDescent="0.25"/>
    <row r="24055" hidden="1" x14ac:dyDescent="0.25"/>
    <row r="24056" hidden="1" x14ac:dyDescent="0.25"/>
    <row r="24057" hidden="1" x14ac:dyDescent="0.25"/>
    <row r="24058" hidden="1" x14ac:dyDescent="0.25"/>
    <row r="24059" hidden="1" x14ac:dyDescent="0.25"/>
    <row r="24060" hidden="1" x14ac:dyDescent="0.25"/>
    <row r="24061" hidden="1" x14ac:dyDescent="0.25"/>
    <row r="24062" hidden="1" x14ac:dyDescent="0.25"/>
    <row r="24063" hidden="1" x14ac:dyDescent="0.25"/>
    <row r="24064" hidden="1" x14ac:dyDescent="0.25"/>
    <row r="24065" hidden="1" x14ac:dyDescent="0.25"/>
    <row r="24066" hidden="1" x14ac:dyDescent="0.25"/>
    <row r="24067" hidden="1" x14ac:dyDescent="0.25"/>
    <row r="24068" hidden="1" x14ac:dyDescent="0.25"/>
    <row r="24069" hidden="1" x14ac:dyDescent="0.25"/>
    <row r="24070" hidden="1" x14ac:dyDescent="0.25"/>
    <row r="24071" hidden="1" x14ac:dyDescent="0.25"/>
    <row r="24072" hidden="1" x14ac:dyDescent="0.25"/>
    <row r="24073" hidden="1" x14ac:dyDescent="0.25"/>
    <row r="24074" hidden="1" x14ac:dyDescent="0.25"/>
    <row r="24075" hidden="1" x14ac:dyDescent="0.25"/>
    <row r="24076" hidden="1" x14ac:dyDescent="0.25"/>
    <row r="24077" hidden="1" x14ac:dyDescent="0.25"/>
    <row r="24078" hidden="1" x14ac:dyDescent="0.25"/>
    <row r="24079" hidden="1" x14ac:dyDescent="0.25"/>
    <row r="24080" hidden="1" x14ac:dyDescent="0.25"/>
    <row r="24081" hidden="1" x14ac:dyDescent="0.25"/>
    <row r="24082" hidden="1" x14ac:dyDescent="0.25"/>
    <row r="24083" hidden="1" x14ac:dyDescent="0.25"/>
    <row r="24084" hidden="1" x14ac:dyDescent="0.25"/>
    <row r="24085" hidden="1" x14ac:dyDescent="0.25"/>
    <row r="24086" hidden="1" x14ac:dyDescent="0.25"/>
    <row r="24087" hidden="1" x14ac:dyDescent="0.25"/>
    <row r="24088" hidden="1" x14ac:dyDescent="0.25"/>
    <row r="24089" hidden="1" x14ac:dyDescent="0.25"/>
    <row r="24090" hidden="1" x14ac:dyDescent="0.25"/>
    <row r="24091" hidden="1" x14ac:dyDescent="0.25"/>
    <row r="24092" hidden="1" x14ac:dyDescent="0.25"/>
    <row r="24093" hidden="1" x14ac:dyDescent="0.25"/>
    <row r="24094" hidden="1" x14ac:dyDescent="0.25"/>
    <row r="24095" hidden="1" x14ac:dyDescent="0.25"/>
    <row r="24096" hidden="1" x14ac:dyDescent="0.25"/>
    <row r="24097" hidden="1" x14ac:dyDescent="0.25"/>
    <row r="24098" hidden="1" x14ac:dyDescent="0.25"/>
    <row r="24099" hidden="1" x14ac:dyDescent="0.25"/>
    <row r="24100" hidden="1" x14ac:dyDescent="0.25"/>
    <row r="24101" hidden="1" x14ac:dyDescent="0.25"/>
    <row r="24102" hidden="1" x14ac:dyDescent="0.25"/>
    <row r="24103" hidden="1" x14ac:dyDescent="0.25"/>
    <row r="24104" hidden="1" x14ac:dyDescent="0.25"/>
    <row r="24105" hidden="1" x14ac:dyDescent="0.25"/>
    <row r="24106" hidden="1" x14ac:dyDescent="0.25"/>
    <row r="24107" hidden="1" x14ac:dyDescent="0.25"/>
    <row r="24108" hidden="1" x14ac:dyDescent="0.25"/>
    <row r="24109" hidden="1" x14ac:dyDescent="0.25"/>
    <row r="24110" hidden="1" x14ac:dyDescent="0.25"/>
    <row r="24111" hidden="1" x14ac:dyDescent="0.25"/>
    <row r="24112" hidden="1" x14ac:dyDescent="0.25"/>
    <row r="24113" hidden="1" x14ac:dyDescent="0.25"/>
    <row r="24114" hidden="1" x14ac:dyDescent="0.25"/>
    <row r="24115" hidden="1" x14ac:dyDescent="0.25"/>
    <row r="24116" hidden="1" x14ac:dyDescent="0.25"/>
    <row r="24117" hidden="1" x14ac:dyDescent="0.25"/>
    <row r="24118" hidden="1" x14ac:dyDescent="0.25"/>
    <row r="24119" hidden="1" x14ac:dyDescent="0.25"/>
    <row r="24120" hidden="1" x14ac:dyDescent="0.25"/>
    <row r="24121" hidden="1" x14ac:dyDescent="0.25"/>
    <row r="24122" hidden="1" x14ac:dyDescent="0.25"/>
    <row r="24123" hidden="1" x14ac:dyDescent="0.25"/>
    <row r="24124" hidden="1" x14ac:dyDescent="0.25"/>
    <row r="24125" hidden="1" x14ac:dyDescent="0.25"/>
    <row r="24126" hidden="1" x14ac:dyDescent="0.25"/>
    <row r="24127" hidden="1" x14ac:dyDescent="0.25"/>
    <row r="24128" hidden="1" x14ac:dyDescent="0.25"/>
    <row r="24129" hidden="1" x14ac:dyDescent="0.25"/>
    <row r="24130" hidden="1" x14ac:dyDescent="0.25"/>
    <row r="24131" hidden="1" x14ac:dyDescent="0.25"/>
    <row r="24132" hidden="1" x14ac:dyDescent="0.25"/>
    <row r="24133" hidden="1" x14ac:dyDescent="0.25"/>
    <row r="24134" hidden="1" x14ac:dyDescent="0.25"/>
    <row r="24135" hidden="1" x14ac:dyDescent="0.25"/>
    <row r="24136" hidden="1" x14ac:dyDescent="0.25"/>
    <row r="24137" hidden="1" x14ac:dyDescent="0.25"/>
    <row r="24138" hidden="1" x14ac:dyDescent="0.25"/>
    <row r="24139" hidden="1" x14ac:dyDescent="0.25"/>
    <row r="24140" hidden="1" x14ac:dyDescent="0.25"/>
    <row r="24141" hidden="1" x14ac:dyDescent="0.25"/>
    <row r="24142" hidden="1" x14ac:dyDescent="0.25"/>
    <row r="24143" hidden="1" x14ac:dyDescent="0.25"/>
    <row r="24144" hidden="1" x14ac:dyDescent="0.25"/>
    <row r="24145" hidden="1" x14ac:dyDescent="0.25"/>
    <row r="24146" hidden="1" x14ac:dyDescent="0.25"/>
    <row r="24147" hidden="1" x14ac:dyDescent="0.25"/>
    <row r="24148" hidden="1" x14ac:dyDescent="0.25"/>
    <row r="24149" hidden="1" x14ac:dyDescent="0.25"/>
    <row r="24150" hidden="1" x14ac:dyDescent="0.25"/>
    <row r="24151" hidden="1" x14ac:dyDescent="0.25"/>
    <row r="24152" hidden="1" x14ac:dyDescent="0.25"/>
    <row r="24153" hidden="1" x14ac:dyDescent="0.25"/>
    <row r="24154" hidden="1" x14ac:dyDescent="0.25"/>
    <row r="24155" hidden="1" x14ac:dyDescent="0.25"/>
    <row r="24156" hidden="1" x14ac:dyDescent="0.25"/>
    <row r="24157" hidden="1" x14ac:dyDescent="0.25"/>
    <row r="24158" hidden="1" x14ac:dyDescent="0.25"/>
    <row r="24159" hidden="1" x14ac:dyDescent="0.25"/>
    <row r="24160" hidden="1" x14ac:dyDescent="0.25"/>
    <row r="24161" hidden="1" x14ac:dyDescent="0.25"/>
    <row r="24162" hidden="1" x14ac:dyDescent="0.25"/>
    <row r="24163" hidden="1" x14ac:dyDescent="0.25"/>
    <row r="24164" hidden="1" x14ac:dyDescent="0.25"/>
    <row r="24165" hidden="1" x14ac:dyDescent="0.25"/>
    <row r="24166" hidden="1" x14ac:dyDescent="0.25"/>
    <row r="24167" hidden="1" x14ac:dyDescent="0.25"/>
    <row r="24168" hidden="1" x14ac:dyDescent="0.25"/>
    <row r="24169" hidden="1" x14ac:dyDescent="0.25"/>
    <row r="24170" hidden="1" x14ac:dyDescent="0.25"/>
    <row r="24171" hidden="1" x14ac:dyDescent="0.25"/>
    <row r="24172" hidden="1" x14ac:dyDescent="0.25"/>
    <row r="24173" hidden="1" x14ac:dyDescent="0.25"/>
    <row r="24174" hidden="1" x14ac:dyDescent="0.25"/>
    <row r="24175" hidden="1" x14ac:dyDescent="0.25"/>
    <row r="24176" hidden="1" x14ac:dyDescent="0.25"/>
    <row r="24177" hidden="1" x14ac:dyDescent="0.25"/>
    <row r="24178" hidden="1" x14ac:dyDescent="0.25"/>
    <row r="24179" hidden="1" x14ac:dyDescent="0.25"/>
    <row r="24180" hidden="1" x14ac:dyDescent="0.25"/>
    <row r="24181" hidden="1" x14ac:dyDescent="0.25"/>
    <row r="24182" hidden="1" x14ac:dyDescent="0.25"/>
    <row r="24183" hidden="1" x14ac:dyDescent="0.25"/>
    <row r="24184" hidden="1" x14ac:dyDescent="0.25"/>
    <row r="24185" hidden="1" x14ac:dyDescent="0.25"/>
    <row r="24186" hidden="1" x14ac:dyDescent="0.25"/>
    <row r="24187" hidden="1" x14ac:dyDescent="0.25"/>
    <row r="24188" hidden="1" x14ac:dyDescent="0.25"/>
    <row r="24189" hidden="1" x14ac:dyDescent="0.25"/>
    <row r="24190" hidden="1" x14ac:dyDescent="0.25"/>
    <row r="24191" hidden="1" x14ac:dyDescent="0.25"/>
    <row r="24192" hidden="1" x14ac:dyDescent="0.25"/>
    <row r="24193" hidden="1" x14ac:dyDescent="0.25"/>
    <row r="24194" hidden="1" x14ac:dyDescent="0.25"/>
    <row r="24195" hidden="1" x14ac:dyDescent="0.25"/>
    <row r="24196" hidden="1" x14ac:dyDescent="0.25"/>
    <row r="24197" hidden="1" x14ac:dyDescent="0.25"/>
    <row r="24198" hidden="1" x14ac:dyDescent="0.25"/>
    <row r="24199" hidden="1" x14ac:dyDescent="0.25"/>
    <row r="24200" hidden="1" x14ac:dyDescent="0.25"/>
    <row r="24201" hidden="1" x14ac:dyDescent="0.25"/>
    <row r="24202" hidden="1" x14ac:dyDescent="0.25"/>
    <row r="24203" hidden="1" x14ac:dyDescent="0.25"/>
    <row r="24204" hidden="1" x14ac:dyDescent="0.25"/>
    <row r="24205" hidden="1" x14ac:dyDescent="0.25"/>
    <row r="24206" hidden="1" x14ac:dyDescent="0.25"/>
    <row r="24207" hidden="1" x14ac:dyDescent="0.25"/>
    <row r="24208" hidden="1" x14ac:dyDescent="0.25"/>
    <row r="24209" hidden="1" x14ac:dyDescent="0.25"/>
    <row r="24210" hidden="1" x14ac:dyDescent="0.25"/>
    <row r="24211" hidden="1" x14ac:dyDescent="0.25"/>
    <row r="24212" hidden="1" x14ac:dyDescent="0.25"/>
    <row r="24213" hidden="1" x14ac:dyDescent="0.25"/>
    <row r="24214" hidden="1" x14ac:dyDescent="0.25"/>
    <row r="24215" hidden="1" x14ac:dyDescent="0.25"/>
    <row r="24216" hidden="1" x14ac:dyDescent="0.25"/>
    <row r="24217" hidden="1" x14ac:dyDescent="0.25"/>
    <row r="24218" hidden="1" x14ac:dyDescent="0.25"/>
    <row r="24219" hidden="1" x14ac:dyDescent="0.25"/>
    <row r="24220" hidden="1" x14ac:dyDescent="0.25"/>
    <row r="24221" hidden="1" x14ac:dyDescent="0.25"/>
    <row r="24222" hidden="1" x14ac:dyDescent="0.25"/>
    <row r="24223" hidden="1" x14ac:dyDescent="0.25"/>
    <row r="24224" hidden="1" x14ac:dyDescent="0.25"/>
    <row r="24225" hidden="1" x14ac:dyDescent="0.25"/>
    <row r="24226" hidden="1" x14ac:dyDescent="0.25"/>
    <row r="24227" hidden="1" x14ac:dyDescent="0.25"/>
    <row r="24228" hidden="1" x14ac:dyDescent="0.25"/>
    <row r="24229" hidden="1" x14ac:dyDescent="0.25"/>
    <row r="24230" hidden="1" x14ac:dyDescent="0.25"/>
    <row r="24231" hidden="1" x14ac:dyDescent="0.25"/>
    <row r="24232" hidden="1" x14ac:dyDescent="0.25"/>
    <row r="24233" hidden="1" x14ac:dyDescent="0.25"/>
    <row r="24234" hidden="1" x14ac:dyDescent="0.25"/>
    <row r="24235" hidden="1" x14ac:dyDescent="0.25"/>
    <row r="24236" hidden="1" x14ac:dyDescent="0.25"/>
    <row r="24237" hidden="1" x14ac:dyDescent="0.25"/>
    <row r="24238" hidden="1" x14ac:dyDescent="0.25"/>
    <row r="24239" hidden="1" x14ac:dyDescent="0.25"/>
    <row r="24240" hidden="1" x14ac:dyDescent="0.25"/>
    <row r="24241" hidden="1" x14ac:dyDescent="0.25"/>
    <row r="24242" hidden="1" x14ac:dyDescent="0.25"/>
    <row r="24243" hidden="1" x14ac:dyDescent="0.25"/>
    <row r="24244" hidden="1" x14ac:dyDescent="0.25"/>
    <row r="24245" hidden="1" x14ac:dyDescent="0.25"/>
    <row r="24246" hidden="1" x14ac:dyDescent="0.25"/>
    <row r="24247" hidden="1" x14ac:dyDescent="0.25"/>
    <row r="24248" hidden="1" x14ac:dyDescent="0.25"/>
    <row r="24249" hidden="1" x14ac:dyDescent="0.25"/>
    <row r="24250" hidden="1" x14ac:dyDescent="0.25"/>
    <row r="24251" hidden="1" x14ac:dyDescent="0.25"/>
    <row r="24252" hidden="1" x14ac:dyDescent="0.25"/>
    <row r="24253" hidden="1" x14ac:dyDescent="0.25"/>
    <row r="24254" hidden="1" x14ac:dyDescent="0.25"/>
    <row r="24255" hidden="1" x14ac:dyDescent="0.25"/>
    <row r="24256" hidden="1" x14ac:dyDescent="0.25"/>
    <row r="24257" hidden="1" x14ac:dyDescent="0.25"/>
    <row r="24258" hidden="1" x14ac:dyDescent="0.25"/>
    <row r="24259" hidden="1" x14ac:dyDescent="0.25"/>
    <row r="24260" hidden="1" x14ac:dyDescent="0.25"/>
    <row r="24261" hidden="1" x14ac:dyDescent="0.25"/>
    <row r="24262" hidden="1" x14ac:dyDescent="0.25"/>
    <row r="24263" hidden="1" x14ac:dyDescent="0.25"/>
    <row r="24264" hidden="1" x14ac:dyDescent="0.25"/>
    <row r="24265" hidden="1" x14ac:dyDescent="0.25"/>
    <row r="24266" hidden="1" x14ac:dyDescent="0.25"/>
    <row r="24267" hidden="1" x14ac:dyDescent="0.25"/>
    <row r="24268" hidden="1" x14ac:dyDescent="0.25"/>
    <row r="24269" hidden="1" x14ac:dyDescent="0.25"/>
    <row r="24270" hidden="1" x14ac:dyDescent="0.25"/>
    <row r="24271" hidden="1" x14ac:dyDescent="0.25"/>
    <row r="24272" hidden="1" x14ac:dyDescent="0.25"/>
    <row r="24273" hidden="1" x14ac:dyDescent="0.25"/>
    <row r="24274" hidden="1" x14ac:dyDescent="0.25"/>
    <row r="24275" hidden="1" x14ac:dyDescent="0.25"/>
    <row r="24276" hidden="1" x14ac:dyDescent="0.25"/>
    <row r="24277" hidden="1" x14ac:dyDescent="0.25"/>
    <row r="24278" hidden="1" x14ac:dyDescent="0.25"/>
    <row r="24279" hidden="1" x14ac:dyDescent="0.25"/>
    <row r="24280" hidden="1" x14ac:dyDescent="0.25"/>
    <row r="24281" hidden="1" x14ac:dyDescent="0.25"/>
    <row r="24282" hidden="1" x14ac:dyDescent="0.25"/>
    <row r="24283" hidden="1" x14ac:dyDescent="0.25"/>
    <row r="24284" hidden="1" x14ac:dyDescent="0.25"/>
    <row r="24285" hidden="1" x14ac:dyDescent="0.25"/>
    <row r="24286" hidden="1" x14ac:dyDescent="0.25"/>
    <row r="24287" hidden="1" x14ac:dyDescent="0.25"/>
    <row r="24288" hidden="1" x14ac:dyDescent="0.25"/>
    <row r="24289" hidden="1" x14ac:dyDescent="0.25"/>
    <row r="24290" hidden="1" x14ac:dyDescent="0.25"/>
    <row r="24291" hidden="1" x14ac:dyDescent="0.25"/>
    <row r="24292" hidden="1" x14ac:dyDescent="0.25"/>
    <row r="24293" hidden="1" x14ac:dyDescent="0.25"/>
    <row r="24294" hidden="1" x14ac:dyDescent="0.25"/>
    <row r="24295" hidden="1" x14ac:dyDescent="0.25"/>
    <row r="24296" hidden="1" x14ac:dyDescent="0.25"/>
    <row r="24297" hidden="1" x14ac:dyDescent="0.25"/>
    <row r="24298" hidden="1" x14ac:dyDescent="0.25"/>
    <row r="24299" hidden="1" x14ac:dyDescent="0.25"/>
    <row r="24300" hidden="1" x14ac:dyDescent="0.25"/>
    <row r="24301" hidden="1" x14ac:dyDescent="0.25"/>
    <row r="24302" hidden="1" x14ac:dyDescent="0.25"/>
    <row r="24303" hidden="1" x14ac:dyDescent="0.25"/>
    <row r="24304" hidden="1" x14ac:dyDescent="0.25"/>
    <row r="24305" hidden="1" x14ac:dyDescent="0.25"/>
    <row r="24306" hidden="1" x14ac:dyDescent="0.25"/>
    <row r="24307" hidden="1" x14ac:dyDescent="0.25"/>
    <row r="24308" hidden="1" x14ac:dyDescent="0.25"/>
    <row r="24309" hidden="1" x14ac:dyDescent="0.25"/>
    <row r="24310" hidden="1" x14ac:dyDescent="0.25"/>
    <row r="24311" hidden="1" x14ac:dyDescent="0.25"/>
    <row r="24312" hidden="1" x14ac:dyDescent="0.25"/>
    <row r="24313" hidden="1" x14ac:dyDescent="0.25"/>
    <row r="24314" hidden="1" x14ac:dyDescent="0.25"/>
    <row r="24315" hidden="1" x14ac:dyDescent="0.25"/>
    <row r="24316" hidden="1" x14ac:dyDescent="0.25"/>
    <row r="24317" hidden="1" x14ac:dyDescent="0.25"/>
    <row r="24318" hidden="1" x14ac:dyDescent="0.25"/>
    <row r="24319" hidden="1" x14ac:dyDescent="0.25"/>
    <row r="24320" hidden="1" x14ac:dyDescent="0.25"/>
    <row r="24321" hidden="1" x14ac:dyDescent="0.25"/>
    <row r="24322" hidden="1" x14ac:dyDescent="0.25"/>
    <row r="24323" hidden="1" x14ac:dyDescent="0.25"/>
    <row r="24324" hidden="1" x14ac:dyDescent="0.25"/>
    <row r="24325" hidden="1" x14ac:dyDescent="0.25"/>
    <row r="24326" hidden="1" x14ac:dyDescent="0.25"/>
    <row r="24327" hidden="1" x14ac:dyDescent="0.25"/>
    <row r="24328" hidden="1" x14ac:dyDescent="0.25"/>
    <row r="24329" hidden="1" x14ac:dyDescent="0.25"/>
    <row r="24330" hidden="1" x14ac:dyDescent="0.25"/>
    <row r="24331" hidden="1" x14ac:dyDescent="0.25"/>
    <row r="24332" hidden="1" x14ac:dyDescent="0.25"/>
    <row r="24333" hidden="1" x14ac:dyDescent="0.25"/>
    <row r="24334" hidden="1" x14ac:dyDescent="0.25"/>
    <row r="24335" hidden="1" x14ac:dyDescent="0.25"/>
    <row r="24336" hidden="1" x14ac:dyDescent="0.25"/>
    <row r="24337" hidden="1" x14ac:dyDescent="0.25"/>
    <row r="24338" hidden="1" x14ac:dyDescent="0.25"/>
    <row r="24339" hidden="1" x14ac:dyDescent="0.25"/>
    <row r="24340" hidden="1" x14ac:dyDescent="0.25"/>
    <row r="24341" hidden="1" x14ac:dyDescent="0.25"/>
    <row r="24342" hidden="1" x14ac:dyDescent="0.25"/>
    <row r="24343" hidden="1" x14ac:dyDescent="0.25"/>
    <row r="24344" hidden="1" x14ac:dyDescent="0.25"/>
    <row r="24345" hidden="1" x14ac:dyDescent="0.25"/>
    <row r="24346" hidden="1" x14ac:dyDescent="0.25"/>
    <row r="24347" hidden="1" x14ac:dyDescent="0.25"/>
    <row r="24348" hidden="1" x14ac:dyDescent="0.25"/>
    <row r="24349" hidden="1" x14ac:dyDescent="0.25"/>
    <row r="24350" hidden="1" x14ac:dyDescent="0.25"/>
    <row r="24351" hidden="1" x14ac:dyDescent="0.25"/>
    <row r="24352" hidden="1" x14ac:dyDescent="0.25"/>
    <row r="24353" hidden="1" x14ac:dyDescent="0.25"/>
    <row r="24354" hidden="1" x14ac:dyDescent="0.25"/>
    <row r="24355" hidden="1" x14ac:dyDescent="0.25"/>
    <row r="24356" hidden="1" x14ac:dyDescent="0.25"/>
    <row r="24357" hidden="1" x14ac:dyDescent="0.25"/>
    <row r="24358" hidden="1" x14ac:dyDescent="0.25"/>
    <row r="24359" hidden="1" x14ac:dyDescent="0.25"/>
    <row r="24360" hidden="1" x14ac:dyDescent="0.25"/>
    <row r="24361" hidden="1" x14ac:dyDescent="0.25"/>
    <row r="24362" hidden="1" x14ac:dyDescent="0.25"/>
    <row r="24363" hidden="1" x14ac:dyDescent="0.25"/>
    <row r="24364" hidden="1" x14ac:dyDescent="0.25"/>
    <row r="24365" hidden="1" x14ac:dyDescent="0.25"/>
    <row r="24366" hidden="1" x14ac:dyDescent="0.25"/>
    <row r="24367" hidden="1" x14ac:dyDescent="0.25"/>
    <row r="24368" hidden="1" x14ac:dyDescent="0.25"/>
    <row r="24369" hidden="1" x14ac:dyDescent="0.25"/>
    <row r="24370" hidden="1" x14ac:dyDescent="0.25"/>
    <row r="24371" hidden="1" x14ac:dyDescent="0.25"/>
    <row r="24372" hidden="1" x14ac:dyDescent="0.25"/>
    <row r="24373" hidden="1" x14ac:dyDescent="0.25"/>
    <row r="24374" hidden="1" x14ac:dyDescent="0.25"/>
    <row r="24375" hidden="1" x14ac:dyDescent="0.25"/>
    <row r="24376" hidden="1" x14ac:dyDescent="0.25"/>
    <row r="24377" hidden="1" x14ac:dyDescent="0.25"/>
    <row r="24378" hidden="1" x14ac:dyDescent="0.25"/>
    <row r="24379" hidden="1" x14ac:dyDescent="0.25"/>
    <row r="24380" hidden="1" x14ac:dyDescent="0.25"/>
    <row r="24381" hidden="1" x14ac:dyDescent="0.25"/>
    <row r="24382" hidden="1" x14ac:dyDescent="0.25"/>
    <row r="24383" hidden="1" x14ac:dyDescent="0.25"/>
    <row r="24384" hidden="1" x14ac:dyDescent="0.25"/>
    <row r="24385" hidden="1" x14ac:dyDescent="0.25"/>
    <row r="24386" hidden="1" x14ac:dyDescent="0.25"/>
    <row r="24387" hidden="1" x14ac:dyDescent="0.25"/>
    <row r="24388" hidden="1" x14ac:dyDescent="0.25"/>
    <row r="24389" hidden="1" x14ac:dyDescent="0.25"/>
    <row r="24390" hidden="1" x14ac:dyDescent="0.25"/>
    <row r="24391" hidden="1" x14ac:dyDescent="0.25"/>
    <row r="24392" hidden="1" x14ac:dyDescent="0.25"/>
    <row r="24393" hidden="1" x14ac:dyDescent="0.25"/>
    <row r="24394" hidden="1" x14ac:dyDescent="0.25"/>
    <row r="24395" hidden="1" x14ac:dyDescent="0.25"/>
    <row r="24396" hidden="1" x14ac:dyDescent="0.25"/>
    <row r="24397" hidden="1" x14ac:dyDescent="0.25"/>
    <row r="24398" hidden="1" x14ac:dyDescent="0.25"/>
    <row r="24399" hidden="1" x14ac:dyDescent="0.25"/>
    <row r="24400" hidden="1" x14ac:dyDescent="0.25"/>
    <row r="24401" hidden="1" x14ac:dyDescent="0.25"/>
    <row r="24402" hidden="1" x14ac:dyDescent="0.25"/>
    <row r="24403" hidden="1" x14ac:dyDescent="0.25"/>
    <row r="24404" hidden="1" x14ac:dyDescent="0.25"/>
    <row r="24405" hidden="1" x14ac:dyDescent="0.25"/>
    <row r="24406" hidden="1" x14ac:dyDescent="0.25"/>
    <row r="24407" hidden="1" x14ac:dyDescent="0.25"/>
    <row r="24408" hidden="1" x14ac:dyDescent="0.25"/>
    <row r="24409" hidden="1" x14ac:dyDescent="0.25"/>
    <row r="24410" hidden="1" x14ac:dyDescent="0.25"/>
    <row r="24411" hidden="1" x14ac:dyDescent="0.25"/>
    <row r="24412" hidden="1" x14ac:dyDescent="0.25"/>
    <row r="24413" hidden="1" x14ac:dyDescent="0.25"/>
    <row r="24414" hidden="1" x14ac:dyDescent="0.25"/>
    <row r="24415" hidden="1" x14ac:dyDescent="0.25"/>
    <row r="24416" hidden="1" x14ac:dyDescent="0.25"/>
    <row r="24417" hidden="1" x14ac:dyDescent="0.25"/>
    <row r="24418" hidden="1" x14ac:dyDescent="0.25"/>
    <row r="24419" hidden="1" x14ac:dyDescent="0.25"/>
    <row r="24420" hidden="1" x14ac:dyDescent="0.25"/>
    <row r="24421" hidden="1" x14ac:dyDescent="0.25"/>
    <row r="24422" hidden="1" x14ac:dyDescent="0.25"/>
    <row r="24423" hidden="1" x14ac:dyDescent="0.25"/>
    <row r="24424" hidden="1" x14ac:dyDescent="0.25"/>
    <row r="24425" hidden="1" x14ac:dyDescent="0.25"/>
    <row r="24426" hidden="1" x14ac:dyDescent="0.25"/>
    <row r="24427" hidden="1" x14ac:dyDescent="0.25"/>
    <row r="24428" hidden="1" x14ac:dyDescent="0.25"/>
    <row r="24429" hidden="1" x14ac:dyDescent="0.25"/>
    <row r="24430" hidden="1" x14ac:dyDescent="0.25"/>
    <row r="24431" hidden="1" x14ac:dyDescent="0.25"/>
    <row r="24432" hidden="1" x14ac:dyDescent="0.25"/>
    <row r="24433" hidden="1" x14ac:dyDescent="0.25"/>
    <row r="24434" hidden="1" x14ac:dyDescent="0.25"/>
    <row r="24435" hidden="1" x14ac:dyDescent="0.25"/>
    <row r="24436" hidden="1" x14ac:dyDescent="0.25"/>
    <row r="24437" hidden="1" x14ac:dyDescent="0.25"/>
    <row r="24438" hidden="1" x14ac:dyDescent="0.25"/>
    <row r="24439" hidden="1" x14ac:dyDescent="0.25"/>
    <row r="24440" hidden="1" x14ac:dyDescent="0.25"/>
    <row r="24441" hidden="1" x14ac:dyDescent="0.25"/>
    <row r="24442" hidden="1" x14ac:dyDescent="0.25"/>
    <row r="24443" hidden="1" x14ac:dyDescent="0.25"/>
    <row r="24444" hidden="1" x14ac:dyDescent="0.25"/>
    <row r="24445" hidden="1" x14ac:dyDescent="0.25"/>
    <row r="24446" hidden="1" x14ac:dyDescent="0.25"/>
    <row r="24447" hidden="1" x14ac:dyDescent="0.25"/>
    <row r="24448" hidden="1" x14ac:dyDescent="0.25"/>
    <row r="24449" hidden="1" x14ac:dyDescent="0.25"/>
    <row r="24450" hidden="1" x14ac:dyDescent="0.25"/>
    <row r="24451" hidden="1" x14ac:dyDescent="0.25"/>
    <row r="24452" hidden="1" x14ac:dyDescent="0.25"/>
    <row r="24453" hidden="1" x14ac:dyDescent="0.25"/>
    <row r="24454" hidden="1" x14ac:dyDescent="0.25"/>
    <row r="24455" hidden="1" x14ac:dyDescent="0.25"/>
    <row r="24456" hidden="1" x14ac:dyDescent="0.25"/>
    <row r="24457" hidden="1" x14ac:dyDescent="0.25"/>
    <row r="24458" hidden="1" x14ac:dyDescent="0.25"/>
    <row r="24459" hidden="1" x14ac:dyDescent="0.25"/>
    <row r="24460" hidden="1" x14ac:dyDescent="0.25"/>
    <row r="24461" hidden="1" x14ac:dyDescent="0.25"/>
    <row r="24462" hidden="1" x14ac:dyDescent="0.25"/>
    <row r="24463" hidden="1" x14ac:dyDescent="0.25"/>
    <row r="24464" hidden="1" x14ac:dyDescent="0.25"/>
    <row r="24465" hidden="1" x14ac:dyDescent="0.25"/>
    <row r="24466" hidden="1" x14ac:dyDescent="0.25"/>
    <row r="24467" hidden="1" x14ac:dyDescent="0.25"/>
    <row r="24468" hidden="1" x14ac:dyDescent="0.25"/>
    <row r="24469" hidden="1" x14ac:dyDescent="0.25"/>
    <row r="24470" hidden="1" x14ac:dyDescent="0.25"/>
    <row r="24471" hidden="1" x14ac:dyDescent="0.25"/>
    <row r="24472" hidden="1" x14ac:dyDescent="0.25"/>
    <row r="24473" hidden="1" x14ac:dyDescent="0.25"/>
    <row r="24474" hidden="1" x14ac:dyDescent="0.25"/>
    <row r="24475" hidden="1" x14ac:dyDescent="0.25"/>
    <row r="24476" hidden="1" x14ac:dyDescent="0.25"/>
    <row r="24477" hidden="1" x14ac:dyDescent="0.25"/>
    <row r="24478" hidden="1" x14ac:dyDescent="0.25"/>
    <row r="24479" hidden="1" x14ac:dyDescent="0.25"/>
    <row r="24480" hidden="1" x14ac:dyDescent="0.25"/>
    <row r="24481" hidden="1" x14ac:dyDescent="0.25"/>
    <row r="24482" hidden="1" x14ac:dyDescent="0.25"/>
    <row r="24483" hidden="1" x14ac:dyDescent="0.25"/>
    <row r="24484" hidden="1" x14ac:dyDescent="0.25"/>
    <row r="24485" hidden="1" x14ac:dyDescent="0.25"/>
    <row r="24486" hidden="1" x14ac:dyDescent="0.25"/>
    <row r="24487" hidden="1" x14ac:dyDescent="0.25"/>
    <row r="24488" hidden="1" x14ac:dyDescent="0.25"/>
    <row r="24489" hidden="1" x14ac:dyDescent="0.25"/>
    <row r="24490" hidden="1" x14ac:dyDescent="0.25"/>
    <row r="24491" hidden="1" x14ac:dyDescent="0.25"/>
    <row r="24492" hidden="1" x14ac:dyDescent="0.25"/>
    <row r="24493" hidden="1" x14ac:dyDescent="0.25"/>
    <row r="24494" hidden="1" x14ac:dyDescent="0.25"/>
    <row r="24495" hidden="1" x14ac:dyDescent="0.25"/>
    <row r="24496" hidden="1" x14ac:dyDescent="0.25"/>
    <row r="24497" hidden="1" x14ac:dyDescent="0.25"/>
    <row r="24498" hidden="1" x14ac:dyDescent="0.25"/>
    <row r="24499" hidden="1" x14ac:dyDescent="0.25"/>
    <row r="24500" hidden="1" x14ac:dyDescent="0.25"/>
    <row r="24501" hidden="1" x14ac:dyDescent="0.25"/>
    <row r="24502" hidden="1" x14ac:dyDescent="0.25"/>
    <row r="24503" hidden="1" x14ac:dyDescent="0.25"/>
    <row r="24504" hidden="1" x14ac:dyDescent="0.25"/>
    <row r="24505" hidden="1" x14ac:dyDescent="0.25"/>
    <row r="24506" hidden="1" x14ac:dyDescent="0.25"/>
    <row r="24507" hidden="1" x14ac:dyDescent="0.25"/>
    <row r="24508" hidden="1" x14ac:dyDescent="0.25"/>
    <row r="24509" hidden="1" x14ac:dyDescent="0.25"/>
    <row r="24510" hidden="1" x14ac:dyDescent="0.25"/>
    <row r="24511" hidden="1" x14ac:dyDescent="0.25"/>
    <row r="24512" hidden="1" x14ac:dyDescent="0.25"/>
    <row r="24513" hidden="1" x14ac:dyDescent="0.25"/>
    <row r="24514" hidden="1" x14ac:dyDescent="0.25"/>
    <row r="24515" hidden="1" x14ac:dyDescent="0.25"/>
    <row r="24516" hidden="1" x14ac:dyDescent="0.25"/>
    <row r="24517" hidden="1" x14ac:dyDescent="0.25"/>
    <row r="24518" hidden="1" x14ac:dyDescent="0.25"/>
    <row r="24519" hidden="1" x14ac:dyDescent="0.25"/>
    <row r="24520" hidden="1" x14ac:dyDescent="0.25"/>
    <row r="24521" hidden="1" x14ac:dyDescent="0.25"/>
    <row r="24522" hidden="1" x14ac:dyDescent="0.25"/>
    <row r="24523" hidden="1" x14ac:dyDescent="0.25"/>
    <row r="24524" hidden="1" x14ac:dyDescent="0.25"/>
    <row r="24525" hidden="1" x14ac:dyDescent="0.25"/>
    <row r="24526" hidden="1" x14ac:dyDescent="0.25"/>
    <row r="24527" hidden="1" x14ac:dyDescent="0.25"/>
    <row r="24528" hidden="1" x14ac:dyDescent="0.25"/>
    <row r="24529" hidden="1" x14ac:dyDescent="0.25"/>
    <row r="24530" hidden="1" x14ac:dyDescent="0.25"/>
    <row r="24531" hidden="1" x14ac:dyDescent="0.25"/>
    <row r="24532" hidden="1" x14ac:dyDescent="0.25"/>
    <row r="24533" hidden="1" x14ac:dyDescent="0.25"/>
    <row r="24534" hidden="1" x14ac:dyDescent="0.25"/>
    <row r="24535" hidden="1" x14ac:dyDescent="0.25"/>
    <row r="24536" hidden="1" x14ac:dyDescent="0.25"/>
    <row r="24537" hidden="1" x14ac:dyDescent="0.25"/>
    <row r="24538" hidden="1" x14ac:dyDescent="0.25"/>
    <row r="24539" hidden="1" x14ac:dyDescent="0.25"/>
    <row r="24540" hidden="1" x14ac:dyDescent="0.25"/>
    <row r="24541" hidden="1" x14ac:dyDescent="0.25"/>
    <row r="24542" hidden="1" x14ac:dyDescent="0.25"/>
    <row r="24543" hidden="1" x14ac:dyDescent="0.25"/>
    <row r="24544" hidden="1" x14ac:dyDescent="0.25"/>
    <row r="24545" hidden="1" x14ac:dyDescent="0.25"/>
    <row r="24546" hidden="1" x14ac:dyDescent="0.25"/>
    <row r="24547" hidden="1" x14ac:dyDescent="0.25"/>
    <row r="24548" hidden="1" x14ac:dyDescent="0.25"/>
    <row r="24549" hidden="1" x14ac:dyDescent="0.25"/>
    <row r="24550" hidden="1" x14ac:dyDescent="0.25"/>
    <row r="24551" hidden="1" x14ac:dyDescent="0.25"/>
    <row r="24552" hidden="1" x14ac:dyDescent="0.25"/>
    <row r="24553" hidden="1" x14ac:dyDescent="0.25"/>
    <row r="24554" hidden="1" x14ac:dyDescent="0.25"/>
    <row r="24555" hidden="1" x14ac:dyDescent="0.25"/>
    <row r="24556" hidden="1" x14ac:dyDescent="0.25"/>
    <row r="24557" hidden="1" x14ac:dyDescent="0.25"/>
    <row r="24558" hidden="1" x14ac:dyDescent="0.25"/>
    <row r="24559" hidden="1" x14ac:dyDescent="0.25"/>
    <row r="24560" hidden="1" x14ac:dyDescent="0.25"/>
    <row r="24561" hidden="1" x14ac:dyDescent="0.25"/>
    <row r="24562" hidden="1" x14ac:dyDescent="0.25"/>
    <row r="24563" hidden="1" x14ac:dyDescent="0.25"/>
    <row r="24564" hidden="1" x14ac:dyDescent="0.25"/>
    <row r="24565" hidden="1" x14ac:dyDescent="0.25"/>
    <row r="24566" hidden="1" x14ac:dyDescent="0.25"/>
    <row r="24567" hidden="1" x14ac:dyDescent="0.25"/>
    <row r="24568" hidden="1" x14ac:dyDescent="0.25"/>
    <row r="24569" hidden="1" x14ac:dyDescent="0.25"/>
    <row r="24570" hidden="1" x14ac:dyDescent="0.25"/>
    <row r="24571" hidden="1" x14ac:dyDescent="0.25"/>
    <row r="24572" hidden="1" x14ac:dyDescent="0.25"/>
    <row r="24573" hidden="1" x14ac:dyDescent="0.25"/>
    <row r="24574" hidden="1" x14ac:dyDescent="0.25"/>
    <row r="24575" hidden="1" x14ac:dyDescent="0.25"/>
    <row r="24576" hidden="1" x14ac:dyDescent="0.25"/>
    <row r="24577" hidden="1" x14ac:dyDescent="0.25"/>
    <row r="24578" hidden="1" x14ac:dyDescent="0.25"/>
    <row r="24579" hidden="1" x14ac:dyDescent="0.25"/>
    <row r="24580" hidden="1" x14ac:dyDescent="0.25"/>
    <row r="24581" hidden="1" x14ac:dyDescent="0.25"/>
    <row r="24582" hidden="1" x14ac:dyDescent="0.25"/>
    <row r="24583" hidden="1" x14ac:dyDescent="0.25"/>
    <row r="24584" hidden="1" x14ac:dyDescent="0.25"/>
    <row r="24585" hidden="1" x14ac:dyDescent="0.25"/>
    <row r="24586" hidden="1" x14ac:dyDescent="0.25"/>
    <row r="24587" hidden="1" x14ac:dyDescent="0.25"/>
    <row r="24588" hidden="1" x14ac:dyDescent="0.25"/>
    <row r="24589" hidden="1" x14ac:dyDescent="0.25"/>
    <row r="24590" hidden="1" x14ac:dyDescent="0.25"/>
    <row r="24591" hidden="1" x14ac:dyDescent="0.25"/>
    <row r="24592" hidden="1" x14ac:dyDescent="0.25"/>
    <row r="24593" hidden="1" x14ac:dyDescent="0.25"/>
    <row r="24594" hidden="1" x14ac:dyDescent="0.25"/>
    <row r="24595" hidden="1" x14ac:dyDescent="0.25"/>
    <row r="24596" hidden="1" x14ac:dyDescent="0.25"/>
    <row r="24597" hidden="1" x14ac:dyDescent="0.25"/>
    <row r="24598" hidden="1" x14ac:dyDescent="0.25"/>
    <row r="24599" hidden="1" x14ac:dyDescent="0.25"/>
    <row r="24600" hidden="1" x14ac:dyDescent="0.25"/>
    <row r="24601" hidden="1" x14ac:dyDescent="0.25"/>
    <row r="24602" hidden="1" x14ac:dyDescent="0.25"/>
    <row r="24603" hidden="1" x14ac:dyDescent="0.25"/>
    <row r="24604" hidden="1" x14ac:dyDescent="0.25"/>
    <row r="24605" hidden="1" x14ac:dyDescent="0.25"/>
    <row r="24606" hidden="1" x14ac:dyDescent="0.25"/>
    <row r="24607" hidden="1" x14ac:dyDescent="0.25"/>
    <row r="24608" hidden="1" x14ac:dyDescent="0.25"/>
    <row r="24609" hidden="1" x14ac:dyDescent="0.25"/>
    <row r="24610" hidden="1" x14ac:dyDescent="0.25"/>
    <row r="24611" hidden="1" x14ac:dyDescent="0.25"/>
    <row r="24612" hidden="1" x14ac:dyDescent="0.25"/>
    <row r="24613" hidden="1" x14ac:dyDescent="0.25"/>
    <row r="24614" hidden="1" x14ac:dyDescent="0.25"/>
    <row r="24615" hidden="1" x14ac:dyDescent="0.25"/>
    <row r="24616" hidden="1" x14ac:dyDescent="0.25"/>
    <row r="24617" hidden="1" x14ac:dyDescent="0.25"/>
    <row r="24618" hidden="1" x14ac:dyDescent="0.25"/>
    <row r="24619" hidden="1" x14ac:dyDescent="0.25"/>
    <row r="24620" hidden="1" x14ac:dyDescent="0.25"/>
    <row r="24621" hidden="1" x14ac:dyDescent="0.25"/>
    <row r="24622" hidden="1" x14ac:dyDescent="0.25"/>
    <row r="24623" hidden="1" x14ac:dyDescent="0.25"/>
    <row r="24624" hidden="1" x14ac:dyDescent="0.25"/>
    <row r="24625" hidden="1" x14ac:dyDescent="0.25"/>
    <row r="24626" hidden="1" x14ac:dyDescent="0.25"/>
    <row r="24627" hidden="1" x14ac:dyDescent="0.25"/>
    <row r="24628" hidden="1" x14ac:dyDescent="0.25"/>
    <row r="24629" hidden="1" x14ac:dyDescent="0.25"/>
    <row r="24630" hidden="1" x14ac:dyDescent="0.25"/>
    <row r="24631" hidden="1" x14ac:dyDescent="0.25"/>
    <row r="24632" hidden="1" x14ac:dyDescent="0.25"/>
    <row r="24633" hidden="1" x14ac:dyDescent="0.25"/>
    <row r="24634" hidden="1" x14ac:dyDescent="0.25"/>
    <row r="24635" hidden="1" x14ac:dyDescent="0.25"/>
    <row r="24636" hidden="1" x14ac:dyDescent="0.25"/>
    <row r="24637" hidden="1" x14ac:dyDescent="0.25"/>
    <row r="24638" hidden="1" x14ac:dyDescent="0.25"/>
    <row r="24639" hidden="1" x14ac:dyDescent="0.25"/>
    <row r="24640" hidden="1" x14ac:dyDescent="0.25"/>
    <row r="24641" hidden="1" x14ac:dyDescent="0.25"/>
    <row r="24642" hidden="1" x14ac:dyDescent="0.25"/>
    <row r="24643" hidden="1" x14ac:dyDescent="0.25"/>
    <row r="24644" hidden="1" x14ac:dyDescent="0.25"/>
    <row r="24645" hidden="1" x14ac:dyDescent="0.25"/>
    <row r="24646" hidden="1" x14ac:dyDescent="0.25"/>
    <row r="24647" hidden="1" x14ac:dyDescent="0.25"/>
    <row r="24648" hidden="1" x14ac:dyDescent="0.25"/>
    <row r="24649" hidden="1" x14ac:dyDescent="0.25"/>
    <row r="24650" hidden="1" x14ac:dyDescent="0.25"/>
    <row r="24651" hidden="1" x14ac:dyDescent="0.25"/>
    <row r="24652" hidden="1" x14ac:dyDescent="0.25"/>
    <row r="24653" hidden="1" x14ac:dyDescent="0.25"/>
    <row r="24654" hidden="1" x14ac:dyDescent="0.25"/>
    <row r="24655" hidden="1" x14ac:dyDescent="0.25"/>
    <row r="24656" hidden="1" x14ac:dyDescent="0.25"/>
    <row r="24657" hidden="1" x14ac:dyDescent="0.25"/>
    <row r="24658" hidden="1" x14ac:dyDescent="0.25"/>
    <row r="24659" hidden="1" x14ac:dyDescent="0.25"/>
    <row r="24660" hidden="1" x14ac:dyDescent="0.25"/>
    <row r="24661" hidden="1" x14ac:dyDescent="0.25"/>
    <row r="24662" hidden="1" x14ac:dyDescent="0.25"/>
    <row r="24663" hidden="1" x14ac:dyDescent="0.25"/>
    <row r="24664" hidden="1" x14ac:dyDescent="0.25"/>
    <row r="24665" hidden="1" x14ac:dyDescent="0.25"/>
    <row r="24666" hidden="1" x14ac:dyDescent="0.25"/>
    <row r="24667" hidden="1" x14ac:dyDescent="0.25"/>
    <row r="24668" hidden="1" x14ac:dyDescent="0.25"/>
    <row r="24669" hidden="1" x14ac:dyDescent="0.25"/>
    <row r="24670" hidden="1" x14ac:dyDescent="0.25"/>
    <row r="24671" hidden="1" x14ac:dyDescent="0.25"/>
    <row r="24672" hidden="1" x14ac:dyDescent="0.25"/>
    <row r="24673" hidden="1" x14ac:dyDescent="0.25"/>
    <row r="24674" hidden="1" x14ac:dyDescent="0.25"/>
    <row r="24675" hidden="1" x14ac:dyDescent="0.25"/>
    <row r="24676" hidden="1" x14ac:dyDescent="0.25"/>
    <row r="24677" hidden="1" x14ac:dyDescent="0.25"/>
    <row r="24678" hidden="1" x14ac:dyDescent="0.25"/>
    <row r="24679" hidden="1" x14ac:dyDescent="0.25"/>
    <row r="24680" hidden="1" x14ac:dyDescent="0.25"/>
    <row r="24681" hidden="1" x14ac:dyDescent="0.25"/>
    <row r="24682" hidden="1" x14ac:dyDescent="0.25"/>
    <row r="24683" hidden="1" x14ac:dyDescent="0.25"/>
    <row r="24684" hidden="1" x14ac:dyDescent="0.25"/>
    <row r="24685" hidden="1" x14ac:dyDescent="0.25"/>
    <row r="24686" hidden="1" x14ac:dyDescent="0.25"/>
    <row r="24687" hidden="1" x14ac:dyDescent="0.25"/>
    <row r="24688" hidden="1" x14ac:dyDescent="0.25"/>
    <row r="24689" hidden="1" x14ac:dyDescent="0.25"/>
    <row r="24690" hidden="1" x14ac:dyDescent="0.25"/>
    <row r="24691" hidden="1" x14ac:dyDescent="0.25"/>
    <row r="24692" hidden="1" x14ac:dyDescent="0.25"/>
    <row r="24693" hidden="1" x14ac:dyDescent="0.25"/>
    <row r="24694" hidden="1" x14ac:dyDescent="0.25"/>
    <row r="24695" hidden="1" x14ac:dyDescent="0.25"/>
    <row r="24696" hidden="1" x14ac:dyDescent="0.25"/>
    <row r="24697" hidden="1" x14ac:dyDescent="0.25"/>
    <row r="24698" hidden="1" x14ac:dyDescent="0.25"/>
    <row r="24699" hidden="1" x14ac:dyDescent="0.25"/>
    <row r="24700" hidden="1" x14ac:dyDescent="0.25"/>
    <row r="24701" hidden="1" x14ac:dyDescent="0.25"/>
    <row r="24702" hidden="1" x14ac:dyDescent="0.25"/>
    <row r="24703" hidden="1" x14ac:dyDescent="0.25"/>
    <row r="24704" hidden="1" x14ac:dyDescent="0.25"/>
    <row r="24705" hidden="1" x14ac:dyDescent="0.25"/>
    <row r="24706" hidden="1" x14ac:dyDescent="0.25"/>
    <row r="24707" hidden="1" x14ac:dyDescent="0.25"/>
    <row r="24708" hidden="1" x14ac:dyDescent="0.25"/>
    <row r="24709" hidden="1" x14ac:dyDescent="0.25"/>
    <row r="24710" hidden="1" x14ac:dyDescent="0.25"/>
    <row r="24711" hidden="1" x14ac:dyDescent="0.25"/>
    <row r="24712" hidden="1" x14ac:dyDescent="0.25"/>
    <row r="24713" hidden="1" x14ac:dyDescent="0.25"/>
    <row r="24714" hidden="1" x14ac:dyDescent="0.25"/>
    <row r="24715" hidden="1" x14ac:dyDescent="0.25"/>
    <row r="24716" hidden="1" x14ac:dyDescent="0.25"/>
    <row r="24717" hidden="1" x14ac:dyDescent="0.25"/>
    <row r="24718" hidden="1" x14ac:dyDescent="0.25"/>
    <row r="24719" hidden="1" x14ac:dyDescent="0.25"/>
    <row r="24720" hidden="1" x14ac:dyDescent="0.25"/>
    <row r="24721" hidden="1" x14ac:dyDescent="0.25"/>
    <row r="24722" hidden="1" x14ac:dyDescent="0.25"/>
    <row r="24723" hidden="1" x14ac:dyDescent="0.25"/>
    <row r="24724" hidden="1" x14ac:dyDescent="0.25"/>
    <row r="24725" hidden="1" x14ac:dyDescent="0.25"/>
    <row r="24726" hidden="1" x14ac:dyDescent="0.25"/>
    <row r="24727" hidden="1" x14ac:dyDescent="0.25"/>
    <row r="24728" hidden="1" x14ac:dyDescent="0.25"/>
    <row r="24729" hidden="1" x14ac:dyDescent="0.25"/>
    <row r="24730" hidden="1" x14ac:dyDescent="0.25"/>
    <row r="24731" hidden="1" x14ac:dyDescent="0.25"/>
    <row r="24732" hidden="1" x14ac:dyDescent="0.25"/>
    <row r="24733" hidden="1" x14ac:dyDescent="0.25"/>
    <row r="24734" hidden="1" x14ac:dyDescent="0.25"/>
    <row r="24735" hidden="1" x14ac:dyDescent="0.25"/>
    <row r="24736" hidden="1" x14ac:dyDescent="0.25"/>
    <row r="24737" hidden="1" x14ac:dyDescent="0.25"/>
    <row r="24738" hidden="1" x14ac:dyDescent="0.25"/>
    <row r="24739" hidden="1" x14ac:dyDescent="0.25"/>
    <row r="24740" hidden="1" x14ac:dyDescent="0.25"/>
    <row r="24741" hidden="1" x14ac:dyDescent="0.25"/>
    <row r="24742" hidden="1" x14ac:dyDescent="0.25"/>
    <row r="24743" hidden="1" x14ac:dyDescent="0.25"/>
    <row r="24744" hidden="1" x14ac:dyDescent="0.25"/>
    <row r="24745" hidden="1" x14ac:dyDescent="0.25"/>
    <row r="24746" hidden="1" x14ac:dyDescent="0.25"/>
    <row r="24747" hidden="1" x14ac:dyDescent="0.25"/>
    <row r="24748" hidden="1" x14ac:dyDescent="0.25"/>
    <row r="24749" hidden="1" x14ac:dyDescent="0.25"/>
    <row r="24750" hidden="1" x14ac:dyDescent="0.25"/>
    <row r="24751" hidden="1" x14ac:dyDescent="0.25"/>
    <row r="24752" hidden="1" x14ac:dyDescent="0.25"/>
    <row r="24753" hidden="1" x14ac:dyDescent="0.25"/>
    <row r="24754" hidden="1" x14ac:dyDescent="0.25"/>
    <row r="24755" hidden="1" x14ac:dyDescent="0.25"/>
    <row r="24756" hidden="1" x14ac:dyDescent="0.25"/>
    <row r="24757" hidden="1" x14ac:dyDescent="0.25"/>
    <row r="24758" hidden="1" x14ac:dyDescent="0.25"/>
    <row r="24759" hidden="1" x14ac:dyDescent="0.25"/>
    <row r="24760" hidden="1" x14ac:dyDescent="0.25"/>
    <row r="24761" hidden="1" x14ac:dyDescent="0.25"/>
    <row r="24762" hidden="1" x14ac:dyDescent="0.25"/>
    <row r="24763" hidden="1" x14ac:dyDescent="0.25"/>
    <row r="24764" hidden="1" x14ac:dyDescent="0.25"/>
    <row r="24765" hidden="1" x14ac:dyDescent="0.25"/>
    <row r="24766" hidden="1" x14ac:dyDescent="0.25"/>
    <row r="24767" hidden="1" x14ac:dyDescent="0.25"/>
    <row r="24768" hidden="1" x14ac:dyDescent="0.25"/>
    <row r="24769" hidden="1" x14ac:dyDescent="0.25"/>
    <row r="24770" hidden="1" x14ac:dyDescent="0.25"/>
    <row r="24771" hidden="1" x14ac:dyDescent="0.25"/>
    <row r="24772" hidden="1" x14ac:dyDescent="0.25"/>
    <row r="24773" hidden="1" x14ac:dyDescent="0.25"/>
    <row r="24774" hidden="1" x14ac:dyDescent="0.25"/>
    <row r="24775" hidden="1" x14ac:dyDescent="0.25"/>
    <row r="24776" hidden="1" x14ac:dyDescent="0.25"/>
    <row r="24777" hidden="1" x14ac:dyDescent="0.25"/>
    <row r="24778" hidden="1" x14ac:dyDescent="0.25"/>
    <row r="24779" hidden="1" x14ac:dyDescent="0.25"/>
    <row r="24780" hidden="1" x14ac:dyDescent="0.25"/>
    <row r="24781" hidden="1" x14ac:dyDescent="0.25"/>
    <row r="24782" hidden="1" x14ac:dyDescent="0.25"/>
    <row r="24783" hidden="1" x14ac:dyDescent="0.25"/>
    <row r="24784" hidden="1" x14ac:dyDescent="0.25"/>
    <row r="24785" hidden="1" x14ac:dyDescent="0.25"/>
    <row r="24786" hidden="1" x14ac:dyDescent="0.25"/>
    <row r="24787" hidden="1" x14ac:dyDescent="0.25"/>
    <row r="24788" hidden="1" x14ac:dyDescent="0.25"/>
    <row r="24789" hidden="1" x14ac:dyDescent="0.25"/>
    <row r="24790" hidden="1" x14ac:dyDescent="0.25"/>
    <row r="24791" hidden="1" x14ac:dyDescent="0.25"/>
    <row r="24792" hidden="1" x14ac:dyDescent="0.25"/>
    <row r="24793" hidden="1" x14ac:dyDescent="0.25"/>
    <row r="24794" hidden="1" x14ac:dyDescent="0.25"/>
    <row r="24795" hidden="1" x14ac:dyDescent="0.25"/>
    <row r="24796" hidden="1" x14ac:dyDescent="0.25"/>
    <row r="24797" hidden="1" x14ac:dyDescent="0.25"/>
    <row r="24798" hidden="1" x14ac:dyDescent="0.25"/>
    <row r="24799" hidden="1" x14ac:dyDescent="0.25"/>
    <row r="24800" hidden="1" x14ac:dyDescent="0.25"/>
    <row r="24801" hidden="1" x14ac:dyDescent="0.25"/>
    <row r="24802" hidden="1" x14ac:dyDescent="0.25"/>
    <row r="24803" hidden="1" x14ac:dyDescent="0.25"/>
    <row r="24804" hidden="1" x14ac:dyDescent="0.25"/>
    <row r="24805" hidden="1" x14ac:dyDescent="0.25"/>
    <row r="24806" hidden="1" x14ac:dyDescent="0.25"/>
    <row r="24807" hidden="1" x14ac:dyDescent="0.25"/>
    <row r="24808" hidden="1" x14ac:dyDescent="0.25"/>
    <row r="24809" hidden="1" x14ac:dyDescent="0.25"/>
    <row r="24810" hidden="1" x14ac:dyDescent="0.25"/>
    <row r="24811" hidden="1" x14ac:dyDescent="0.25"/>
    <row r="24812" hidden="1" x14ac:dyDescent="0.25"/>
    <row r="24813" hidden="1" x14ac:dyDescent="0.25"/>
    <row r="24814" hidden="1" x14ac:dyDescent="0.25"/>
    <row r="24815" hidden="1" x14ac:dyDescent="0.25"/>
    <row r="24816" hidden="1" x14ac:dyDescent="0.25"/>
    <row r="24817" hidden="1" x14ac:dyDescent="0.25"/>
    <row r="24818" hidden="1" x14ac:dyDescent="0.25"/>
    <row r="24819" hidden="1" x14ac:dyDescent="0.25"/>
    <row r="24820" hidden="1" x14ac:dyDescent="0.25"/>
    <row r="24821" hidden="1" x14ac:dyDescent="0.25"/>
    <row r="24822" hidden="1" x14ac:dyDescent="0.25"/>
    <row r="24823" hidden="1" x14ac:dyDescent="0.25"/>
    <row r="24824" hidden="1" x14ac:dyDescent="0.25"/>
    <row r="24825" hidden="1" x14ac:dyDescent="0.25"/>
    <row r="24826" hidden="1" x14ac:dyDescent="0.25"/>
    <row r="24827" hidden="1" x14ac:dyDescent="0.25"/>
    <row r="24828" hidden="1" x14ac:dyDescent="0.25"/>
    <row r="24829" hidden="1" x14ac:dyDescent="0.25"/>
    <row r="24830" hidden="1" x14ac:dyDescent="0.25"/>
    <row r="24831" hidden="1" x14ac:dyDescent="0.25"/>
    <row r="24832" hidden="1" x14ac:dyDescent="0.25"/>
    <row r="24833" hidden="1" x14ac:dyDescent="0.25"/>
    <row r="24834" hidden="1" x14ac:dyDescent="0.25"/>
    <row r="24835" hidden="1" x14ac:dyDescent="0.25"/>
    <row r="24836" hidden="1" x14ac:dyDescent="0.25"/>
    <row r="24837" hidden="1" x14ac:dyDescent="0.25"/>
    <row r="24838" hidden="1" x14ac:dyDescent="0.25"/>
    <row r="24839" hidden="1" x14ac:dyDescent="0.25"/>
    <row r="24840" hidden="1" x14ac:dyDescent="0.25"/>
    <row r="24841" hidden="1" x14ac:dyDescent="0.25"/>
    <row r="24842" hidden="1" x14ac:dyDescent="0.25"/>
    <row r="24843" hidden="1" x14ac:dyDescent="0.25"/>
    <row r="24844" hidden="1" x14ac:dyDescent="0.25"/>
    <row r="24845" hidden="1" x14ac:dyDescent="0.25"/>
    <row r="24846" hidden="1" x14ac:dyDescent="0.25"/>
    <row r="24847" hidden="1" x14ac:dyDescent="0.25"/>
    <row r="24848" hidden="1" x14ac:dyDescent="0.25"/>
    <row r="24849" hidden="1" x14ac:dyDescent="0.25"/>
    <row r="24850" hidden="1" x14ac:dyDescent="0.25"/>
    <row r="24851" hidden="1" x14ac:dyDescent="0.25"/>
    <row r="24852" hidden="1" x14ac:dyDescent="0.25"/>
    <row r="24853" hidden="1" x14ac:dyDescent="0.25"/>
    <row r="24854" hidden="1" x14ac:dyDescent="0.25"/>
    <row r="24855" hidden="1" x14ac:dyDescent="0.25"/>
    <row r="24856" hidden="1" x14ac:dyDescent="0.25"/>
    <row r="24857" hidden="1" x14ac:dyDescent="0.25"/>
    <row r="24858" hidden="1" x14ac:dyDescent="0.25"/>
    <row r="24859" hidden="1" x14ac:dyDescent="0.25"/>
    <row r="24860" hidden="1" x14ac:dyDescent="0.25"/>
    <row r="24861" hidden="1" x14ac:dyDescent="0.25"/>
    <row r="24862" hidden="1" x14ac:dyDescent="0.25"/>
    <row r="24863" hidden="1" x14ac:dyDescent="0.25"/>
    <row r="24864" hidden="1" x14ac:dyDescent="0.25"/>
    <row r="24865" hidden="1" x14ac:dyDescent="0.25"/>
    <row r="24866" hidden="1" x14ac:dyDescent="0.25"/>
    <row r="24867" hidden="1" x14ac:dyDescent="0.25"/>
    <row r="24868" hidden="1" x14ac:dyDescent="0.25"/>
    <row r="24869" hidden="1" x14ac:dyDescent="0.25"/>
    <row r="24870" hidden="1" x14ac:dyDescent="0.25"/>
    <row r="24871" hidden="1" x14ac:dyDescent="0.25"/>
    <row r="24872" hidden="1" x14ac:dyDescent="0.25"/>
    <row r="24873" hidden="1" x14ac:dyDescent="0.25"/>
    <row r="24874" hidden="1" x14ac:dyDescent="0.25"/>
    <row r="24875" hidden="1" x14ac:dyDescent="0.25"/>
    <row r="24876" hidden="1" x14ac:dyDescent="0.25"/>
    <row r="24877" hidden="1" x14ac:dyDescent="0.25"/>
    <row r="24878" hidden="1" x14ac:dyDescent="0.25"/>
    <row r="24879" hidden="1" x14ac:dyDescent="0.25"/>
    <row r="24880" hidden="1" x14ac:dyDescent="0.25"/>
    <row r="24881" hidden="1" x14ac:dyDescent="0.25"/>
    <row r="24882" hidden="1" x14ac:dyDescent="0.25"/>
    <row r="24883" hidden="1" x14ac:dyDescent="0.25"/>
    <row r="24884" hidden="1" x14ac:dyDescent="0.25"/>
    <row r="24885" hidden="1" x14ac:dyDescent="0.25"/>
    <row r="24886" hidden="1" x14ac:dyDescent="0.25"/>
    <row r="24887" hidden="1" x14ac:dyDescent="0.25"/>
    <row r="24888" hidden="1" x14ac:dyDescent="0.25"/>
    <row r="24889" hidden="1" x14ac:dyDescent="0.25"/>
    <row r="24890" hidden="1" x14ac:dyDescent="0.25"/>
    <row r="24891" hidden="1" x14ac:dyDescent="0.25"/>
    <row r="24892" hidden="1" x14ac:dyDescent="0.25"/>
    <row r="24893" hidden="1" x14ac:dyDescent="0.25"/>
    <row r="24894" hidden="1" x14ac:dyDescent="0.25"/>
    <row r="24895" hidden="1" x14ac:dyDescent="0.25"/>
    <row r="24896" hidden="1" x14ac:dyDescent="0.25"/>
    <row r="24897" hidden="1" x14ac:dyDescent="0.25"/>
    <row r="24898" hidden="1" x14ac:dyDescent="0.25"/>
    <row r="24899" hidden="1" x14ac:dyDescent="0.25"/>
    <row r="24900" hidden="1" x14ac:dyDescent="0.25"/>
    <row r="24901" hidden="1" x14ac:dyDescent="0.25"/>
    <row r="24902" hidden="1" x14ac:dyDescent="0.25"/>
    <row r="24903" hidden="1" x14ac:dyDescent="0.25"/>
    <row r="24904" hidden="1" x14ac:dyDescent="0.25"/>
    <row r="24905" hidden="1" x14ac:dyDescent="0.25"/>
    <row r="24906" hidden="1" x14ac:dyDescent="0.25"/>
    <row r="24907" hidden="1" x14ac:dyDescent="0.25"/>
    <row r="24908" hidden="1" x14ac:dyDescent="0.25"/>
    <row r="24909" hidden="1" x14ac:dyDescent="0.25"/>
    <row r="24910" hidden="1" x14ac:dyDescent="0.25"/>
    <row r="24911" hidden="1" x14ac:dyDescent="0.25"/>
    <row r="24912" hidden="1" x14ac:dyDescent="0.25"/>
    <row r="24913" hidden="1" x14ac:dyDescent="0.25"/>
    <row r="24914" hidden="1" x14ac:dyDescent="0.25"/>
    <row r="24915" hidden="1" x14ac:dyDescent="0.25"/>
    <row r="24916" hidden="1" x14ac:dyDescent="0.25"/>
    <row r="24917" hidden="1" x14ac:dyDescent="0.25"/>
    <row r="24918" hidden="1" x14ac:dyDescent="0.25"/>
    <row r="24919" hidden="1" x14ac:dyDescent="0.25"/>
    <row r="24920" hidden="1" x14ac:dyDescent="0.25"/>
    <row r="24921" hidden="1" x14ac:dyDescent="0.25"/>
    <row r="24922" hidden="1" x14ac:dyDescent="0.25"/>
    <row r="24923" hidden="1" x14ac:dyDescent="0.25"/>
    <row r="24924" hidden="1" x14ac:dyDescent="0.25"/>
    <row r="24925" hidden="1" x14ac:dyDescent="0.25"/>
    <row r="24926" hidden="1" x14ac:dyDescent="0.25"/>
    <row r="24927" hidden="1" x14ac:dyDescent="0.25"/>
    <row r="24928" hidden="1" x14ac:dyDescent="0.25"/>
    <row r="24929" hidden="1" x14ac:dyDescent="0.25"/>
    <row r="24930" hidden="1" x14ac:dyDescent="0.25"/>
    <row r="24931" hidden="1" x14ac:dyDescent="0.25"/>
    <row r="24932" hidden="1" x14ac:dyDescent="0.25"/>
    <row r="24933" hidden="1" x14ac:dyDescent="0.25"/>
    <row r="24934" hidden="1" x14ac:dyDescent="0.25"/>
    <row r="24935" hidden="1" x14ac:dyDescent="0.25"/>
    <row r="24936" hidden="1" x14ac:dyDescent="0.25"/>
    <row r="24937" hidden="1" x14ac:dyDescent="0.25"/>
    <row r="24938" hidden="1" x14ac:dyDescent="0.25"/>
    <row r="24939" hidden="1" x14ac:dyDescent="0.25"/>
    <row r="24940" hidden="1" x14ac:dyDescent="0.25"/>
    <row r="24941" hidden="1" x14ac:dyDescent="0.25"/>
    <row r="24942" hidden="1" x14ac:dyDescent="0.25"/>
    <row r="24943" hidden="1" x14ac:dyDescent="0.25"/>
    <row r="24944" hidden="1" x14ac:dyDescent="0.25"/>
    <row r="24945" hidden="1" x14ac:dyDescent="0.25"/>
    <row r="24946" hidden="1" x14ac:dyDescent="0.25"/>
    <row r="24947" hidden="1" x14ac:dyDescent="0.25"/>
    <row r="24948" hidden="1" x14ac:dyDescent="0.25"/>
    <row r="24949" hidden="1" x14ac:dyDescent="0.25"/>
    <row r="24950" hidden="1" x14ac:dyDescent="0.25"/>
    <row r="24951" hidden="1" x14ac:dyDescent="0.25"/>
    <row r="24952" hidden="1" x14ac:dyDescent="0.25"/>
    <row r="24953" hidden="1" x14ac:dyDescent="0.25"/>
    <row r="24954" hidden="1" x14ac:dyDescent="0.25"/>
    <row r="24955" hidden="1" x14ac:dyDescent="0.25"/>
    <row r="24956" hidden="1" x14ac:dyDescent="0.25"/>
    <row r="24957" hidden="1" x14ac:dyDescent="0.25"/>
    <row r="24958" hidden="1" x14ac:dyDescent="0.25"/>
    <row r="24959" hidden="1" x14ac:dyDescent="0.25"/>
    <row r="24960" hidden="1" x14ac:dyDescent="0.25"/>
    <row r="24961" hidden="1" x14ac:dyDescent="0.25"/>
    <row r="24962" hidden="1" x14ac:dyDescent="0.25"/>
    <row r="24963" hidden="1" x14ac:dyDescent="0.25"/>
    <row r="24964" hidden="1" x14ac:dyDescent="0.25"/>
    <row r="24965" hidden="1" x14ac:dyDescent="0.25"/>
    <row r="24966" hidden="1" x14ac:dyDescent="0.25"/>
    <row r="24967" hidden="1" x14ac:dyDescent="0.25"/>
    <row r="24968" hidden="1" x14ac:dyDescent="0.25"/>
    <row r="24969" hidden="1" x14ac:dyDescent="0.25"/>
    <row r="24970" hidden="1" x14ac:dyDescent="0.25"/>
    <row r="24971" hidden="1" x14ac:dyDescent="0.25"/>
    <row r="24972" hidden="1" x14ac:dyDescent="0.25"/>
    <row r="24973" hidden="1" x14ac:dyDescent="0.25"/>
    <row r="24974" hidden="1" x14ac:dyDescent="0.25"/>
    <row r="24975" hidden="1" x14ac:dyDescent="0.25"/>
    <row r="24976" hidden="1" x14ac:dyDescent="0.25"/>
    <row r="24977" hidden="1" x14ac:dyDescent="0.25"/>
    <row r="24978" hidden="1" x14ac:dyDescent="0.25"/>
    <row r="24979" hidden="1" x14ac:dyDescent="0.25"/>
    <row r="24980" hidden="1" x14ac:dyDescent="0.25"/>
    <row r="24981" hidden="1" x14ac:dyDescent="0.25"/>
    <row r="24982" hidden="1" x14ac:dyDescent="0.25"/>
    <row r="24983" hidden="1" x14ac:dyDescent="0.25"/>
    <row r="24984" hidden="1" x14ac:dyDescent="0.25"/>
    <row r="24985" hidden="1" x14ac:dyDescent="0.25"/>
    <row r="24986" hidden="1" x14ac:dyDescent="0.25"/>
    <row r="24987" hidden="1" x14ac:dyDescent="0.25"/>
    <row r="24988" hidden="1" x14ac:dyDescent="0.25"/>
    <row r="24989" hidden="1" x14ac:dyDescent="0.25"/>
    <row r="24990" hidden="1" x14ac:dyDescent="0.25"/>
    <row r="24991" hidden="1" x14ac:dyDescent="0.25"/>
    <row r="24992" hidden="1" x14ac:dyDescent="0.25"/>
    <row r="24993" hidden="1" x14ac:dyDescent="0.25"/>
    <row r="24994" hidden="1" x14ac:dyDescent="0.25"/>
    <row r="24995" hidden="1" x14ac:dyDescent="0.25"/>
    <row r="24996" hidden="1" x14ac:dyDescent="0.25"/>
    <row r="24997" hidden="1" x14ac:dyDescent="0.25"/>
    <row r="24998" hidden="1" x14ac:dyDescent="0.25"/>
    <row r="24999" hidden="1" x14ac:dyDescent="0.25"/>
    <row r="25000" hidden="1" x14ac:dyDescent="0.25"/>
    <row r="25001" hidden="1" x14ac:dyDescent="0.25"/>
    <row r="25002" hidden="1" x14ac:dyDescent="0.25"/>
    <row r="25003" hidden="1" x14ac:dyDescent="0.25"/>
    <row r="25004" hidden="1" x14ac:dyDescent="0.25"/>
    <row r="25005" hidden="1" x14ac:dyDescent="0.25"/>
    <row r="25006" hidden="1" x14ac:dyDescent="0.25"/>
    <row r="25007" hidden="1" x14ac:dyDescent="0.25"/>
    <row r="25008" hidden="1" x14ac:dyDescent="0.25"/>
    <row r="25009" hidden="1" x14ac:dyDescent="0.25"/>
    <row r="25010" hidden="1" x14ac:dyDescent="0.25"/>
    <row r="25011" hidden="1" x14ac:dyDescent="0.25"/>
    <row r="25012" hidden="1" x14ac:dyDescent="0.25"/>
    <row r="25013" hidden="1" x14ac:dyDescent="0.25"/>
    <row r="25014" hidden="1" x14ac:dyDescent="0.25"/>
    <row r="25015" hidden="1" x14ac:dyDescent="0.25"/>
    <row r="25016" hidden="1" x14ac:dyDescent="0.25"/>
    <row r="25017" hidden="1" x14ac:dyDescent="0.25"/>
    <row r="25018" hidden="1" x14ac:dyDescent="0.25"/>
    <row r="25019" hidden="1" x14ac:dyDescent="0.25"/>
    <row r="25020" hidden="1" x14ac:dyDescent="0.25"/>
    <row r="25021" hidden="1" x14ac:dyDescent="0.25"/>
    <row r="25022" hidden="1" x14ac:dyDescent="0.25"/>
    <row r="25023" hidden="1" x14ac:dyDescent="0.25"/>
    <row r="25024" hidden="1" x14ac:dyDescent="0.25"/>
    <row r="25025" hidden="1" x14ac:dyDescent="0.25"/>
    <row r="25026" hidden="1" x14ac:dyDescent="0.25"/>
    <row r="25027" hidden="1" x14ac:dyDescent="0.25"/>
    <row r="25028" hidden="1" x14ac:dyDescent="0.25"/>
    <row r="25029" hidden="1" x14ac:dyDescent="0.25"/>
    <row r="25030" hidden="1" x14ac:dyDescent="0.25"/>
    <row r="25031" hidden="1" x14ac:dyDescent="0.25"/>
    <row r="25032" hidden="1" x14ac:dyDescent="0.25"/>
    <row r="25033" hidden="1" x14ac:dyDescent="0.25"/>
    <row r="25034" hidden="1" x14ac:dyDescent="0.25"/>
    <row r="25035" hidden="1" x14ac:dyDescent="0.25"/>
    <row r="25036" hidden="1" x14ac:dyDescent="0.25"/>
    <row r="25037" hidden="1" x14ac:dyDescent="0.25"/>
    <row r="25038" hidden="1" x14ac:dyDescent="0.25"/>
    <row r="25039" hidden="1" x14ac:dyDescent="0.25"/>
    <row r="25040" hidden="1" x14ac:dyDescent="0.25"/>
    <row r="25041" hidden="1" x14ac:dyDescent="0.25"/>
    <row r="25042" hidden="1" x14ac:dyDescent="0.25"/>
    <row r="25043" hidden="1" x14ac:dyDescent="0.25"/>
    <row r="25044" hidden="1" x14ac:dyDescent="0.25"/>
    <row r="25045" hidden="1" x14ac:dyDescent="0.25"/>
    <row r="25046" hidden="1" x14ac:dyDescent="0.25"/>
    <row r="25047" hidden="1" x14ac:dyDescent="0.25"/>
    <row r="25048" hidden="1" x14ac:dyDescent="0.25"/>
    <row r="25049" hidden="1" x14ac:dyDescent="0.25"/>
    <row r="25050" hidden="1" x14ac:dyDescent="0.25"/>
    <row r="25051" hidden="1" x14ac:dyDescent="0.25"/>
    <row r="25052" hidden="1" x14ac:dyDescent="0.25"/>
    <row r="25053" hidden="1" x14ac:dyDescent="0.25"/>
    <row r="25054" hidden="1" x14ac:dyDescent="0.25"/>
    <row r="25055" hidden="1" x14ac:dyDescent="0.25"/>
    <row r="25056" hidden="1" x14ac:dyDescent="0.25"/>
    <row r="25057" hidden="1" x14ac:dyDescent="0.25"/>
    <row r="25058" hidden="1" x14ac:dyDescent="0.25"/>
    <row r="25059" hidden="1" x14ac:dyDescent="0.25"/>
    <row r="25060" hidden="1" x14ac:dyDescent="0.25"/>
    <row r="25061" hidden="1" x14ac:dyDescent="0.25"/>
    <row r="25062" hidden="1" x14ac:dyDescent="0.25"/>
    <row r="25063" hidden="1" x14ac:dyDescent="0.25"/>
    <row r="25064" hidden="1" x14ac:dyDescent="0.25"/>
    <row r="25065" hidden="1" x14ac:dyDescent="0.25"/>
    <row r="25066" hidden="1" x14ac:dyDescent="0.25"/>
    <row r="25067" hidden="1" x14ac:dyDescent="0.25"/>
    <row r="25068" hidden="1" x14ac:dyDescent="0.25"/>
    <row r="25069" hidden="1" x14ac:dyDescent="0.25"/>
    <row r="25070" hidden="1" x14ac:dyDescent="0.25"/>
    <row r="25071" hidden="1" x14ac:dyDescent="0.25"/>
    <row r="25072" hidden="1" x14ac:dyDescent="0.25"/>
    <row r="25073" hidden="1" x14ac:dyDescent="0.25"/>
    <row r="25074" hidden="1" x14ac:dyDescent="0.25"/>
    <row r="25075" hidden="1" x14ac:dyDescent="0.25"/>
    <row r="25076" hidden="1" x14ac:dyDescent="0.25"/>
    <row r="25077" hidden="1" x14ac:dyDescent="0.25"/>
    <row r="25078" hidden="1" x14ac:dyDescent="0.25"/>
    <row r="25079" hidden="1" x14ac:dyDescent="0.25"/>
    <row r="25080" hidden="1" x14ac:dyDescent="0.25"/>
    <row r="25081" hidden="1" x14ac:dyDescent="0.25"/>
    <row r="25082" hidden="1" x14ac:dyDescent="0.25"/>
    <row r="25083" hidden="1" x14ac:dyDescent="0.25"/>
    <row r="25084" hidden="1" x14ac:dyDescent="0.25"/>
    <row r="25085" hidden="1" x14ac:dyDescent="0.25"/>
    <row r="25086" hidden="1" x14ac:dyDescent="0.25"/>
    <row r="25087" hidden="1" x14ac:dyDescent="0.25"/>
    <row r="25088" hidden="1" x14ac:dyDescent="0.25"/>
    <row r="25089" hidden="1" x14ac:dyDescent="0.25"/>
    <row r="25090" hidden="1" x14ac:dyDescent="0.25"/>
    <row r="25091" hidden="1" x14ac:dyDescent="0.25"/>
    <row r="25092" hidden="1" x14ac:dyDescent="0.25"/>
    <row r="25093" hidden="1" x14ac:dyDescent="0.25"/>
    <row r="25094" hidden="1" x14ac:dyDescent="0.25"/>
    <row r="25095" hidden="1" x14ac:dyDescent="0.25"/>
    <row r="25096" hidden="1" x14ac:dyDescent="0.25"/>
    <row r="25097" hidden="1" x14ac:dyDescent="0.25"/>
    <row r="25098" hidden="1" x14ac:dyDescent="0.25"/>
    <row r="25099" hidden="1" x14ac:dyDescent="0.25"/>
    <row r="25100" hidden="1" x14ac:dyDescent="0.25"/>
    <row r="25101" hidden="1" x14ac:dyDescent="0.25"/>
    <row r="25102" hidden="1" x14ac:dyDescent="0.25"/>
    <row r="25103" hidden="1" x14ac:dyDescent="0.25"/>
    <row r="25104" hidden="1" x14ac:dyDescent="0.25"/>
    <row r="25105" hidden="1" x14ac:dyDescent="0.25"/>
    <row r="25106" hidden="1" x14ac:dyDescent="0.25"/>
    <row r="25107" hidden="1" x14ac:dyDescent="0.25"/>
    <row r="25108" hidden="1" x14ac:dyDescent="0.25"/>
    <row r="25109" hidden="1" x14ac:dyDescent="0.25"/>
    <row r="25110" hidden="1" x14ac:dyDescent="0.25"/>
    <row r="25111" hidden="1" x14ac:dyDescent="0.25"/>
    <row r="25112" hidden="1" x14ac:dyDescent="0.25"/>
    <row r="25113" hidden="1" x14ac:dyDescent="0.25"/>
    <row r="25114" hidden="1" x14ac:dyDescent="0.25"/>
    <row r="25115" hidden="1" x14ac:dyDescent="0.25"/>
    <row r="25116" hidden="1" x14ac:dyDescent="0.25"/>
    <row r="25117" hidden="1" x14ac:dyDescent="0.25"/>
    <row r="25118" hidden="1" x14ac:dyDescent="0.25"/>
    <row r="25119" hidden="1" x14ac:dyDescent="0.25"/>
    <row r="25120" hidden="1" x14ac:dyDescent="0.25"/>
    <row r="25121" hidden="1" x14ac:dyDescent="0.25"/>
    <row r="25122" hidden="1" x14ac:dyDescent="0.25"/>
    <row r="25123" hidden="1" x14ac:dyDescent="0.25"/>
    <row r="25124" hidden="1" x14ac:dyDescent="0.25"/>
    <row r="25125" hidden="1" x14ac:dyDescent="0.25"/>
    <row r="25126" hidden="1" x14ac:dyDescent="0.25"/>
    <row r="25127" hidden="1" x14ac:dyDescent="0.25"/>
    <row r="25128" hidden="1" x14ac:dyDescent="0.25"/>
    <row r="25129" hidden="1" x14ac:dyDescent="0.25"/>
    <row r="25130" hidden="1" x14ac:dyDescent="0.25"/>
    <row r="25131" hidden="1" x14ac:dyDescent="0.25"/>
    <row r="25132" hidden="1" x14ac:dyDescent="0.25"/>
    <row r="25133" hidden="1" x14ac:dyDescent="0.25"/>
    <row r="25134" hidden="1" x14ac:dyDescent="0.25"/>
    <row r="25135" hidden="1" x14ac:dyDescent="0.25"/>
    <row r="25136" hidden="1" x14ac:dyDescent="0.25"/>
    <row r="25137" hidden="1" x14ac:dyDescent="0.25"/>
    <row r="25138" hidden="1" x14ac:dyDescent="0.25"/>
    <row r="25139" hidden="1" x14ac:dyDescent="0.25"/>
    <row r="25140" hidden="1" x14ac:dyDescent="0.25"/>
    <row r="25141" hidden="1" x14ac:dyDescent="0.25"/>
    <row r="25142" hidden="1" x14ac:dyDescent="0.25"/>
    <row r="25143" hidden="1" x14ac:dyDescent="0.25"/>
    <row r="25144" hidden="1" x14ac:dyDescent="0.25"/>
    <row r="25145" hidden="1" x14ac:dyDescent="0.25"/>
    <row r="25146" hidden="1" x14ac:dyDescent="0.25"/>
    <row r="25147" hidden="1" x14ac:dyDescent="0.25"/>
    <row r="25148" hidden="1" x14ac:dyDescent="0.25"/>
    <row r="25149" hidden="1" x14ac:dyDescent="0.25"/>
    <row r="25150" hidden="1" x14ac:dyDescent="0.25"/>
    <row r="25151" hidden="1" x14ac:dyDescent="0.25"/>
    <row r="25152" hidden="1" x14ac:dyDescent="0.25"/>
    <row r="25153" hidden="1" x14ac:dyDescent="0.25"/>
    <row r="25154" hidden="1" x14ac:dyDescent="0.25"/>
    <row r="25155" hidden="1" x14ac:dyDescent="0.25"/>
    <row r="25156" hidden="1" x14ac:dyDescent="0.25"/>
    <row r="25157" hidden="1" x14ac:dyDescent="0.25"/>
    <row r="25158" hidden="1" x14ac:dyDescent="0.25"/>
    <row r="25159" hidden="1" x14ac:dyDescent="0.25"/>
    <row r="25160" hidden="1" x14ac:dyDescent="0.25"/>
    <row r="25161" hidden="1" x14ac:dyDescent="0.25"/>
    <row r="25162" hidden="1" x14ac:dyDescent="0.25"/>
    <row r="25163" hidden="1" x14ac:dyDescent="0.25"/>
    <row r="25164" hidden="1" x14ac:dyDescent="0.25"/>
    <row r="25165" hidden="1" x14ac:dyDescent="0.25"/>
    <row r="25166" hidden="1" x14ac:dyDescent="0.25"/>
    <row r="25167" hidden="1" x14ac:dyDescent="0.25"/>
    <row r="25168" hidden="1" x14ac:dyDescent="0.25"/>
    <row r="25169" hidden="1" x14ac:dyDescent="0.25"/>
    <row r="25170" hidden="1" x14ac:dyDescent="0.25"/>
    <row r="25171" hidden="1" x14ac:dyDescent="0.25"/>
    <row r="25172" hidden="1" x14ac:dyDescent="0.25"/>
    <row r="25173" hidden="1" x14ac:dyDescent="0.25"/>
    <row r="25174" hidden="1" x14ac:dyDescent="0.25"/>
    <row r="25175" hidden="1" x14ac:dyDescent="0.25"/>
    <row r="25176" hidden="1" x14ac:dyDescent="0.25"/>
    <row r="25177" hidden="1" x14ac:dyDescent="0.25"/>
    <row r="25178" hidden="1" x14ac:dyDescent="0.25"/>
    <row r="25179" hidden="1" x14ac:dyDescent="0.25"/>
    <row r="25180" hidden="1" x14ac:dyDescent="0.25"/>
    <row r="25181" hidden="1" x14ac:dyDescent="0.25"/>
    <row r="25182" hidden="1" x14ac:dyDescent="0.25"/>
    <row r="25183" hidden="1" x14ac:dyDescent="0.25"/>
    <row r="25184" hidden="1" x14ac:dyDescent="0.25"/>
    <row r="25185" hidden="1" x14ac:dyDescent="0.25"/>
    <row r="25186" hidden="1" x14ac:dyDescent="0.25"/>
    <row r="25187" hidden="1" x14ac:dyDescent="0.25"/>
    <row r="25188" hidden="1" x14ac:dyDescent="0.25"/>
    <row r="25189" hidden="1" x14ac:dyDescent="0.25"/>
    <row r="25190" hidden="1" x14ac:dyDescent="0.25"/>
    <row r="25191" hidden="1" x14ac:dyDescent="0.25"/>
    <row r="25192" hidden="1" x14ac:dyDescent="0.25"/>
    <row r="25193" hidden="1" x14ac:dyDescent="0.25"/>
    <row r="25194" hidden="1" x14ac:dyDescent="0.25"/>
    <row r="25195" hidden="1" x14ac:dyDescent="0.25"/>
    <row r="25196" hidden="1" x14ac:dyDescent="0.25"/>
    <row r="25197" hidden="1" x14ac:dyDescent="0.25"/>
    <row r="25198" hidden="1" x14ac:dyDescent="0.25"/>
    <row r="25199" hidden="1" x14ac:dyDescent="0.25"/>
    <row r="25200" hidden="1" x14ac:dyDescent="0.25"/>
    <row r="25201" hidden="1" x14ac:dyDescent="0.25"/>
    <row r="25202" hidden="1" x14ac:dyDescent="0.25"/>
    <row r="25203" hidden="1" x14ac:dyDescent="0.25"/>
    <row r="25204" hidden="1" x14ac:dyDescent="0.25"/>
    <row r="25205" hidden="1" x14ac:dyDescent="0.25"/>
    <row r="25206" hidden="1" x14ac:dyDescent="0.25"/>
    <row r="25207" hidden="1" x14ac:dyDescent="0.25"/>
    <row r="25208" hidden="1" x14ac:dyDescent="0.25"/>
    <row r="25209" hidden="1" x14ac:dyDescent="0.25"/>
    <row r="25210" hidden="1" x14ac:dyDescent="0.25"/>
    <row r="25211" hidden="1" x14ac:dyDescent="0.25"/>
    <row r="25212" hidden="1" x14ac:dyDescent="0.25"/>
    <row r="25213" hidden="1" x14ac:dyDescent="0.25"/>
    <row r="25214" hidden="1" x14ac:dyDescent="0.25"/>
    <row r="25215" hidden="1" x14ac:dyDescent="0.25"/>
    <row r="25216" hidden="1" x14ac:dyDescent="0.25"/>
    <row r="25217" hidden="1" x14ac:dyDescent="0.25"/>
    <row r="25218" hidden="1" x14ac:dyDescent="0.25"/>
    <row r="25219" hidden="1" x14ac:dyDescent="0.25"/>
    <row r="25220" hidden="1" x14ac:dyDescent="0.25"/>
    <row r="25221" hidden="1" x14ac:dyDescent="0.25"/>
    <row r="25222" hidden="1" x14ac:dyDescent="0.25"/>
    <row r="25223" hidden="1" x14ac:dyDescent="0.25"/>
    <row r="25224" hidden="1" x14ac:dyDescent="0.25"/>
    <row r="25225" hidden="1" x14ac:dyDescent="0.25"/>
    <row r="25226" hidden="1" x14ac:dyDescent="0.25"/>
    <row r="25227" hidden="1" x14ac:dyDescent="0.25"/>
    <row r="25228" hidden="1" x14ac:dyDescent="0.25"/>
    <row r="25229" hidden="1" x14ac:dyDescent="0.25"/>
    <row r="25230" hidden="1" x14ac:dyDescent="0.25"/>
    <row r="25231" hidden="1" x14ac:dyDescent="0.25"/>
    <row r="25232" hidden="1" x14ac:dyDescent="0.25"/>
    <row r="25233" hidden="1" x14ac:dyDescent="0.25"/>
    <row r="25234" hidden="1" x14ac:dyDescent="0.25"/>
    <row r="25235" hidden="1" x14ac:dyDescent="0.25"/>
    <row r="25236" hidden="1" x14ac:dyDescent="0.25"/>
    <row r="25237" hidden="1" x14ac:dyDescent="0.25"/>
    <row r="25238" hidden="1" x14ac:dyDescent="0.25"/>
    <row r="25239" hidden="1" x14ac:dyDescent="0.25"/>
    <row r="25240" hidden="1" x14ac:dyDescent="0.25"/>
    <row r="25241" hidden="1" x14ac:dyDescent="0.25"/>
    <row r="25242" hidden="1" x14ac:dyDescent="0.25"/>
    <row r="25243" hidden="1" x14ac:dyDescent="0.25"/>
    <row r="25244" hidden="1" x14ac:dyDescent="0.25"/>
    <row r="25245" hidden="1" x14ac:dyDescent="0.25"/>
    <row r="25246" hidden="1" x14ac:dyDescent="0.25"/>
    <row r="25247" hidden="1" x14ac:dyDescent="0.25"/>
    <row r="25248" hidden="1" x14ac:dyDescent="0.25"/>
    <row r="25249" hidden="1" x14ac:dyDescent="0.25"/>
    <row r="25250" hidden="1" x14ac:dyDescent="0.25"/>
    <row r="25251" hidden="1" x14ac:dyDescent="0.25"/>
    <row r="25252" hidden="1" x14ac:dyDescent="0.25"/>
    <row r="25253" hidden="1" x14ac:dyDescent="0.25"/>
    <row r="25254" hidden="1" x14ac:dyDescent="0.25"/>
    <row r="25255" hidden="1" x14ac:dyDescent="0.25"/>
    <row r="25256" hidden="1" x14ac:dyDescent="0.25"/>
    <row r="25257" hidden="1" x14ac:dyDescent="0.25"/>
    <row r="25258" hidden="1" x14ac:dyDescent="0.25"/>
    <row r="25259" hidden="1" x14ac:dyDescent="0.25"/>
    <row r="25260" hidden="1" x14ac:dyDescent="0.25"/>
    <row r="25261" hidden="1" x14ac:dyDescent="0.25"/>
    <row r="25262" hidden="1" x14ac:dyDescent="0.25"/>
    <row r="25263" hidden="1" x14ac:dyDescent="0.25"/>
    <row r="25264" hidden="1" x14ac:dyDescent="0.25"/>
    <row r="25265" hidden="1" x14ac:dyDescent="0.25"/>
    <row r="25266" hidden="1" x14ac:dyDescent="0.25"/>
    <row r="25267" hidden="1" x14ac:dyDescent="0.25"/>
    <row r="25268" hidden="1" x14ac:dyDescent="0.25"/>
    <row r="25269" hidden="1" x14ac:dyDescent="0.25"/>
    <row r="25270" hidden="1" x14ac:dyDescent="0.25"/>
    <row r="25271" hidden="1" x14ac:dyDescent="0.25"/>
    <row r="25272" hidden="1" x14ac:dyDescent="0.25"/>
    <row r="25273" hidden="1" x14ac:dyDescent="0.25"/>
    <row r="25274" hidden="1" x14ac:dyDescent="0.25"/>
    <row r="25275" hidden="1" x14ac:dyDescent="0.25"/>
    <row r="25276" hidden="1" x14ac:dyDescent="0.25"/>
    <row r="25277" hidden="1" x14ac:dyDescent="0.25"/>
    <row r="25278" hidden="1" x14ac:dyDescent="0.25"/>
    <row r="25279" hidden="1" x14ac:dyDescent="0.25"/>
    <row r="25280" hidden="1" x14ac:dyDescent="0.25"/>
    <row r="25281" hidden="1" x14ac:dyDescent="0.25"/>
    <row r="25282" hidden="1" x14ac:dyDescent="0.25"/>
    <row r="25283" hidden="1" x14ac:dyDescent="0.25"/>
    <row r="25284" hidden="1" x14ac:dyDescent="0.25"/>
    <row r="25285" hidden="1" x14ac:dyDescent="0.25"/>
    <row r="25286" hidden="1" x14ac:dyDescent="0.25"/>
    <row r="25287" hidden="1" x14ac:dyDescent="0.25"/>
    <row r="25288" hidden="1" x14ac:dyDescent="0.25"/>
    <row r="25289" hidden="1" x14ac:dyDescent="0.25"/>
    <row r="25290" hidden="1" x14ac:dyDescent="0.25"/>
    <row r="25291" hidden="1" x14ac:dyDescent="0.25"/>
    <row r="25292" hidden="1" x14ac:dyDescent="0.25"/>
    <row r="25293" hidden="1" x14ac:dyDescent="0.25"/>
    <row r="25294" hidden="1" x14ac:dyDescent="0.25"/>
    <row r="25295" hidden="1" x14ac:dyDescent="0.25"/>
    <row r="25296" hidden="1" x14ac:dyDescent="0.25"/>
    <row r="25297" hidden="1" x14ac:dyDescent="0.25"/>
    <row r="25298" hidden="1" x14ac:dyDescent="0.25"/>
    <row r="25299" hidden="1" x14ac:dyDescent="0.25"/>
    <row r="25300" hidden="1" x14ac:dyDescent="0.25"/>
    <row r="25301" hidden="1" x14ac:dyDescent="0.25"/>
    <row r="25302" hidden="1" x14ac:dyDescent="0.25"/>
    <row r="25303" hidden="1" x14ac:dyDescent="0.25"/>
    <row r="25304" hidden="1" x14ac:dyDescent="0.25"/>
    <row r="25305" hidden="1" x14ac:dyDescent="0.25"/>
    <row r="25306" hidden="1" x14ac:dyDescent="0.25"/>
    <row r="25307" hidden="1" x14ac:dyDescent="0.25"/>
    <row r="25308" hidden="1" x14ac:dyDescent="0.25"/>
    <row r="25309" hidden="1" x14ac:dyDescent="0.25"/>
    <row r="25310" hidden="1" x14ac:dyDescent="0.25"/>
    <row r="25311" hidden="1" x14ac:dyDescent="0.25"/>
    <row r="25312" hidden="1" x14ac:dyDescent="0.25"/>
    <row r="25313" hidden="1" x14ac:dyDescent="0.25"/>
    <row r="25314" hidden="1" x14ac:dyDescent="0.25"/>
    <row r="25315" hidden="1" x14ac:dyDescent="0.25"/>
    <row r="25316" hidden="1" x14ac:dyDescent="0.25"/>
    <row r="25317" hidden="1" x14ac:dyDescent="0.25"/>
    <row r="25318" hidden="1" x14ac:dyDescent="0.25"/>
    <row r="25319" hidden="1" x14ac:dyDescent="0.25"/>
    <row r="25320" hidden="1" x14ac:dyDescent="0.25"/>
    <row r="25321" hidden="1" x14ac:dyDescent="0.25"/>
    <row r="25322" hidden="1" x14ac:dyDescent="0.25"/>
    <row r="25323" hidden="1" x14ac:dyDescent="0.25"/>
    <row r="25324" hidden="1" x14ac:dyDescent="0.25"/>
    <row r="25325" hidden="1" x14ac:dyDescent="0.25"/>
    <row r="25326" hidden="1" x14ac:dyDescent="0.25"/>
    <row r="25327" hidden="1" x14ac:dyDescent="0.25"/>
    <row r="25328" hidden="1" x14ac:dyDescent="0.25"/>
    <row r="25329" hidden="1" x14ac:dyDescent="0.25"/>
    <row r="25330" hidden="1" x14ac:dyDescent="0.25"/>
    <row r="25331" hidden="1" x14ac:dyDescent="0.25"/>
    <row r="25332" hidden="1" x14ac:dyDescent="0.25"/>
    <row r="25333" hidden="1" x14ac:dyDescent="0.25"/>
    <row r="25334" hidden="1" x14ac:dyDescent="0.25"/>
    <row r="25335" hidden="1" x14ac:dyDescent="0.25"/>
    <row r="25336" hidden="1" x14ac:dyDescent="0.25"/>
    <row r="25337" hidden="1" x14ac:dyDescent="0.25"/>
    <row r="25338" hidden="1" x14ac:dyDescent="0.25"/>
    <row r="25339" hidden="1" x14ac:dyDescent="0.25"/>
    <row r="25340" hidden="1" x14ac:dyDescent="0.25"/>
    <row r="25341" hidden="1" x14ac:dyDescent="0.25"/>
    <row r="25342" hidden="1" x14ac:dyDescent="0.25"/>
    <row r="25343" hidden="1" x14ac:dyDescent="0.25"/>
    <row r="25344" hidden="1" x14ac:dyDescent="0.25"/>
    <row r="25345" hidden="1" x14ac:dyDescent="0.25"/>
    <row r="25346" hidden="1" x14ac:dyDescent="0.25"/>
    <row r="25347" hidden="1" x14ac:dyDescent="0.25"/>
    <row r="25348" hidden="1" x14ac:dyDescent="0.25"/>
    <row r="25349" hidden="1" x14ac:dyDescent="0.25"/>
    <row r="25350" hidden="1" x14ac:dyDescent="0.25"/>
    <row r="25351" hidden="1" x14ac:dyDescent="0.25"/>
    <row r="25352" hidden="1" x14ac:dyDescent="0.25"/>
    <row r="25353" hidden="1" x14ac:dyDescent="0.25"/>
    <row r="25354" hidden="1" x14ac:dyDescent="0.25"/>
    <row r="25355" hidden="1" x14ac:dyDescent="0.25"/>
    <row r="25356" hidden="1" x14ac:dyDescent="0.25"/>
    <row r="25357" hidden="1" x14ac:dyDescent="0.25"/>
    <row r="25358" hidden="1" x14ac:dyDescent="0.25"/>
    <row r="25359" hidden="1" x14ac:dyDescent="0.25"/>
    <row r="25360" hidden="1" x14ac:dyDescent="0.25"/>
    <row r="25361" hidden="1" x14ac:dyDescent="0.25"/>
    <row r="25362" hidden="1" x14ac:dyDescent="0.25"/>
    <row r="25363" hidden="1" x14ac:dyDescent="0.25"/>
    <row r="25364" hidden="1" x14ac:dyDescent="0.25"/>
    <row r="25365" hidden="1" x14ac:dyDescent="0.25"/>
    <row r="25366" hidden="1" x14ac:dyDescent="0.25"/>
    <row r="25367" hidden="1" x14ac:dyDescent="0.25"/>
    <row r="25368" hidden="1" x14ac:dyDescent="0.25"/>
    <row r="25369" hidden="1" x14ac:dyDescent="0.25"/>
    <row r="25370" hidden="1" x14ac:dyDescent="0.25"/>
    <row r="25371" hidden="1" x14ac:dyDescent="0.25"/>
    <row r="25372" hidden="1" x14ac:dyDescent="0.25"/>
    <row r="25373" hidden="1" x14ac:dyDescent="0.25"/>
    <row r="25374" hidden="1" x14ac:dyDescent="0.25"/>
    <row r="25375" hidden="1" x14ac:dyDescent="0.25"/>
    <row r="25376" hidden="1" x14ac:dyDescent="0.25"/>
    <row r="25377" hidden="1" x14ac:dyDescent="0.25"/>
    <row r="25378" hidden="1" x14ac:dyDescent="0.25"/>
    <row r="25379" hidden="1" x14ac:dyDescent="0.25"/>
    <row r="25380" hidden="1" x14ac:dyDescent="0.25"/>
    <row r="25381" hidden="1" x14ac:dyDescent="0.25"/>
    <row r="25382" hidden="1" x14ac:dyDescent="0.25"/>
    <row r="25383" hidden="1" x14ac:dyDescent="0.25"/>
    <row r="25384" hidden="1" x14ac:dyDescent="0.25"/>
    <row r="25385" hidden="1" x14ac:dyDescent="0.25"/>
    <row r="25386" hidden="1" x14ac:dyDescent="0.25"/>
    <row r="25387" hidden="1" x14ac:dyDescent="0.25"/>
    <row r="25388" hidden="1" x14ac:dyDescent="0.25"/>
    <row r="25389" hidden="1" x14ac:dyDescent="0.25"/>
    <row r="25390" hidden="1" x14ac:dyDescent="0.25"/>
    <row r="25391" hidden="1" x14ac:dyDescent="0.25"/>
    <row r="25392" hidden="1" x14ac:dyDescent="0.25"/>
    <row r="25393" hidden="1" x14ac:dyDescent="0.25"/>
    <row r="25394" hidden="1" x14ac:dyDescent="0.25"/>
    <row r="25395" hidden="1" x14ac:dyDescent="0.25"/>
    <row r="25396" hidden="1" x14ac:dyDescent="0.25"/>
    <row r="25397" hidden="1" x14ac:dyDescent="0.25"/>
    <row r="25398" hidden="1" x14ac:dyDescent="0.25"/>
    <row r="25399" hidden="1" x14ac:dyDescent="0.25"/>
    <row r="25400" hidden="1" x14ac:dyDescent="0.25"/>
    <row r="25401" hidden="1" x14ac:dyDescent="0.25"/>
    <row r="25402" hidden="1" x14ac:dyDescent="0.25"/>
    <row r="25403" hidden="1" x14ac:dyDescent="0.25"/>
    <row r="25404" hidden="1" x14ac:dyDescent="0.25"/>
    <row r="25405" hidden="1" x14ac:dyDescent="0.25"/>
    <row r="25406" hidden="1" x14ac:dyDescent="0.25"/>
    <row r="25407" hidden="1" x14ac:dyDescent="0.25"/>
    <row r="25408" hidden="1" x14ac:dyDescent="0.25"/>
    <row r="25409" hidden="1" x14ac:dyDescent="0.25"/>
    <row r="25410" hidden="1" x14ac:dyDescent="0.25"/>
    <row r="25411" hidden="1" x14ac:dyDescent="0.25"/>
    <row r="25412" hidden="1" x14ac:dyDescent="0.25"/>
    <row r="25413" hidden="1" x14ac:dyDescent="0.25"/>
    <row r="25414" hidden="1" x14ac:dyDescent="0.25"/>
    <row r="25415" hidden="1" x14ac:dyDescent="0.25"/>
    <row r="25416" hidden="1" x14ac:dyDescent="0.25"/>
    <row r="25417" hidden="1" x14ac:dyDescent="0.25"/>
    <row r="25418" hidden="1" x14ac:dyDescent="0.25"/>
    <row r="25419" hidden="1" x14ac:dyDescent="0.25"/>
    <row r="25420" hidden="1" x14ac:dyDescent="0.25"/>
    <row r="25421" hidden="1" x14ac:dyDescent="0.25"/>
    <row r="25422" hidden="1" x14ac:dyDescent="0.25"/>
    <row r="25423" hidden="1" x14ac:dyDescent="0.25"/>
    <row r="25424" hidden="1" x14ac:dyDescent="0.25"/>
    <row r="25425" hidden="1" x14ac:dyDescent="0.25"/>
    <row r="25426" hidden="1" x14ac:dyDescent="0.25"/>
    <row r="25427" hidden="1" x14ac:dyDescent="0.25"/>
    <row r="25428" hidden="1" x14ac:dyDescent="0.25"/>
    <row r="25429" hidden="1" x14ac:dyDescent="0.25"/>
    <row r="25430" hidden="1" x14ac:dyDescent="0.25"/>
    <row r="25431" hidden="1" x14ac:dyDescent="0.25"/>
    <row r="25432" hidden="1" x14ac:dyDescent="0.25"/>
    <row r="25433" hidden="1" x14ac:dyDescent="0.25"/>
    <row r="25434" hidden="1" x14ac:dyDescent="0.25"/>
    <row r="25435" hidden="1" x14ac:dyDescent="0.25"/>
    <row r="25436" hidden="1" x14ac:dyDescent="0.25"/>
    <row r="25437" hidden="1" x14ac:dyDescent="0.25"/>
    <row r="25438" hidden="1" x14ac:dyDescent="0.25"/>
    <row r="25439" hidden="1" x14ac:dyDescent="0.25"/>
    <row r="25440" hidden="1" x14ac:dyDescent="0.25"/>
    <row r="25441" hidden="1" x14ac:dyDescent="0.25"/>
    <row r="25442" hidden="1" x14ac:dyDescent="0.25"/>
    <row r="25443" hidden="1" x14ac:dyDescent="0.25"/>
    <row r="25444" hidden="1" x14ac:dyDescent="0.25"/>
    <row r="25445" hidden="1" x14ac:dyDescent="0.25"/>
    <row r="25446" hidden="1" x14ac:dyDescent="0.25"/>
    <row r="25447" hidden="1" x14ac:dyDescent="0.25"/>
    <row r="25448" hidden="1" x14ac:dyDescent="0.25"/>
    <row r="25449" hidden="1" x14ac:dyDescent="0.25"/>
    <row r="25450" hidden="1" x14ac:dyDescent="0.25"/>
    <row r="25451" hidden="1" x14ac:dyDescent="0.25"/>
    <row r="25452" hidden="1" x14ac:dyDescent="0.25"/>
    <row r="25453" hidden="1" x14ac:dyDescent="0.25"/>
    <row r="25454" hidden="1" x14ac:dyDescent="0.25"/>
    <row r="25455" hidden="1" x14ac:dyDescent="0.25"/>
    <row r="25456" hidden="1" x14ac:dyDescent="0.25"/>
    <row r="25457" hidden="1" x14ac:dyDescent="0.25"/>
    <row r="25458" hidden="1" x14ac:dyDescent="0.25"/>
    <row r="25459" hidden="1" x14ac:dyDescent="0.25"/>
    <row r="25460" hidden="1" x14ac:dyDescent="0.25"/>
    <row r="25461" hidden="1" x14ac:dyDescent="0.25"/>
    <row r="25462" hidden="1" x14ac:dyDescent="0.25"/>
    <row r="25463" hidden="1" x14ac:dyDescent="0.25"/>
    <row r="25464" hidden="1" x14ac:dyDescent="0.25"/>
    <row r="25465" hidden="1" x14ac:dyDescent="0.25"/>
    <row r="25466" hidden="1" x14ac:dyDescent="0.25"/>
    <row r="25467" hidden="1" x14ac:dyDescent="0.25"/>
    <row r="25468" hidden="1" x14ac:dyDescent="0.25"/>
    <row r="25469" hidden="1" x14ac:dyDescent="0.25"/>
    <row r="25470" hidden="1" x14ac:dyDescent="0.25"/>
    <row r="25471" hidden="1" x14ac:dyDescent="0.25"/>
    <row r="25472" hidden="1" x14ac:dyDescent="0.25"/>
    <row r="25473" hidden="1" x14ac:dyDescent="0.25"/>
    <row r="25474" hidden="1" x14ac:dyDescent="0.25"/>
    <row r="25475" hidden="1" x14ac:dyDescent="0.25"/>
    <row r="25476" hidden="1" x14ac:dyDescent="0.25"/>
    <row r="25477" hidden="1" x14ac:dyDescent="0.25"/>
    <row r="25478" hidden="1" x14ac:dyDescent="0.25"/>
    <row r="25479" hidden="1" x14ac:dyDescent="0.25"/>
    <row r="25480" hidden="1" x14ac:dyDescent="0.25"/>
    <row r="25481" hidden="1" x14ac:dyDescent="0.25"/>
    <row r="25482" hidden="1" x14ac:dyDescent="0.25"/>
    <row r="25483" hidden="1" x14ac:dyDescent="0.25"/>
    <row r="25484" hidden="1" x14ac:dyDescent="0.25"/>
    <row r="25485" hidden="1" x14ac:dyDescent="0.25"/>
    <row r="25486" hidden="1" x14ac:dyDescent="0.25"/>
    <row r="25487" hidden="1" x14ac:dyDescent="0.25"/>
    <row r="25488" hidden="1" x14ac:dyDescent="0.25"/>
    <row r="25489" hidden="1" x14ac:dyDescent="0.25"/>
    <row r="25490" hidden="1" x14ac:dyDescent="0.25"/>
    <row r="25491" hidden="1" x14ac:dyDescent="0.25"/>
    <row r="25492" hidden="1" x14ac:dyDescent="0.25"/>
    <row r="25493" hidden="1" x14ac:dyDescent="0.25"/>
    <row r="25494" hidden="1" x14ac:dyDescent="0.25"/>
    <row r="25495" hidden="1" x14ac:dyDescent="0.25"/>
    <row r="25496" hidden="1" x14ac:dyDescent="0.25"/>
    <row r="25497" hidden="1" x14ac:dyDescent="0.25"/>
    <row r="25498" hidden="1" x14ac:dyDescent="0.25"/>
    <row r="25499" hidden="1" x14ac:dyDescent="0.25"/>
    <row r="25500" hidden="1" x14ac:dyDescent="0.25"/>
    <row r="25501" hidden="1" x14ac:dyDescent="0.25"/>
    <row r="25502" hidden="1" x14ac:dyDescent="0.25"/>
    <row r="25503" hidden="1" x14ac:dyDescent="0.25"/>
    <row r="25504" hidden="1" x14ac:dyDescent="0.25"/>
    <row r="25505" hidden="1" x14ac:dyDescent="0.25"/>
    <row r="25506" hidden="1" x14ac:dyDescent="0.25"/>
    <row r="25507" hidden="1" x14ac:dyDescent="0.25"/>
    <row r="25508" hidden="1" x14ac:dyDescent="0.25"/>
    <row r="25509" hidden="1" x14ac:dyDescent="0.25"/>
    <row r="25510" hidden="1" x14ac:dyDescent="0.25"/>
    <row r="25511" hidden="1" x14ac:dyDescent="0.25"/>
    <row r="25512" hidden="1" x14ac:dyDescent="0.25"/>
    <row r="25513" hidden="1" x14ac:dyDescent="0.25"/>
    <row r="25514" hidden="1" x14ac:dyDescent="0.25"/>
    <row r="25515" hidden="1" x14ac:dyDescent="0.25"/>
    <row r="25516" hidden="1" x14ac:dyDescent="0.25"/>
    <row r="25517" hidden="1" x14ac:dyDescent="0.25"/>
    <row r="25518" hidden="1" x14ac:dyDescent="0.25"/>
    <row r="25519" hidden="1" x14ac:dyDescent="0.25"/>
    <row r="25520" hidden="1" x14ac:dyDescent="0.25"/>
    <row r="25521" hidden="1" x14ac:dyDescent="0.25"/>
    <row r="25522" hidden="1" x14ac:dyDescent="0.25"/>
    <row r="25523" hidden="1" x14ac:dyDescent="0.25"/>
    <row r="25524" hidden="1" x14ac:dyDescent="0.25"/>
    <row r="25525" hidden="1" x14ac:dyDescent="0.25"/>
    <row r="25526" hidden="1" x14ac:dyDescent="0.25"/>
    <row r="25527" hidden="1" x14ac:dyDescent="0.25"/>
    <row r="25528" hidden="1" x14ac:dyDescent="0.25"/>
    <row r="25529" hidden="1" x14ac:dyDescent="0.25"/>
    <row r="25530" hidden="1" x14ac:dyDescent="0.25"/>
    <row r="25531" hidden="1" x14ac:dyDescent="0.25"/>
    <row r="25532" hidden="1" x14ac:dyDescent="0.25"/>
    <row r="25533" hidden="1" x14ac:dyDescent="0.25"/>
    <row r="25534" hidden="1" x14ac:dyDescent="0.25"/>
    <row r="25535" hidden="1" x14ac:dyDescent="0.25"/>
    <row r="25536" hidden="1" x14ac:dyDescent="0.25"/>
    <row r="25537" hidden="1" x14ac:dyDescent="0.25"/>
    <row r="25538" hidden="1" x14ac:dyDescent="0.25"/>
    <row r="25539" hidden="1" x14ac:dyDescent="0.25"/>
    <row r="25540" hidden="1" x14ac:dyDescent="0.25"/>
    <row r="25541" hidden="1" x14ac:dyDescent="0.25"/>
    <row r="25542" hidden="1" x14ac:dyDescent="0.25"/>
    <row r="25543" hidden="1" x14ac:dyDescent="0.25"/>
    <row r="25544" hidden="1" x14ac:dyDescent="0.25"/>
    <row r="25545" hidden="1" x14ac:dyDescent="0.25"/>
    <row r="25546" hidden="1" x14ac:dyDescent="0.25"/>
    <row r="25547" hidden="1" x14ac:dyDescent="0.25"/>
    <row r="25548" hidden="1" x14ac:dyDescent="0.25"/>
    <row r="25549" hidden="1" x14ac:dyDescent="0.25"/>
    <row r="25550" hidden="1" x14ac:dyDescent="0.25"/>
    <row r="25551" hidden="1" x14ac:dyDescent="0.25"/>
    <row r="25552" hidden="1" x14ac:dyDescent="0.25"/>
    <row r="25553" hidden="1" x14ac:dyDescent="0.25"/>
    <row r="25554" hidden="1" x14ac:dyDescent="0.25"/>
    <row r="25555" hidden="1" x14ac:dyDescent="0.25"/>
    <row r="25556" hidden="1" x14ac:dyDescent="0.25"/>
    <row r="25557" hidden="1" x14ac:dyDescent="0.25"/>
    <row r="25558" hidden="1" x14ac:dyDescent="0.25"/>
    <row r="25559" hidden="1" x14ac:dyDescent="0.25"/>
    <row r="25560" hidden="1" x14ac:dyDescent="0.25"/>
    <row r="25561" hidden="1" x14ac:dyDescent="0.25"/>
    <row r="25562" hidden="1" x14ac:dyDescent="0.25"/>
    <row r="25563" hidden="1" x14ac:dyDescent="0.25"/>
    <row r="25564" hidden="1" x14ac:dyDescent="0.25"/>
    <row r="25565" hidden="1" x14ac:dyDescent="0.25"/>
    <row r="25566" hidden="1" x14ac:dyDescent="0.25"/>
    <row r="25567" hidden="1" x14ac:dyDescent="0.25"/>
    <row r="25568" hidden="1" x14ac:dyDescent="0.25"/>
    <row r="25569" hidden="1" x14ac:dyDescent="0.25"/>
    <row r="25570" hidden="1" x14ac:dyDescent="0.25"/>
    <row r="25571" hidden="1" x14ac:dyDescent="0.25"/>
    <row r="25572" hidden="1" x14ac:dyDescent="0.25"/>
    <row r="25573" hidden="1" x14ac:dyDescent="0.25"/>
    <row r="25574" hidden="1" x14ac:dyDescent="0.25"/>
    <row r="25575" hidden="1" x14ac:dyDescent="0.25"/>
    <row r="25576" hidden="1" x14ac:dyDescent="0.25"/>
    <row r="25577" hidden="1" x14ac:dyDescent="0.25"/>
    <row r="25578" hidden="1" x14ac:dyDescent="0.25"/>
    <row r="25579" hidden="1" x14ac:dyDescent="0.25"/>
    <row r="25580" hidden="1" x14ac:dyDescent="0.25"/>
    <row r="25581" hidden="1" x14ac:dyDescent="0.25"/>
    <row r="25582" hidden="1" x14ac:dyDescent="0.25"/>
    <row r="25583" hidden="1" x14ac:dyDescent="0.25"/>
    <row r="25584" hidden="1" x14ac:dyDescent="0.25"/>
    <row r="25585" hidden="1" x14ac:dyDescent="0.25"/>
    <row r="25586" hidden="1" x14ac:dyDescent="0.25"/>
    <row r="25587" hidden="1" x14ac:dyDescent="0.25"/>
    <row r="25588" hidden="1" x14ac:dyDescent="0.25"/>
    <row r="25589" hidden="1" x14ac:dyDescent="0.25"/>
    <row r="25590" hidden="1" x14ac:dyDescent="0.25"/>
    <row r="25591" hidden="1" x14ac:dyDescent="0.25"/>
    <row r="25592" hidden="1" x14ac:dyDescent="0.25"/>
    <row r="25593" hidden="1" x14ac:dyDescent="0.25"/>
    <row r="25594" hidden="1" x14ac:dyDescent="0.25"/>
    <row r="25595" hidden="1" x14ac:dyDescent="0.25"/>
    <row r="25596" hidden="1" x14ac:dyDescent="0.25"/>
    <row r="25597" hidden="1" x14ac:dyDescent="0.25"/>
    <row r="25598" hidden="1" x14ac:dyDescent="0.25"/>
    <row r="25599" hidden="1" x14ac:dyDescent="0.25"/>
    <row r="25600" hidden="1" x14ac:dyDescent="0.25"/>
    <row r="25601" hidden="1" x14ac:dyDescent="0.25"/>
    <row r="25602" hidden="1" x14ac:dyDescent="0.25"/>
    <row r="25603" hidden="1" x14ac:dyDescent="0.25"/>
    <row r="25604" hidden="1" x14ac:dyDescent="0.25"/>
    <row r="25605" hidden="1" x14ac:dyDescent="0.25"/>
    <row r="25606" hidden="1" x14ac:dyDescent="0.25"/>
    <row r="25607" hidden="1" x14ac:dyDescent="0.25"/>
    <row r="25608" hidden="1" x14ac:dyDescent="0.25"/>
    <row r="25609" hidden="1" x14ac:dyDescent="0.25"/>
    <row r="25610" hidden="1" x14ac:dyDescent="0.25"/>
    <row r="25611" hidden="1" x14ac:dyDescent="0.25"/>
    <row r="25612" hidden="1" x14ac:dyDescent="0.25"/>
    <row r="25613" hidden="1" x14ac:dyDescent="0.25"/>
    <row r="25614" hidden="1" x14ac:dyDescent="0.25"/>
    <row r="25615" hidden="1" x14ac:dyDescent="0.25"/>
    <row r="25616" hidden="1" x14ac:dyDescent="0.25"/>
    <row r="25617" hidden="1" x14ac:dyDescent="0.25"/>
    <row r="25618" hidden="1" x14ac:dyDescent="0.25"/>
    <row r="25619" hidden="1" x14ac:dyDescent="0.25"/>
    <row r="25620" hidden="1" x14ac:dyDescent="0.25"/>
    <row r="25621" hidden="1" x14ac:dyDescent="0.25"/>
    <row r="25622" hidden="1" x14ac:dyDescent="0.25"/>
    <row r="25623" hidden="1" x14ac:dyDescent="0.25"/>
    <row r="25624" hidden="1" x14ac:dyDescent="0.25"/>
    <row r="25625" hidden="1" x14ac:dyDescent="0.25"/>
    <row r="25626" hidden="1" x14ac:dyDescent="0.25"/>
    <row r="25627" hidden="1" x14ac:dyDescent="0.25"/>
    <row r="25628" hidden="1" x14ac:dyDescent="0.25"/>
    <row r="25629" hidden="1" x14ac:dyDescent="0.25"/>
    <row r="25630" hidden="1" x14ac:dyDescent="0.25"/>
    <row r="25631" hidden="1" x14ac:dyDescent="0.25"/>
    <row r="25632" hidden="1" x14ac:dyDescent="0.25"/>
    <row r="25633" hidden="1" x14ac:dyDescent="0.25"/>
    <row r="25634" hidden="1" x14ac:dyDescent="0.25"/>
    <row r="25635" hidden="1" x14ac:dyDescent="0.25"/>
    <row r="25636" hidden="1" x14ac:dyDescent="0.25"/>
    <row r="25637" hidden="1" x14ac:dyDescent="0.25"/>
    <row r="25638" hidden="1" x14ac:dyDescent="0.25"/>
    <row r="25639" hidden="1" x14ac:dyDescent="0.25"/>
    <row r="25640" hidden="1" x14ac:dyDescent="0.25"/>
    <row r="25641" hidden="1" x14ac:dyDescent="0.25"/>
    <row r="25642" hidden="1" x14ac:dyDescent="0.25"/>
    <row r="25643" hidden="1" x14ac:dyDescent="0.25"/>
    <row r="25644" hidden="1" x14ac:dyDescent="0.25"/>
    <row r="25645" hidden="1" x14ac:dyDescent="0.25"/>
    <row r="25646" hidden="1" x14ac:dyDescent="0.25"/>
    <row r="25647" hidden="1" x14ac:dyDescent="0.25"/>
    <row r="25648" hidden="1" x14ac:dyDescent="0.25"/>
    <row r="25649" hidden="1" x14ac:dyDescent="0.25"/>
    <row r="25650" hidden="1" x14ac:dyDescent="0.25"/>
    <row r="25651" hidden="1" x14ac:dyDescent="0.25"/>
    <row r="25652" hidden="1" x14ac:dyDescent="0.25"/>
    <row r="25653" hidden="1" x14ac:dyDescent="0.25"/>
    <row r="25654" hidden="1" x14ac:dyDescent="0.25"/>
    <row r="25655" hidden="1" x14ac:dyDescent="0.25"/>
    <row r="25656" hidden="1" x14ac:dyDescent="0.25"/>
    <row r="25657" hidden="1" x14ac:dyDescent="0.25"/>
    <row r="25658" hidden="1" x14ac:dyDescent="0.25"/>
    <row r="25659" hidden="1" x14ac:dyDescent="0.25"/>
    <row r="25660" hidden="1" x14ac:dyDescent="0.25"/>
    <row r="25661" hidden="1" x14ac:dyDescent="0.25"/>
    <row r="25662" hidden="1" x14ac:dyDescent="0.25"/>
    <row r="25663" hidden="1" x14ac:dyDescent="0.25"/>
    <row r="25664" hidden="1" x14ac:dyDescent="0.25"/>
    <row r="25665" hidden="1" x14ac:dyDescent="0.25"/>
    <row r="25666" hidden="1" x14ac:dyDescent="0.25"/>
    <row r="25667" hidden="1" x14ac:dyDescent="0.25"/>
    <row r="25668" hidden="1" x14ac:dyDescent="0.25"/>
    <row r="25669" hidden="1" x14ac:dyDescent="0.25"/>
    <row r="25670" hidden="1" x14ac:dyDescent="0.25"/>
    <row r="25671" hidden="1" x14ac:dyDescent="0.25"/>
    <row r="25672" hidden="1" x14ac:dyDescent="0.25"/>
    <row r="25673" hidden="1" x14ac:dyDescent="0.25"/>
    <row r="25674" hidden="1" x14ac:dyDescent="0.25"/>
    <row r="25675" hidden="1" x14ac:dyDescent="0.25"/>
    <row r="25676" hidden="1" x14ac:dyDescent="0.25"/>
    <row r="25677" hidden="1" x14ac:dyDescent="0.25"/>
    <row r="25678" hidden="1" x14ac:dyDescent="0.25"/>
    <row r="25679" hidden="1" x14ac:dyDescent="0.25"/>
    <row r="25680" hidden="1" x14ac:dyDescent="0.25"/>
    <row r="25681" hidden="1" x14ac:dyDescent="0.25"/>
    <row r="25682" hidden="1" x14ac:dyDescent="0.25"/>
    <row r="25683" hidden="1" x14ac:dyDescent="0.25"/>
    <row r="25684" hidden="1" x14ac:dyDescent="0.25"/>
    <row r="25685" hidden="1" x14ac:dyDescent="0.25"/>
    <row r="25686" hidden="1" x14ac:dyDescent="0.25"/>
    <row r="25687" hidden="1" x14ac:dyDescent="0.25"/>
    <row r="25688" hidden="1" x14ac:dyDescent="0.25"/>
    <row r="25689" hidden="1" x14ac:dyDescent="0.25"/>
    <row r="25690" hidden="1" x14ac:dyDescent="0.25"/>
    <row r="25691" hidden="1" x14ac:dyDescent="0.25"/>
    <row r="25692" hidden="1" x14ac:dyDescent="0.25"/>
    <row r="25693" hidden="1" x14ac:dyDescent="0.25"/>
    <row r="25694" hidden="1" x14ac:dyDescent="0.25"/>
    <row r="25695" hidden="1" x14ac:dyDescent="0.25"/>
    <row r="25696" hidden="1" x14ac:dyDescent="0.25"/>
    <row r="25697" hidden="1" x14ac:dyDescent="0.25"/>
    <row r="25698" hidden="1" x14ac:dyDescent="0.25"/>
    <row r="25699" hidden="1" x14ac:dyDescent="0.25"/>
    <row r="25700" hidden="1" x14ac:dyDescent="0.25"/>
    <row r="25701" hidden="1" x14ac:dyDescent="0.25"/>
    <row r="25702" hidden="1" x14ac:dyDescent="0.25"/>
    <row r="25703" hidden="1" x14ac:dyDescent="0.25"/>
    <row r="25704" hidden="1" x14ac:dyDescent="0.25"/>
    <row r="25705" hidden="1" x14ac:dyDescent="0.25"/>
    <row r="25706" hidden="1" x14ac:dyDescent="0.25"/>
    <row r="25707" hidden="1" x14ac:dyDescent="0.25"/>
    <row r="25708" hidden="1" x14ac:dyDescent="0.25"/>
    <row r="25709" hidden="1" x14ac:dyDescent="0.25"/>
    <row r="25710" hidden="1" x14ac:dyDescent="0.25"/>
    <row r="25711" hidden="1" x14ac:dyDescent="0.25"/>
    <row r="25712" hidden="1" x14ac:dyDescent="0.25"/>
    <row r="25713" hidden="1" x14ac:dyDescent="0.25"/>
    <row r="25714" hidden="1" x14ac:dyDescent="0.25"/>
    <row r="25715" hidden="1" x14ac:dyDescent="0.25"/>
    <row r="25716" hidden="1" x14ac:dyDescent="0.25"/>
    <row r="25717" hidden="1" x14ac:dyDescent="0.25"/>
    <row r="25718" hidden="1" x14ac:dyDescent="0.25"/>
    <row r="25719" hidden="1" x14ac:dyDescent="0.25"/>
    <row r="25720" hidden="1" x14ac:dyDescent="0.25"/>
    <row r="25721" hidden="1" x14ac:dyDescent="0.25"/>
    <row r="25722" hidden="1" x14ac:dyDescent="0.25"/>
    <row r="25723" hidden="1" x14ac:dyDescent="0.25"/>
    <row r="25724" hidden="1" x14ac:dyDescent="0.25"/>
    <row r="25725" hidden="1" x14ac:dyDescent="0.25"/>
    <row r="25726" hidden="1" x14ac:dyDescent="0.25"/>
    <row r="25727" hidden="1" x14ac:dyDescent="0.25"/>
    <row r="25728" hidden="1" x14ac:dyDescent="0.25"/>
    <row r="25729" hidden="1" x14ac:dyDescent="0.25"/>
    <row r="25730" hidden="1" x14ac:dyDescent="0.25"/>
    <row r="25731" hidden="1" x14ac:dyDescent="0.25"/>
    <row r="25732" hidden="1" x14ac:dyDescent="0.25"/>
    <row r="25733" hidden="1" x14ac:dyDescent="0.25"/>
    <row r="25734" hidden="1" x14ac:dyDescent="0.25"/>
    <row r="25735" hidden="1" x14ac:dyDescent="0.25"/>
    <row r="25736" hidden="1" x14ac:dyDescent="0.25"/>
    <row r="25737" hidden="1" x14ac:dyDescent="0.25"/>
    <row r="25738" hidden="1" x14ac:dyDescent="0.25"/>
    <row r="25739" hidden="1" x14ac:dyDescent="0.25"/>
    <row r="25740" hidden="1" x14ac:dyDescent="0.25"/>
    <row r="25741" hidden="1" x14ac:dyDescent="0.25"/>
    <row r="25742" hidden="1" x14ac:dyDescent="0.25"/>
    <row r="25743" hidden="1" x14ac:dyDescent="0.25"/>
    <row r="25744" hidden="1" x14ac:dyDescent="0.25"/>
    <row r="25745" hidden="1" x14ac:dyDescent="0.25"/>
    <row r="25746" hidden="1" x14ac:dyDescent="0.25"/>
    <row r="25747" hidden="1" x14ac:dyDescent="0.25"/>
    <row r="25748" hidden="1" x14ac:dyDescent="0.25"/>
    <row r="25749" hidden="1" x14ac:dyDescent="0.25"/>
    <row r="25750" hidden="1" x14ac:dyDescent="0.25"/>
    <row r="25751" hidden="1" x14ac:dyDescent="0.25"/>
    <row r="25752" hidden="1" x14ac:dyDescent="0.25"/>
    <row r="25753" hidden="1" x14ac:dyDescent="0.25"/>
    <row r="25754" hidden="1" x14ac:dyDescent="0.25"/>
    <row r="25755" hidden="1" x14ac:dyDescent="0.25"/>
    <row r="25756" hidden="1" x14ac:dyDescent="0.25"/>
    <row r="25757" hidden="1" x14ac:dyDescent="0.25"/>
    <row r="25758" hidden="1" x14ac:dyDescent="0.25"/>
    <row r="25759" hidden="1" x14ac:dyDescent="0.25"/>
    <row r="25760" hidden="1" x14ac:dyDescent="0.25"/>
    <row r="25761" hidden="1" x14ac:dyDescent="0.25"/>
    <row r="25762" hidden="1" x14ac:dyDescent="0.25"/>
    <row r="25763" hidden="1" x14ac:dyDescent="0.25"/>
    <row r="25764" hidden="1" x14ac:dyDescent="0.25"/>
    <row r="25765" hidden="1" x14ac:dyDescent="0.25"/>
    <row r="25766" hidden="1" x14ac:dyDescent="0.25"/>
    <row r="25767" hidden="1" x14ac:dyDescent="0.25"/>
    <row r="25768" hidden="1" x14ac:dyDescent="0.25"/>
    <row r="25769" hidden="1" x14ac:dyDescent="0.25"/>
    <row r="25770" hidden="1" x14ac:dyDescent="0.25"/>
    <row r="25771" hidden="1" x14ac:dyDescent="0.25"/>
    <row r="25772" hidden="1" x14ac:dyDescent="0.25"/>
    <row r="25773" hidden="1" x14ac:dyDescent="0.25"/>
    <row r="25774" hidden="1" x14ac:dyDescent="0.25"/>
    <row r="25775" hidden="1" x14ac:dyDescent="0.25"/>
    <row r="25776" hidden="1" x14ac:dyDescent="0.25"/>
    <row r="25777" hidden="1" x14ac:dyDescent="0.25"/>
    <row r="25778" hidden="1" x14ac:dyDescent="0.25"/>
    <row r="25779" hidden="1" x14ac:dyDescent="0.25"/>
    <row r="25780" hidden="1" x14ac:dyDescent="0.25"/>
    <row r="25781" hidden="1" x14ac:dyDescent="0.25"/>
    <row r="25782" hidden="1" x14ac:dyDescent="0.25"/>
    <row r="25783" hidden="1" x14ac:dyDescent="0.25"/>
    <row r="25784" hidden="1" x14ac:dyDescent="0.25"/>
    <row r="25785" hidden="1" x14ac:dyDescent="0.25"/>
    <row r="25786" hidden="1" x14ac:dyDescent="0.25"/>
    <row r="25787" hidden="1" x14ac:dyDescent="0.25"/>
    <row r="25788" hidden="1" x14ac:dyDescent="0.25"/>
    <row r="25789" hidden="1" x14ac:dyDescent="0.25"/>
    <row r="25790" hidden="1" x14ac:dyDescent="0.25"/>
    <row r="25791" hidden="1" x14ac:dyDescent="0.25"/>
    <row r="25792" hidden="1" x14ac:dyDescent="0.25"/>
    <row r="25793" hidden="1" x14ac:dyDescent="0.25"/>
    <row r="25794" hidden="1" x14ac:dyDescent="0.25"/>
    <row r="25795" hidden="1" x14ac:dyDescent="0.25"/>
    <row r="25796" hidden="1" x14ac:dyDescent="0.25"/>
    <row r="25797" hidden="1" x14ac:dyDescent="0.25"/>
    <row r="25798" hidden="1" x14ac:dyDescent="0.25"/>
    <row r="25799" hidden="1" x14ac:dyDescent="0.25"/>
    <row r="25800" hidden="1" x14ac:dyDescent="0.25"/>
    <row r="25801" hidden="1" x14ac:dyDescent="0.25"/>
    <row r="25802" hidden="1" x14ac:dyDescent="0.25"/>
    <row r="25803" hidden="1" x14ac:dyDescent="0.25"/>
    <row r="25804" hidden="1" x14ac:dyDescent="0.25"/>
    <row r="25805" hidden="1" x14ac:dyDescent="0.25"/>
    <row r="25806" hidden="1" x14ac:dyDescent="0.25"/>
    <row r="25807" hidden="1" x14ac:dyDescent="0.25"/>
    <row r="25808" hidden="1" x14ac:dyDescent="0.25"/>
    <row r="25809" hidden="1" x14ac:dyDescent="0.25"/>
    <row r="25810" hidden="1" x14ac:dyDescent="0.25"/>
    <row r="25811" hidden="1" x14ac:dyDescent="0.25"/>
    <row r="25812" hidden="1" x14ac:dyDescent="0.25"/>
    <row r="25813" hidden="1" x14ac:dyDescent="0.25"/>
    <row r="25814" hidden="1" x14ac:dyDescent="0.25"/>
    <row r="25815" hidden="1" x14ac:dyDescent="0.25"/>
    <row r="25816" hidden="1" x14ac:dyDescent="0.25"/>
    <row r="25817" hidden="1" x14ac:dyDescent="0.25"/>
    <row r="25818" hidden="1" x14ac:dyDescent="0.25"/>
    <row r="25819" hidden="1" x14ac:dyDescent="0.25"/>
    <row r="25820" hidden="1" x14ac:dyDescent="0.25"/>
    <row r="25821" hidden="1" x14ac:dyDescent="0.25"/>
    <row r="25822" hidden="1" x14ac:dyDescent="0.25"/>
    <row r="25823" hidden="1" x14ac:dyDescent="0.25"/>
    <row r="25824" hidden="1" x14ac:dyDescent="0.25"/>
    <row r="25825" hidden="1" x14ac:dyDescent="0.25"/>
    <row r="25826" hidden="1" x14ac:dyDescent="0.25"/>
    <row r="25827" hidden="1" x14ac:dyDescent="0.25"/>
    <row r="25828" hidden="1" x14ac:dyDescent="0.25"/>
    <row r="25829" hidden="1" x14ac:dyDescent="0.25"/>
    <row r="25830" hidden="1" x14ac:dyDescent="0.25"/>
    <row r="25831" hidden="1" x14ac:dyDescent="0.25"/>
    <row r="25832" hidden="1" x14ac:dyDescent="0.25"/>
    <row r="25833" hidden="1" x14ac:dyDescent="0.25"/>
    <row r="25834" hidden="1" x14ac:dyDescent="0.25"/>
    <row r="25835" hidden="1" x14ac:dyDescent="0.25"/>
    <row r="25836" hidden="1" x14ac:dyDescent="0.25"/>
    <row r="25837" hidden="1" x14ac:dyDescent="0.25"/>
    <row r="25838" hidden="1" x14ac:dyDescent="0.25"/>
    <row r="25839" hidden="1" x14ac:dyDescent="0.25"/>
    <row r="25840" hidden="1" x14ac:dyDescent="0.25"/>
    <row r="25841" hidden="1" x14ac:dyDescent="0.25"/>
    <row r="25842" hidden="1" x14ac:dyDescent="0.25"/>
    <row r="25843" hidden="1" x14ac:dyDescent="0.25"/>
    <row r="25844" hidden="1" x14ac:dyDescent="0.25"/>
    <row r="25845" hidden="1" x14ac:dyDescent="0.25"/>
    <row r="25846" hidden="1" x14ac:dyDescent="0.25"/>
    <row r="25847" hidden="1" x14ac:dyDescent="0.25"/>
    <row r="25848" hidden="1" x14ac:dyDescent="0.25"/>
    <row r="25849" hidden="1" x14ac:dyDescent="0.25"/>
    <row r="25850" hidden="1" x14ac:dyDescent="0.25"/>
    <row r="25851" hidden="1" x14ac:dyDescent="0.25"/>
    <row r="25852" hidden="1" x14ac:dyDescent="0.25"/>
    <row r="25853" hidden="1" x14ac:dyDescent="0.25"/>
    <row r="25854" hidden="1" x14ac:dyDescent="0.25"/>
    <row r="25855" hidden="1" x14ac:dyDescent="0.25"/>
    <row r="25856" hidden="1" x14ac:dyDescent="0.25"/>
    <row r="25857" hidden="1" x14ac:dyDescent="0.25"/>
    <row r="25858" hidden="1" x14ac:dyDescent="0.25"/>
    <row r="25859" hidden="1" x14ac:dyDescent="0.25"/>
    <row r="25860" hidden="1" x14ac:dyDescent="0.25"/>
    <row r="25861" hidden="1" x14ac:dyDescent="0.25"/>
    <row r="25862" hidden="1" x14ac:dyDescent="0.25"/>
    <row r="25863" hidden="1" x14ac:dyDescent="0.25"/>
    <row r="25864" hidden="1" x14ac:dyDescent="0.25"/>
    <row r="25865" hidden="1" x14ac:dyDescent="0.25"/>
    <row r="25866" hidden="1" x14ac:dyDescent="0.25"/>
    <row r="25867" hidden="1" x14ac:dyDescent="0.25"/>
    <row r="25868" hidden="1" x14ac:dyDescent="0.25"/>
    <row r="25869" hidden="1" x14ac:dyDescent="0.25"/>
    <row r="25870" hidden="1" x14ac:dyDescent="0.25"/>
    <row r="25871" hidden="1" x14ac:dyDescent="0.25"/>
    <row r="25872" hidden="1" x14ac:dyDescent="0.25"/>
    <row r="25873" hidden="1" x14ac:dyDescent="0.25"/>
    <row r="25874" hidden="1" x14ac:dyDescent="0.25"/>
    <row r="25875" hidden="1" x14ac:dyDescent="0.25"/>
    <row r="25876" hidden="1" x14ac:dyDescent="0.25"/>
    <row r="25877" hidden="1" x14ac:dyDescent="0.25"/>
    <row r="25878" hidden="1" x14ac:dyDescent="0.25"/>
    <row r="25879" hidden="1" x14ac:dyDescent="0.25"/>
    <row r="25880" hidden="1" x14ac:dyDescent="0.25"/>
    <row r="25881" hidden="1" x14ac:dyDescent="0.25"/>
    <row r="25882" hidden="1" x14ac:dyDescent="0.25"/>
    <row r="25883" hidden="1" x14ac:dyDescent="0.25"/>
    <row r="25884" hidden="1" x14ac:dyDescent="0.25"/>
    <row r="25885" hidden="1" x14ac:dyDescent="0.25"/>
    <row r="25886" hidden="1" x14ac:dyDescent="0.25"/>
    <row r="25887" hidden="1" x14ac:dyDescent="0.25"/>
    <row r="25888" hidden="1" x14ac:dyDescent="0.25"/>
    <row r="25889" hidden="1" x14ac:dyDescent="0.25"/>
    <row r="25890" hidden="1" x14ac:dyDescent="0.25"/>
    <row r="25891" hidden="1" x14ac:dyDescent="0.25"/>
    <row r="25892" hidden="1" x14ac:dyDescent="0.25"/>
    <row r="25893" hidden="1" x14ac:dyDescent="0.25"/>
    <row r="25894" hidden="1" x14ac:dyDescent="0.25"/>
    <row r="25895" hidden="1" x14ac:dyDescent="0.25"/>
    <row r="25896" hidden="1" x14ac:dyDescent="0.25"/>
    <row r="25897" hidden="1" x14ac:dyDescent="0.25"/>
    <row r="25898" hidden="1" x14ac:dyDescent="0.25"/>
    <row r="25899" hidden="1" x14ac:dyDescent="0.25"/>
    <row r="25900" hidden="1" x14ac:dyDescent="0.25"/>
    <row r="25901" hidden="1" x14ac:dyDescent="0.25"/>
    <row r="25902" hidden="1" x14ac:dyDescent="0.25"/>
    <row r="25903" hidden="1" x14ac:dyDescent="0.25"/>
    <row r="25904" hidden="1" x14ac:dyDescent="0.25"/>
    <row r="25905" hidden="1" x14ac:dyDescent="0.25"/>
    <row r="25906" hidden="1" x14ac:dyDescent="0.25"/>
    <row r="25907" hidden="1" x14ac:dyDescent="0.25"/>
    <row r="25908" hidden="1" x14ac:dyDescent="0.25"/>
    <row r="25909" hidden="1" x14ac:dyDescent="0.25"/>
    <row r="25910" hidden="1" x14ac:dyDescent="0.25"/>
    <row r="25911" hidden="1" x14ac:dyDescent="0.25"/>
    <row r="25912" hidden="1" x14ac:dyDescent="0.25"/>
    <row r="25913" hidden="1" x14ac:dyDescent="0.25"/>
    <row r="25914" hidden="1" x14ac:dyDescent="0.25"/>
    <row r="25915" hidden="1" x14ac:dyDescent="0.25"/>
    <row r="25916" hidden="1" x14ac:dyDescent="0.25"/>
    <row r="25917" hidden="1" x14ac:dyDescent="0.25"/>
    <row r="25918" hidden="1" x14ac:dyDescent="0.25"/>
    <row r="25919" hidden="1" x14ac:dyDescent="0.25"/>
    <row r="25920" hidden="1" x14ac:dyDescent="0.25"/>
    <row r="25921" hidden="1" x14ac:dyDescent="0.25"/>
    <row r="25922" hidden="1" x14ac:dyDescent="0.25"/>
    <row r="25923" hidden="1" x14ac:dyDescent="0.25"/>
    <row r="25924" hidden="1" x14ac:dyDescent="0.25"/>
    <row r="25925" hidden="1" x14ac:dyDescent="0.25"/>
    <row r="25926" hidden="1" x14ac:dyDescent="0.25"/>
    <row r="25927" hidden="1" x14ac:dyDescent="0.25"/>
    <row r="25928" hidden="1" x14ac:dyDescent="0.25"/>
    <row r="25929" hidden="1" x14ac:dyDescent="0.25"/>
    <row r="25930" hidden="1" x14ac:dyDescent="0.25"/>
    <row r="25931" hidden="1" x14ac:dyDescent="0.25"/>
    <row r="25932" hidden="1" x14ac:dyDescent="0.25"/>
    <row r="25933" hidden="1" x14ac:dyDescent="0.25"/>
    <row r="25934" hidden="1" x14ac:dyDescent="0.25"/>
    <row r="25935" hidden="1" x14ac:dyDescent="0.25"/>
    <row r="25936" hidden="1" x14ac:dyDescent="0.25"/>
    <row r="25937" hidden="1" x14ac:dyDescent="0.25"/>
    <row r="25938" hidden="1" x14ac:dyDescent="0.25"/>
    <row r="25939" hidden="1" x14ac:dyDescent="0.25"/>
    <row r="25940" hidden="1" x14ac:dyDescent="0.25"/>
    <row r="25941" hidden="1" x14ac:dyDescent="0.25"/>
    <row r="25942" hidden="1" x14ac:dyDescent="0.25"/>
    <row r="25943" hidden="1" x14ac:dyDescent="0.25"/>
    <row r="25944" hidden="1" x14ac:dyDescent="0.25"/>
    <row r="25945" hidden="1" x14ac:dyDescent="0.25"/>
    <row r="25946" hidden="1" x14ac:dyDescent="0.25"/>
    <row r="25947" hidden="1" x14ac:dyDescent="0.25"/>
    <row r="25948" hidden="1" x14ac:dyDescent="0.25"/>
    <row r="25949" hidden="1" x14ac:dyDescent="0.25"/>
    <row r="25950" hidden="1" x14ac:dyDescent="0.25"/>
    <row r="25951" hidden="1" x14ac:dyDescent="0.25"/>
    <row r="25952" hidden="1" x14ac:dyDescent="0.25"/>
    <row r="25953" hidden="1" x14ac:dyDescent="0.25"/>
    <row r="25954" hidden="1" x14ac:dyDescent="0.25"/>
    <row r="25955" hidden="1" x14ac:dyDescent="0.25"/>
    <row r="25956" hidden="1" x14ac:dyDescent="0.25"/>
    <row r="25957" hidden="1" x14ac:dyDescent="0.25"/>
    <row r="25958" hidden="1" x14ac:dyDescent="0.25"/>
    <row r="25959" hidden="1" x14ac:dyDescent="0.25"/>
    <row r="25960" hidden="1" x14ac:dyDescent="0.25"/>
    <row r="25961" hidden="1" x14ac:dyDescent="0.25"/>
    <row r="25962" hidden="1" x14ac:dyDescent="0.25"/>
    <row r="25963" hidden="1" x14ac:dyDescent="0.25"/>
    <row r="25964" hidden="1" x14ac:dyDescent="0.25"/>
    <row r="25965" hidden="1" x14ac:dyDescent="0.25"/>
    <row r="25966" hidden="1" x14ac:dyDescent="0.25"/>
    <row r="25967" hidden="1" x14ac:dyDescent="0.25"/>
    <row r="25968" hidden="1" x14ac:dyDescent="0.25"/>
    <row r="25969" hidden="1" x14ac:dyDescent="0.25"/>
    <row r="25970" hidden="1" x14ac:dyDescent="0.25"/>
    <row r="25971" hidden="1" x14ac:dyDescent="0.25"/>
    <row r="25972" hidden="1" x14ac:dyDescent="0.25"/>
    <row r="25973" hidden="1" x14ac:dyDescent="0.25"/>
    <row r="25974" hidden="1" x14ac:dyDescent="0.25"/>
    <row r="25975" hidden="1" x14ac:dyDescent="0.25"/>
    <row r="25976" hidden="1" x14ac:dyDescent="0.25"/>
    <row r="25977" hidden="1" x14ac:dyDescent="0.25"/>
    <row r="25978" hidden="1" x14ac:dyDescent="0.25"/>
    <row r="25979" hidden="1" x14ac:dyDescent="0.25"/>
    <row r="25980" hidden="1" x14ac:dyDescent="0.25"/>
    <row r="25981" hidden="1" x14ac:dyDescent="0.25"/>
    <row r="25982" hidden="1" x14ac:dyDescent="0.25"/>
    <row r="25983" hidden="1" x14ac:dyDescent="0.25"/>
    <row r="25984" hidden="1" x14ac:dyDescent="0.25"/>
    <row r="25985" hidden="1" x14ac:dyDescent="0.25"/>
    <row r="25986" hidden="1" x14ac:dyDescent="0.25"/>
    <row r="25987" hidden="1" x14ac:dyDescent="0.25"/>
    <row r="25988" hidden="1" x14ac:dyDescent="0.25"/>
    <row r="25989" hidden="1" x14ac:dyDescent="0.25"/>
    <row r="25990" hidden="1" x14ac:dyDescent="0.25"/>
    <row r="25991" hidden="1" x14ac:dyDescent="0.25"/>
    <row r="25992" hidden="1" x14ac:dyDescent="0.25"/>
    <row r="25993" hidden="1" x14ac:dyDescent="0.25"/>
    <row r="25994" hidden="1" x14ac:dyDescent="0.25"/>
    <row r="25995" hidden="1" x14ac:dyDescent="0.25"/>
    <row r="25996" hidden="1" x14ac:dyDescent="0.25"/>
    <row r="25997" hidden="1" x14ac:dyDescent="0.25"/>
    <row r="25998" hidden="1" x14ac:dyDescent="0.25"/>
    <row r="25999" hidden="1" x14ac:dyDescent="0.25"/>
    <row r="26000" hidden="1" x14ac:dyDescent="0.25"/>
    <row r="26001" hidden="1" x14ac:dyDescent="0.25"/>
    <row r="26002" hidden="1" x14ac:dyDescent="0.25"/>
    <row r="26003" hidden="1" x14ac:dyDescent="0.25"/>
    <row r="26004" hidden="1" x14ac:dyDescent="0.25"/>
    <row r="26005" hidden="1" x14ac:dyDescent="0.25"/>
    <row r="26006" hidden="1" x14ac:dyDescent="0.25"/>
    <row r="26007" hidden="1" x14ac:dyDescent="0.25"/>
    <row r="26008" hidden="1" x14ac:dyDescent="0.25"/>
    <row r="26009" hidden="1" x14ac:dyDescent="0.25"/>
    <row r="26010" hidden="1" x14ac:dyDescent="0.25"/>
    <row r="26011" hidden="1" x14ac:dyDescent="0.25"/>
    <row r="26012" hidden="1" x14ac:dyDescent="0.25"/>
    <row r="26013" hidden="1" x14ac:dyDescent="0.25"/>
    <row r="26014" hidden="1" x14ac:dyDescent="0.25"/>
    <row r="26015" hidden="1" x14ac:dyDescent="0.25"/>
    <row r="26016" hidden="1" x14ac:dyDescent="0.25"/>
    <row r="26017" hidden="1" x14ac:dyDescent="0.25"/>
    <row r="26018" hidden="1" x14ac:dyDescent="0.25"/>
    <row r="26019" hidden="1" x14ac:dyDescent="0.25"/>
    <row r="26020" hidden="1" x14ac:dyDescent="0.25"/>
    <row r="26021" hidden="1" x14ac:dyDescent="0.25"/>
    <row r="26022" hidden="1" x14ac:dyDescent="0.25"/>
    <row r="26023" hidden="1" x14ac:dyDescent="0.25"/>
    <row r="26024" hidden="1" x14ac:dyDescent="0.25"/>
    <row r="26025" hidden="1" x14ac:dyDescent="0.25"/>
    <row r="26026" hidden="1" x14ac:dyDescent="0.25"/>
    <row r="26027" hidden="1" x14ac:dyDescent="0.25"/>
    <row r="26028" hidden="1" x14ac:dyDescent="0.25"/>
    <row r="26029" hidden="1" x14ac:dyDescent="0.25"/>
    <row r="26030" hidden="1" x14ac:dyDescent="0.25"/>
    <row r="26031" hidden="1" x14ac:dyDescent="0.25"/>
    <row r="26032" hidden="1" x14ac:dyDescent="0.25"/>
    <row r="26033" hidden="1" x14ac:dyDescent="0.25"/>
    <row r="26034" hidden="1" x14ac:dyDescent="0.25"/>
    <row r="26035" hidden="1" x14ac:dyDescent="0.25"/>
    <row r="26036" hidden="1" x14ac:dyDescent="0.25"/>
    <row r="26037" hidden="1" x14ac:dyDescent="0.25"/>
    <row r="26038" hidden="1" x14ac:dyDescent="0.25"/>
    <row r="26039" hidden="1" x14ac:dyDescent="0.25"/>
    <row r="26040" hidden="1" x14ac:dyDescent="0.25"/>
    <row r="26041" hidden="1" x14ac:dyDescent="0.25"/>
    <row r="26042" hidden="1" x14ac:dyDescent="0.25"/>
    <row r="26043" hidden="1" x14ac:dyDescent="0.25"/>
    <row r="26044" hidden="1" x14ac:dyDescent="0.25"/>
    <row r="26045" hidden="1" x14ac:dyDescent="0.25"/>
    <row r="26046" hidden="1" x14ac:dyDescent="0.25"/>
    <row r="26047" hidden="1" x14ac:dyDescent="0.25"/>
    <row r="26048" hidden="1" x14ac:dyDescent="0.25"/>
    <row r="26049" hidden="1" x14ac:dyDescent="0.25"/>
    <row r="26050" hidden="1" x14ac:dyDescent="0.25"/>
    <row r="26051" hidden="1" x14ac:dyDescent="0.25"/>
    <row r="26052" hidden="1" x14ac:dyDescent="0.25"/>
    <row r="26053" hidden="1" x14ac:dyDescent="0.25"/>
    <row r="26054" hidden="1" x14ac:dyDescent="0.25"/>
    <row r="26055" hidden="1" x14ac:dyDescent="0.25"/>
    <row r="26056" hidden="1" x14ac:dyDescent="0.25"/>
    <row r="26057" hidden="1" x14ac:dyDescent="0.25"/>
    <row r="26058" hidden="1" x14ac:dyDescent="0.25"/>
    <row r="26059" hidden="1" x14ac:dyDescent="0.25"/>
    <row r="26060" hidden="1" x14ac:dyDescent="0.25"/>
    <row r="26061" hidden="1" x14ac:dyDescent="0.25"/>
    <row r="26062" hidden="1" x14ac:dyDescent="0.25"/>
    <row r="26063" hidden="1" x14ac:dyDescent="0.25"/>
    <row r="26064" hidden="1" x14ac:dyDescent="0.25"/>
    <row r="26065" hidden="1" x14ac:dyDescent="0.25"/>
    <row r="26066" hidden="1" x14ac:dyDescent="0.25"/>
    <row r="26067" hidden="1" x14ac:dyDescent="0.25"/>
    <row r="26068" hidden="1" x14ac:dyDescent="0.25"/>
    <row r="26069" hidden="1" x14ac:dyDescent="0.25"/>
    <row r="26070" hidden="1" x14ac:dyDescent="0.25"/>
    <row r="26071" hidden="1" x14ac:dyDescent="0.25"/>
    <row r="26072" hidden="1" x14ac:dyDescent="0.25"/>
    <row r="26073" hidden="1" x14ac:dyDescent="0.25"/>
    <row r="26074" hidden="1" x14ac:dyDescent="0.25"/>
    <row r="26075" hidden="1" x14ac:dyDescent="0.25"/>
    <row r="26076" hidden="1" x14ac:dyDescent="0.25"/>
    <row r="26077" hidden="1" x14ac:dyDescent="0.25"/>
    <row r="26078" hidden="1" x14ac:dyDescent="0.25"/>
    <row r="26079" hidden="1" x14ac:dyDescent="0.25"/>
    <row r="26080" hidden="1" x14ac:dyDescent="0.25"/>
    <row r="26081" hidden="1" x14ac:dyDescent="0.25"/>
    <row r="26082" hidden="1" x14ac:dyDescent="0.25"/>
    <row r="26083" hidden="1" x14ac:dyDescent="0.25"/>
    <row r="26084" hidden="1" x14ac:dyDescent="0.25"/>
    <row r="26085" hidden="1" x14ac:dyDescent="0.25"/>
    <row r="26086" hidden="1" x14ac:dyDescent="0.25"/>
    <row r="26087" hidden="1" x14ac:dyDescent="0.25"/>
    <row r="26088" hidden="1" x14ac:dyDescent="0.25"/>
    <row r="26089" hidden="1" x14ac:dyDescent="0.25"/>
    <row r="26090" hidden="1" x14ac:dyDescent="0.25"/>
    <row r="26091" hidden="1" x14ac:dyDescent="0.25"/>
    <row r="26092" hidden="1" x14ac:dyDescent="0.25"/>
    <row r="26093" hidden="1" x14ac:dyDescent="0.25"/>
    <row r="26094" hidden="1" x14ac:dyDescent="0.25"/>
    <row r="26095" hidden="1" x14ac:dyDescent="0.25"/>
    <row r="26096" hidden="1" x14ac:dyDescent="0.25"/>
    <row r="26097" hidden="1" x14ac:dyDescent="0.25"/>
    <row r="26098" hidden="1" x14ac:dyDescent="0.25"/>
    <row r="26099" hidden="1" x14ac:dyDescent="0.25"/>
    <row r="26100" hidden="1" x14ac:dyDescent="0.25"/>
    <row r="26101" hidden="1" x14ac:dyDescent="0.25"/>
    <row r="26102" hidden="1" x14ac:dyDescent="0.25"/>
    <row r="26103" hidden="1" x14ac:dyDescent="0.25"/>
    <row r="26104" hidden="1" x14ac:dyDescent="0.25"/>
    <row r="26105" hidden="1" x14ac:dyDescent="0.25"/>
    <row r="26106" hidden="1" x14ac:dyDescent="0.25"/>
    <row r="26107" hidden="1" x14ac:dyDescent="0.25"/>
    <row r="26108" hidden="1" x14ac:dyDescent="0.25"/>
    <row r="26109" hidden="1" x14ac:dyDescent="0.25"/>
    <row r="26110" hidden="1" x14ac:dyDescent="0.25"/>
    <row r="26111" hidden="1" x14ac:dyDescent="0.25"/>
    <row r="26112" hidden="1" x14ac:dyDescent="0.25"/>
    <row r="26113" hidden="1" x14ac:dyDescent="0.25"/>
    <row r="26114" hidden="1" x14ac:dyDescent="0.25"/>
    <row r="26115" hidden="1" x14ac:dyDescent="0.25"/>
    <row r="26116" hidden="1" x14ac:dyDescent="0.25"/>
    <row r="26117" hidden="1" x14ac:dyDescent="0.25"/>
    <row r="26118" hidden="1" x14ac:dyDescent="0.25"/>
    <row r="26119" hidden="1" x14ac:dyDescent="0.25"/>
    <row r="26120" hidden="1" x14ac:dyDescent="0.25"/>
    <row r="26121" hidden="1" x14ac:dyDescent="0.25"/>
    <row r="26122" hidden="1" x14ac:dyDescent="0.25"/>
    <row r="26123" hidden="1" x14ac:dyDescent="0.25"/>
    <row r="26124" hidden="1" x14ac:dyDescent="0.25"/>
    <row r="26125" hidden="1" x14ac:dyDescent="0.25"/>
    <row r="26126" hidden="1" x14ac:dyDescent="0.25"/>
    <row r="26127" hidden="1" x14ac:dyDescent="0.25"/>
    <row r="26128" hidden="1" x14ac:dyDescent="0.25"/>
    <row r="26129" hidden="1" x14ac:dyDescent="0.25"/>
    <row r="26130" hidden="1" x14ac:dyDescent="0.25"/>
    <row r="26131" hidden="1" x14ac:dyDescent="0.25"/>
    <row r="26132" hidden="1" x14ac:dyDescent="0.25"/>
    <row r="26133" hidden="1" x14ac:dyDescent="0.25"/>
    <row r="26134" hidden="1" x14ac:dyDescent="0.25"/>
    <row r="26135" hidden="1" x14ac:dyDescent="0.25"/>
    <row r="26136" hidden="1" x14ac:dyDescent="0.25"/>
    <row r="26137" hidden="1" x14ac:dyDescent="0.25"/>
    <row r="26138" hidden="1" x14ac:dyDescent="0.25"/>
    <row r="26139" hidden="1" x14ac:dyDescent="0.25"/>
    <row r="26140" hidden="1" x14ac:dyDescent="0.25"/>
    <row r="26141" hidden="1" x14ac:dyDescent="0.25"/>
    <row r="26142" hidden="1" x14ac:dyDescent="0.25"/>
    <row r="26143" hidden="1" x14ac:dyDescent="0.25"/>
    <row r="26144" hidden="1" x14ac:dyDescent="0.25"/>
    <row r="26145" hidden="1" x14ac:dyDescent="0.25"/>
    <row r="26146" hidden="1" x14ac:dyDescent="0.25"/>
    <row r="26147" hidden="1" x14ac:dyDescent="0.25"/>
    <row r="26148" hidden="1" x14ac:dyDescent="0.25"/>
    <row r="26149" hidden="1" x14ac:dyDescent="0.25"/>
    <row r="26150" hidden="1" x14ac:dyDescent="0.25"/>
    <row r="26151" hidden="1" x14ac:dyDescent="0.25"/>
    <row r="26152" hidden="1" x14ac:dyDescent="0.25"/>
    <row r="26153" hidden="1" x14ac:dyDescent="0.25"/>
    <row r="26154" hidden="1" x14ac:dyDescent="0.25"/>
    <row r="26155" hidden="1" x14ac:dyDescent="0.25"/>
    <row r="26156" hidden="1" x14ac:dyDescent="0.25"/>
    <row r="26157" hidden="1" x14ac:dyDescent="0.25"/>
    <row r="26158" hidden="1" x14ac:dyDescent="0.25"/>
    <row r="26159" hidden="1" x14ac:dyDescent="0.25"/>
    <row r="26160" hidden="1" x14ac:dyDescent="0.25"/>
    <row r="26161" hidden="1" x14ac:dyDescent="0.25"/>
    <row r="26162" hidden="1" x14ac:dyDescent="0.25"/>
    <row r="26163" hidden="1" x14ac:dyDescent="0.25"/>
    <row r="26164" hidden="1" x14ac:dyDescent="0.25"/>
    <row r="26165" hidden="1" x14ac:dyDescent="0.25"/>
    <row r="26166" hidden="1" x14ac:dyDescent="0.25"/>
    <row r="26167" hidden="1" x14ac:dyDescent="0.25"/>
    <row r="26168" hidden="1" x14ac:dyDescent="0.25"/>
    <row r="26169" hidden="1" x14ac:dyDescent="0.25"/>
    <row r="26170" hidden="1" x14ac:dyDescent="0.25"/>
    <row r="26171" hidden="1" x14ac:dyDescent="0.25"/>
    <row r="26172" hidden="1" x14ac:dyDescent="0.25"/>
    <row r="26173" hidden="1" x14ac:dyDescent="0.25"/>
    <row r="26174" hidden="1" x14ac:dyDescent="0.25"/>
    <row r="26175" hidden="1" x14ac:dyDescent="0.25"/>
    <row r="26176" hidden="1" x14ac:dyDescent="0.25"/>
    <row r="26177" hidden="1" x14ac:dyDescent="0.25"/>
    <row r="26178" hidden="1" x14ac:dyDescent="0.25"/>
    <row r="26179" hidden="1" x14ac:dyDescent="0.25"/>
    <row r="26180" hidden="1" x14ac:dyDescent="0.25"/>
    <row r="26181" hidden="1" x14ac:dyDescent="0.25"/>
    <row r="26182" hidden="1" x14ac:dyDescent="0.25"/>
    <row r="26183" hidden="1" x14ac:dyDescent="0.25"/>
    <row r="26184" hidden="1" x14ac:dyDescent="0.25"/>
    <row r="26185" hidden="1" x14ac:dyDescent="0.25"/>
    <row r="26186" hidden="1" x14ac:dyDescent="0.25"/>
    <row r="26187" hidden="1" x14ac:dyDescent="0.25"/>
    <row r="26188" hidden="1" x14ac:dyDescent="0.25"/>
    <row r="26189" hidden="1" x14ac:dyDescent="0.25"/>
    <row r="26190" hidden="1" x14ac:dyDescent="0.25"/>
    <row r="26191" hidden="1" x14ac:dyDescent="0.25"/>
    <row r="26192" hidden="1" x14ac:dyDescent="0.25"/>
    <row r="26193" hidden="1" x14ac:dyDescent="0.25"/>
    <row r="26194" hidden="1" x14ac:dyDescent="0.25"/>
    <row r="26195" hidden="1" x14ac:dyDescent="0.25"/>
    <row r="26196" hidden="1" x14ac:dyDescent="0.25"/>
    <row r="26197" hidden="1" x14ac:dyDescent="0.25"/>
    <row r="26198" hidden="1" x14ac:dyDescent="0.25"/>
    <row r="26199" hidden="1" x14ac:dyDescent="0.25"/>
    <row r="26200" hidden="1" x14ac:dyDescent="0.25"/>
    <row r="26201" hidden="1" x14ac:dyDescent="0.25"/>
    <row r="26202" hidden="1" x14ac:dyDescent="0.25"/>
    <row r="26203" hidden="1" x14ac:dyDescent="0.25"/>
    <row r="26204" hidden="1" x14ac:dyDescent="0.25"/>
    <row r="26205" hidden="1" x14ac:dyDescent="0.25"/>
    <row r="26206" hidden="1" x14ac:dyDescent="0.25"/>
    <row r="26207" hidden="1" x14ac:dyDescent="0.25"/>
    <row r="26208" hidden="1" x14ac:dyDescent="0.25"/>
    <row r="26209" hidden="1" x14ac:dyDescent="0.25"/>
    <row r="26210" hidden="1" x14ac:dyDescent="0.25"/>
    <row r="26211" hidden="1" x14ac:dyDescent="0.25"/>
    <row r="26212" hidden="1" x14ac:dyDescent="0.25"/>
    <row r="26213" hidden="1" x14ac:dyDescent="0.25"/>
    <row r="26214" hidden="1" x14ac:dyDescent="0.25"/>
    <row r="26215" hidden="1" x14ac:dyDescent="0.25"/>
    <row r="26216" hidden="1" x14ac:dyDescent="0.25"/>
    <row r="26217" hidden="1" x14ac:dyDescent="0.25"/>
    <row r="26218" hidden="1" x14ac:dyDescent="0.25"/>
    <row r="26219" hidden="1" x14ac:dyDescent="0.25"/>
    <row r="26220" hidden="1" x14ac:dyDescent="0.25"/>
    <row r="26221" hidden="1" x14ac:dyDescent="0.25"/>
    <row r="26222" hidden="1" x14ac:dyDescent="0.25"/>
    <row r="26223" hidden="1" x14ac:dyDescent="0.25"/>
    <row r="26224" hidden="1" x14ac:dyDescent="0.25"/>
    <row r="26225" hidden="1" x14ac:dyDescent="0.25"/>
    <row r="26226" hidden="1" x14ac:dyDescent="0.25"/>
    <row r="26227" hidden="1" x14ac:dyDescent="0.25"/>
    <row r="26228" hidden="1" x14ac:dyDescent="0.25"/>
    <row r="26229" hidden="1" x14ac:dyDescent="0.25"/>
    <row r="26230" hidden="1" x14ac:dyDescent="0.25"/>
    <row r="26231" hidden="1" x14ac:dyDescent="0.25"/>
    <row r="26232" hidden="1" x14ac:dyDescent="0.25"/>
    <row r="26233" hidden="1" x14ac:dyDescent="0.25"/>
    <row r="26234" hidden="1" x14ac:dyDescent="0.25"/>
    <row r="26235" hidden="1" x14ac:dyDescent="0.25"/>
    <row r="26236" hidden="1" x14ac:dyDescent="0.25"/>
    <row r="26237" hidden="1" x14ac:dyDescent="0.25"/>
    <row r="26238" hidden="1" x14ac:dyDescent="0.25"/>
    <row r="26239" hidden="1" x14ac:dyDescent="0.25"/>
    <row r="26240" hidden="1" x14ac:dyDescent="0.25"/>
    <row r="26241" hidden="1" x14ac:dyDescent="0.25"/>
    <row r="26242" hidden="1" x14ac:dyDescent="0.25"/>
    <row r="26243" hidden="1" x14ac:dyDescent="0.25"/>
    <row r="26244" hidden="1" x14ac:dyDescent="0.25"/>
    <row r="26245" hidden="1" x14ac:dyDescent="0.25"/>
    <row r="26246" hidden="1" x14ac:dyDescent="0.25"/>
    <row r="26247" hidden="1" x14ac:dyDescent="0.25"/>
    <row r="26248" hidden="1" x14ac:dyDescent="0.25"/>
    <row r="26249" hidden="1" x14ac:dyDescent="0.25"/>
    <row r="26250" hidden="1" x14ac:dyDescent="0.25"/>
    <row r="26251" hidden="1" x14ac:dyDescent="0.25"/>
    <row r="26252" hidden="1" x14ac:dyDescent="0.25"/>
    <row r="26253" hidden="1" x14ac:dyDescent="0.25"/>
    <row r="26254" hidden="1" x14ac:dyDescent="0.25"/>
    <row r="26255" hidden="1" x14ac:dyDescent="0.25"/>
    <row r="26256" hidden="1" x14ac:dyDescent="0.25"/>
    <row r="26257" hidden="1" x14ac:dyDescent="0.25"/>
    <row r="26258" hidden="1" x14ac:dyDescent="0.25"/>
    <row r="26259" hidden="1" x14ac:dyDescent="0.25"/>
    <row r="26260" hidden="1" x14ac:dyDescent="0.25"/>
    <row r="26261" hidden="1" x14ac:dyDescent="0.25"/>
    <row r="26262" hidden="1" x14ac:dyDescent="0.25"/>
    <row r="26263" hidden="1" x14ac:dyDescent="0.25"/>
    <row r="26264" hidden="1" x14ac:dyDescent="0.25"/>
    <row r="26265" hidden="1" x14ac:dyDescent="0.25"/>
    <row r="26266" hidden="1" x14ac:dyDescent="0.25"/>
    <row r="26267" hidden="1" x14ac:dyDescent="0.25"/>
    <row r="26268" hidden="1" x14ac:dyDescent="0.25"/>
    <row r="26269" hidden="1" x14ac:dyDescent="0.25"/>
    <row r="26270" hidden="1" x14ac:dyDescent="0.25"/>
    <row r="26271" hidden="1" x14ac:dyDescent="0.25"/>
    <row r="26272" hidden="1" x14ac:dyDescent="0.25"/>
    <row r="26273" hidden="1" x14ac:dyDescent="0.25"/>
    <row r="26274" hidden="1" x14ac:dyDescent="0.25"/>
    <row r="26275" hidden="1" x14ac:dyDescent="0.25"/>
    <row r="26276" hidden="1" x14ac:dyDescent="0.25"/>
    <row r="26277" hidden="1" x14ac:dyDescent="0.25"/>
    <row r="26278" hidden="1" x14ac:dyDescent="0.25"/>
    <row r="26279" hidden="1" x14ac:dyDescent="0.25"/>
    <row r="26280" hidden="1" x14ac:dyDescent="0.25"/>
    <row r="26281" hidden="1" x14ac:dyDescent="0.25"/>
    <row r="26282" hidden="1" x14ac:dyDescent="0.25"/>
    <row r="26283" hidden="1" x14ac:dyDescent="0.25"/>
    <row r="26284" hidden="1" x14ac:dyDescent="0.25"/>
    <row r="26285" hidden="1" x14ac:dyDescent="0.25"/>
    <row r="26286" hidden="1" x14ac:dyDescent="0.25"/>
    <row r="26287" hidden="1" x14ac:dyDescent="0.25"/>
    <row r="26288" hidden="1" x14ac:dyDescent="0.25"/>
    <row r="26289" hidden="1" x14ac:dyDescent="0.25"/>
    <row r="26290" hidden="1" x14ac:dyDescent="0.25"/>
    <row r="26291" hidden="1" x14ac:dyDescent="0.25"/>
    <row r="26292" hidden="1" x14ac:dyDescent="0.25"/>
    <row r="26293" hidden="1" x14ac:dyDescent="0.25"/>
    <row r="26294" hidden="1" x14ac:dyDescent="0.25"/>
    <row r="26295" hidden="1" x14ac:dyDescent="0.25"/>
    <row r="26296" hidden="1" x14ac:dyDescent="0.25"/>
    <row r="26297" hidden="1" x14ac:dyDescent="0.25"/>
    <row r="26298" hidden="1" x14ac:dyDescent="0.25"/>
    <row r="26299" hidden="1" x14ac:dyDescent="0.25"/>
    <row r="26300" hidden="1" x14ac:dyDescent="0.25"/>
    <row r="26301" hidden="1" x14ac:dyDescent="0.25"/>
    <row r="26302" hidden="1" x14ac:dyDescent="0.25"/>
    <row r="26303" hidden="1" x14ac:dyDescent="0.25"/>
    <row r="26304" hidden="1" x14ac:dyDescent="0.25"/>
    <row r="26305" hidden="1" x14ac:dyDescent="0.25"/>
    <row r="26306" hidden="1" x14ac:dyDescent="0.25"/>
    <row r="26307" hidden="1" x14ac:dyDescent="0.25"/>
    <row r="26308" hidden="1" x14ac:dyDescent="0.25"/>
    <row r="26309" hidden="1" x14ac:dyDescent="0.25"/>
    <row r="26310" hidden="1" x14ac:dyDescent="0.25"/>
    <row r="26311" hidden="1" x14ac:dyDescent="0.25"/>
    <row r="26312" hidden="1" x14ac:dyDescent="0.25"/>
    <row r="26313" hidden="1" x14ac:dyDescent="0.25"/>
    <row r="26314" hidden="1" x14ac:dyDescent="0.25"/>
    <row r="26315" hidden="1" x14ac:dyDescent="0.25"/>
    <row r="26316" hidden="1" x14ac:dyDescent="0.25"/>
    <row r="26317" hidden="1" x14ac:dyDescent="0.25"/>
    <row r="26318" hidden="1" x14ac:dyDescent="0.25"/>
    <row r="26319" hidden="1" x14ac:dyDescent="0.25"/>
    <row r="26320" hidden="1" x14ac:dyDescent="0.25"/>
    <row r="26321" hidden="1" x14ac:dyDescent="0.25"/>
    <row r="26322" hidden="1" x14ac:dyDescent="0.25"/>
    <row r="26323" hidden="1" x14ac:dyDescent="0.25"/>
    <row r="26324" hidden="1" x14ac:dyDescent="0.25"/>
    <row r="26325" hidden="1" x14ac:dyDescent="0.25"/>
    <row r="26326" hidden="1" x14ac:dyDescent="0.25"/>
    <row r="26327" hidden="1" x14ac:dyDescent="0.25"/>
    <row r="26328" hidden="1" x14ac:dyDescent="0.25"/>
    <row r="26329" hidden="1" x14ac:dyDescent="0.25"/>
    <row r="26330" hidden="1" x14ac:dyDescent="0.25"/>
    <row r="26331" hidden="1" x14ac:dyDescent="0.25"/>
    <row r="26332" hidden="1" x14ac:dyDescent="0.25"/>
    <row r="26333" hidden="1" x14ac:dyDescent="0.25"/>
    <row r="26334" hidden="1" x14ac:dyDescent="0.25"/>
    <row r="26335" hidden="1" x14ac:dyDescent="0.25"/>
    <row r="26336" hidden="1" x14ac:dyDescent="0.25"/>
    <row r="26337" hidden="1" x14ac:dyDescent="0.25"/>
    <row r="26338" hidden="1" x14ac:dyDescent="0.25"/>
    <row r="26339" hidden="1" x14ac:dyDescent="0.25"/>
    <row r="26340" hidden="1" x14ac:dyDescent="0.25"/>
    <row r="26341" hidden="1" x14ac:dyDescent="0.25"/>
    <row r="26342" hidden="1" x14ac:dyDescent="0.25"/>
    <row r="26343" hidden="1" x14ac:dyDescent="0.25"/>
    <row r="26344" hidden="1" x14ac:dyDescent="0.25"/>
    <row r="26345" hidden="1" x14ac:dyDescent="0.25"/>
    <row r="26346" hidden="1" x14ac:dyDescent="0.25"/>
    <row r="26347" hidden="1" x14ac:dyDescent="0.25"/>
    <row r="26348" hidden="1" x14ac:dyDescent="0.25"/>
    <row r="26349" hidden="1" x14ac:dyDescent="0.25"/>
    <row r="26350" hidden="1" x14ac:dyDescent="0.25"/>
    <row r="26351" hidden="1" x14ac:dyDescent="0.25"/>
    <row r="26352" hidden="1" x14ac:dyDescent="0.25"/>
    <row r="26353" hidden="1" x14ac:dyDescent="0.25"/>
    <row r="26354" hidden="1" x14ac:dyDescent="0.25"/>
    <row r="26355" hidden="1" x14ac:dyDescent="0.25"/>
    <row r="26356" hidden="1" x14ac:dyDescent="0.25"/>
    <row r="26357" hidden="1" x14ac:dyDescent="0.25"/>
    <row r="26358" hidden="1" x14ac:dyDescent="0.25"/>
    <row r="26359" hidden="1" x14ac:dyDescent="0.25"/>
    <row r="26360" hidden="1" x14ac:dyDescent="0.25"/>
    <row r="26361" hidden="1" x14ac:dyDescent="0.25"/>
    <row r="26362" hidden="1" x14ac:dyDescent="0.25"/>
    <row r="26363" hidden="1" x14ac:dyDescent="0.25"/>
    <row r="26364" hidden="1" x14ac:dyDescent="0.25"/>
    <row r="26365" hidden="1" x14ac:dyDescent="0.25"/>
    <row r="26366" hidden="1" x14ac:dyDescent="0.25"/>
    <row r="26367" hidden="1" x14ac:dyDescent="0.25"/>
    <row r="26368" hidden="1" x14ac:dyDescent="0.25"/>
    <row r="26369" hidden="1" x14ac:dyDescent="0.25"/>
    <row r="26370" hidden="1" x14ac:dyDescent="0.25"/>
    <row r="26371" hidden="1" x14ac:dyDescent="0.25"/>
    <row r="26372" hidden="1" x14ac:dyDescent="0.25"/>
    <row r="26373" hidden="1" x14ac:dyDescent="0.25"/>
    <row r="26374" hidden="1" x14ac:dyDescent="0.25"/>
    <row r="26375" hidden="1" x14ac:dyDescent="0.25"/>
    <row r="26376" hidden="1" x14ac:dyDescent="0.25"/>
    <row r="26377" hidden="1" x14ac:dyDescent="0.25"/>
    <row r="26378" hidden="1" x14ac:dyDescent="0.25"/>
    <row r="26379" hidden="1" x14ac:dyDescent="0.25"/>
    <row r="26380" hidden="1" x14ac:dyDescent="0.25"/>
    <row r="26381" hidden="1" x14ac:dyDescent="0.25"/>
    <row r="26382" hidden="1" x14ac:dyDescent="0.25"/>
    <row r="26383" hidden="1" x14ac:dyDescent="0.25"/>
    <row r="26384" hidden="1" x14ac:dyDescent="0.25"/>
    <row r="26385" hidden="1" x14ac:dyDescent="0.25"/>
    <row r="26386" hidden="1" x14ac:dyDescent="0.25"/>
    <row r="26387" hidden="1" x14ac:dyDescent="0.25"/>
    <row r="26388" hidden="1" x14ac:dyDescent="0.25"/>
    <row r="26389" hidden="1" x14ac:dyDescent="0.25"/>
    <row r="26390" hidden="1" x14ac:dyDescent="0.25"/>
    <row r="26391" hidden="1" x14ac:dyDescent="0.25"/>
    <row r="26392" hidden="1" x14ac:dyDescent="0.25"/>
    <row r="26393" hidden="1" x14ac:dyDescent="0.25"/>
    <row r="26394" hidden="1" x14ac:dyDescent="0.25"/>
    <row r="26395" hidden="1" x14ac:dyDescent="0.25"/>
    <row r="26396" hidden="1" x14ac:dyDescent="0.25"/>
    <row r="26397" hidden="1" x14ac:dyDescent="0.25"/>
    <row r="26398" hidden="1" x14ac:dyDescent="0.25"/>
    <row r="26399" hidden="1" x14ac:dyDescent="0.25"/>
    <row r="26400" hidden="1" x14ac:dyDescent="0.25"/>
    <row r="26401" hidden="1" x14ac:dyDescent="0.25"/>
    <row r="26402" hidden="1" x14ac:dyDescent="0.25"/>
    <row r="26403" hidden="1" x14ac:dyDescent="0.25"/>
    <row r="26404" hidden="1" x14ac:dyDescent="0.25"/>
    <row r="26405" hidden="1" x14ac:dyDescent="0.25"/>
    <row r="26406" hidden="1" x14ac:dyDescent="0.25"/>
    <row r="26407" hidden="1" x14ac:dyDescent="0.25"/>
    <row r="26408" hidden="1" x14ac:dyDescent="0.25"/>
    <row r="26409" hidden="1" x14ac:dyDescent="0.25"/>
    <row r="26410" hidden="1" x14ac:dyDescent="0.25"/>
    <row r="26411" hidden="1" x14ac:dyDescent="0.25"/>
    <row r="26412" hidden="1" x14ac:dyDescent="0.25"/>
    <row r="26413" hidden="1" x14ac:dyDescent="0.25"/>
    <row r="26414" hidden="1" x14ac:dyDescent="0.25"/>
    <row r="26415" hidden="1" x14ac:dyDescent="0.25"/>
    <row r="26416" hidden="1" x14ac:dyDescent="0.25"/>
    <row r="26417" hidden="1" x14ac:dyDescent="0.25"/>
    <row r="26418" hidden="1" x14ac:dyDescent="0.25"/>
    <row r="26419" hidden="1" x14ac:dyDescent="0.25"/>
    <row r="26420" hidden="1" x14ac:dyDescent="0.25"/>
    <row r="26421" hidden="1" x14ac:dyDescent="0.25"/>
    <row r="26422" hidden="1" x14ac:dyDescent="0.25"/>
    <row r="26423" hidden="1" x14ac:dyDescent="0.25"/>
    <row r="26424" hidden="1" x14ac:dyDescent="0.25"/>
    <row r="26425" hidden="1" x14ac:dyDescent="0.25"/>
    <row r="26426" hidden="1" x14ac:dyDescent="0.25"/>
    <row r="26427" hidden="1" x14ac:dyDescent="0.25"/>
    <row r="26428" hidden="1" x14ac:dyDescent="0.25"/>
    <row r="26429" hidden="1" x14ac:dyDescent="0.25"/>
    <row r="26430" hidden="1" x14ac:dyDescent="0.25"/>
    <row r="26431" hidden="1" x14ac:dyDescent="0.25"/>
    <row r="26432" hidden="1" x14ac:dyDescent="0.25"/>
    <row r="26433" hidden="1" x14ac:dyDescent="0.25"/>
    <row r="26434" hidden="1" x14ac:dyDescent="0.25"/>
    <row r="26435" hidden="1" x14ac:dyDescent="0.25"/>
    <row r="26436" hidden="1" x14ac:dyDescent="0.25"/>
    <row r="26437" hidden="1" x14ac:dyDescent="0.25"/>
    <row r="26438" hidden="1" x14ac:dyDescent="0.25"/>
    <row r="26439" hidden="1" x14ac:dyDescent="0.25"/>
    <row r="26440" hidden="1" x14ac:dyDescent="0.25"/>
    <row r="26441" hidden="1" x14ac:dyDescent="0.25"/>
    <row r="26442" hidden="1" x14ac:dyDescent="0.25"/>
    <row r="26443" hidden="1" x14ac:dyDescent="0.25"/>
    <row r="26444" hidden="1" x14ac:dyDescent="0.25"/>
    <row r="26445" hidden="1" x14ac:dyDescent="0.25"/>
    <row r="26446" hidden="1" x14ac:dyDescent="0.25"/>
    <row r="26447" hidden="1" x14ac:dyDescent="0.25"/>
    <row r="26448" hidden="1" x14ac:dyDescent="0.25"/>
    <row r="26449" hidden="1" x14ac:dyDescent="0.25"/>
    <row r="26450" hidden="1" x14ac:dyDescent="0.25"/>
    <row r="26451" hidden="1" x14ac:dyDescent="0.25"/>
    <row r="26452" hidden="1" x14ac:dyDescent="0.25"/>
    <row r="26453" hidden="1" x14ac:dyDescent="0.25"/>
    <row r="26454" hidden="1" x14ac:dyDescent="0.25"/>
    <row r="26455" hidden="1" x14ac:dyDescent="0.25"/>
    <row r="26456" hidden="1" x14ac:dyDescent="0.25"/>
    <row r="26457" hidden="1" x14ac:dyDescent="0.25"/>
    <row r="26458" hidden="1" x14ac:dyDescent="0.25"/>
    <row r="26459" hidden="1" x14ac:dyDescent="0.25"/>
    <row r="26460" hidden="1" x14ac:dyDescent="0.25"/>
    <row r="26461" hidden="1" x14ac:dyDescent="0.25"/>
    <row r="26462" hidden="1" x14ac:dyDescent="0.25"/>
    <row r="26463" hidden="1" x14ac:dyDescent="0.25"/>
    <row r="26464" hidden="1" x14ac:dyDescent="0.25"/>
    <row r="26465" hidden="1" x14ac:dyDescent="0.25"/>
    <row r="26466" hidden="1" x14ac:dyDescent="0.25"/>
    <row r="26467" hidden="1" x14ac:dyDescent="0.25"/>
    <row r="26468" hidden="1" x14ac:dyDescent="0.25"/>
    <row r="26469" hidden="1" x14ac:dyDescent="0.25"/>
    <row r="26470" hidden="1" x14ac:dyDescent="0.25"/>
    <row r="26471" hidden="1" x14ac:dyDescent="0.25"/>
    <row r="26472" hidden="1" x14ac:dyDescent="0.25"/>
    <row r="26473" hidden="1" x14ac:dyDescent="0.25"/>
    <row r="26474" hidden="1" x14ac:dyDescent="0.25"/>
    <row r="26475" hidden="1" x14ac:dyDescent="0.25"/>
    <row r="26476" hidden="1" x14ac:dyDescent="0.25"/>
    <row r="26477" hidden="1" x14ac:dyDescent="0.25"/>
    <row r="26478" hidden="1" x14ac:dyDescent="0.25"/>
    <row r="26479" hidden="1" x14ac:dyDescent="0.25"/>
    <row r="26480" hidden="1" x14ac:dyDescent="0.25"/>
    <row r="26481" hidden="1" x14ac:dyDescent="0.25"/>
    <row r="26482" hidden="1" x14ac:dyDescent="0.25"/>
    <row r="26483" hidden="1" x14ac:dyDescent="0.25"/>
    <row r="26484" hidden="1" x14ac:dyDescent="0.25"/>
    <row r="26485" hidden="1" x14ac:dyDescent="0.25"/>
    <row r="26486" hidden="1" x14ac:dyDescent="0.25"/>
    <row r="26487" hidden="1" x14ac:dyDescent="0.25"/>
    <row r="26488" hidden="1" x14ac:dyDescent="0.25"/>
    <row r="26489" hidden="1" x14ac:dyDescent="0.25"/>
    <row r="26490" hidden="1" x14ac:dyDescent="0.25"/>
    <row r="26491" hidden="1" x14ac:dyDescent="0.25"/>
    <row r="26492" hidden="1" x14ac:dyDescent="0.25"/>
    <row r="26493" hidden="1" x14ac:dyDescent="0.25"/>
    <row r="26494" hidden="1" x14ac:dyDescent="0.25"/>
    <row r="26495" hidden="1" x14ac:dyDescent="0.25"/>
    <row r="26496" hidden="1" x14ac:dyDescent="0.25"/>
    <row r="26497" hidden="1" x14ac:dyDescent="0.25"/>
    <row r="26498" hidden="1" x14ac:dyDescent="0.25"/>
    <row r="26499" hidden="1" x14ac:dyDescent="0.25"/>
    <row r="26500" hidden="1" x14ac:dyDescent="0.25"/>
    <row r="26501" hidden="1" x14ac:dyDescent="0.25"/>
    <row r="26502" hidden="1" x14ac:dyDescent="0.25"/>
    <row r="26503" hidden="1" x14ac:dyDescent="0.25"/>
    <row r="26504" hidden="1" x14ac:dyDescent="0.25"/>
    <row r="26505" hidden="1" x14ac:dyDescent="0.25"/>
    <row r="26506" hidden="1" x14ac:dyDescent="0.25"/>
    <row r="26507" hidden="1" x14ac:dyDescent="0.25"/>
    <row r="26508" hidden="1" x14ac:dyDescent="0.25"/>
    <row r="26509" hidden="1" x14ac:dyDescent="0.25"/>
    <row r="26510" hidden="1" x14ac:dyDescent="0.25"/>
    <row r="26511" hidden="1" x14ac:dyDescent="0.25"/>
    <row r="26512" hidden="1" x14ac:dyDescent="0.25"/>
    <row r="26513" hidden="1" x14ac:dyDescent="0.25"/>
    <row r="26514" hidden="1" x14ac:dyDescent="0.25"/>
    <row r="26515" hidden="1" x14ac:dyDescent="0.25"/>
    <row r="26516" hidden="1" x14ac:dyDescent="0.25"/>
    <row r="26517" hidden="1" x14ac:dyDescent="0.25"/>
    <row r="26518" hidden="1" x14ac:dyDescent="0.25"/>
    <row r="26519" hidden="1" x14ac:dyDescent="0.25"/>
    <row r="26520" hidden="1" x14ac:dyDescent="0.25"/>
    <row r="26521" hidden="1" x14ac:dyDescent="0.25"/>
    <row r="26522" hidden="1" x14ac:dyDescent="0.25"/>
    <row r="26523" hidden="1" x14ac:dyDescent="0.25"/>
    <row r="26524" hidden="1" x14ac:dyDescent="0.25"/>
    <row r="26525" hidden="1" x14ac:dyDescent="0.25"/>
    <row r="26526" hidden="1" x14ac:dyDescent="0.25"/>
    <row r="26527" hidden="1" x14ac:dyDescent="0.25"/>
    <row r="26528" hidden="1" x14ac:dyDescent="0.25"/>
    <row r="26529" hidden="1" x14ac:dyDescent="0.25"/>
    <row r="26530" hidden="1" x14ac:dyDescent="0.25"/>
    <row r="26531" hidden="1" x14ac:dyDescent="0.25"/>
    <row r="26532" hidden="1" x14ac:dyDescent="0.25"/>
    <row r="26533" hidden="1" x14ac:dyDescent="0.25"/>
    <row r="26534" hidden="1" x14ac:dyDescent="0.25"/>
    <row r="26535" hidden="1" x14ac:dyDescent="0.25"/>
    <row r="26536" hidden="1" x14ac:dyDescent="0.25"/>
    <row r="26537" hidden="1" x14ac:dyDescent="0.25"/>
    <row r="26538" hidden="1" x14ac:dyDescent="0.25"/>
    <row r="26539" hidden="1" x14ac:dyDescent="0.25"/>
    <row r="26540" hidden="1" x14ac:dyDescent="0.25"/>
    <row r="26541" hidden="1" x14ac:dyDescent="0.25"/>
    <row r="26542" hidden="1" x14ac:dyDescent="0.25"/>
    <row r="26543" hidden="1" x14ac:dyDescent="0.25"/>
    <row r="26544" hidden="1" x14ac:dyDescent="0.25"/>
    <row r="26545" hidden="1" x14ac:dyDescent="0.25"/>
    <row r="26546" hidden="1" x14ac:dyDescent="0.25"/>
    <row r="26547" hidden="1" x14ac:dyDescent="0.25"/>
    <row r="26548" hidden="1" x14ac:dyDescent="0.25"/>
    <row r="26549" hidden="1" x14ac:dyDescent="0.25"/>
    <row r="26550" hidden="1" x14ac:dyDescent="0.25"/>
    <row r="26551" hidden="1" x14ac:dyDescent="0.25"/>
    <row r="26552" hidden="1" x14ac:dyDescent="0.25"/>
    <row r="26553" hidden="1" x14ac:dyDescent="0.25"/>
    <row r="26554" hidden="1" x14ac:dyDescent="0.25"/>
    <row r="26555" hidden="1" x14ac:dyDescent="0.25"/>
    <row r="26556" hidden="1" x14ac:dyDescent="0.25"/>
    <row r="26557" hidden="1" x14ac:dyDescent="0.25"/>
    <row r="26558" hidden="1" x14ac:dyDescent="0.25"/>
    <row r="26559" hidden="1" x14ac:dyDescent="0.25"/>
    <row r="26560" hidden="1" x14ac:dyDescent="0.25"/>
    <row r="26561" hidden="1" x14ac:dyDescent="0.25"/>
    <row r="26562" hidden="1" x14ac:dyDescent="0.25"/>
    <row r="26563" hidden="1" x14ac:dyDescent="0.25"/>
    <row r="26564" hidden="1" x14ac:dyDescent="0.25"/>
    <row r="26565" hidden="1" x14ac:dyDescent="0.25"/>
    <row r="26566" hidden="1" x14ac:dyDescent="0.25"/>
    <row r="26567" hidden="1" x14ac:dyDescent="0.25"/>
    <row r="26568" hidden="1" x14ac:dyDescent="0.25"/>
    <row r="26569" hidden="1" x14ac:dyDescent="0.25"/>
    <row r="26570" hidden="1" x14ac:dyDescent="0.25"/>
    <row r="26571" hidden="1" x14ac:dyDescent="0.25"/>
    <row r="26572" hidden="1" x14ac:dyDescent="0.25"/>
    <row r="26573" hidden="1" x14ac:dyDescent="0.25"/>
    <row r="26574" hidden="1" x14ac:dyDescent="0.25"/>
    <row r="26575" hidden="1" x14ac:dyDescent="0.25"/>
    <row r="26576" hidden="1" x14ac:dyDescent="0.25"/>
    <row r="26577" hidden="1" x14ac:dyDescent="0.25"/>
    <row r="26578" hidden="1" x14ac:dyDescent="0.25"/>
    <row r="26579" hidden="1" x14ac:dyDescent="0.25"/>
    <row r="26580" hidden="1" x14ac:dyDescent="0.25"/>
    <row r="26581" hidden="1" x14ac:dyDescent="0.25"/>
    <row r="26582" hidden="1" x14ac:dyDescent="0.25"/>
    <row r="26583" hidden="1" x14ac:dyDescent="0.25"/>
    <row r="26584" hidden="1" x14ac:dyDescent="0.25"/>
    <row r="26585" hidden="1" x14ac:dyDescent="0.25"/>
    <row r="26586" hidden="1" x14ac:dyDescent="0.25"/>
    <row r="26587" hidden="1" x14ac:dyDescent="0.25"/>
    <row r="26588" hidden="1" x14ac:dyDescent="0.25"/>
    <row r="26589" hidden="1" x14ac:dyDescent="0.25"/>
    <row r="26590" hidden="1" x14ac:dyDescent="0.25"/>
    <row r="26591" hidden="1" x14ac:dyDescent="0.25"/>
    <row r="26592" hidden="1" x14ac:dyDescent="0.25"/>
    <row r="26593" hidden="1" x14ac:dyDescent="0.25"/>
    <row r="26594" hidden="1" x14ac:dyDescent="0.25"/>
    <row r="26595" hidden="1" x14ac:dyDescent="0.25"/>
    <row r="26596" hidden="1" x14ac:dyDescent="0.25"/>
    <row r="26597" hidden="1" x14ac:dyDescent="0.25"/>
    <row r="26598" hidden="1" x14ac:dyDescent="0.25"/>
    <row r="26599" hidden="1" x14ac:dyDescent="0.25"/>
    <row r="26600" hidden="1" x14ac:dyDescent="0.25"/>
    <row r="26601" hidden="1" x14ac:dyDescent="0.25"/>
    <row r="26602" hidden="1" x14ac:dyDescent="0.25"/>
    <row r="26603" hidden="1" x14ac:dyDescent="0.25"/>
    <row r="26604" hidden="1" x14ac:dyDescent="0.25"/>
    <row r="26605" hidden="1" x14ac:dyDescent="0.25"/>
    <row r="26606" hidden="1" x14ac:dyDescent="0.25"/>
    <row r="26607" hidden="1" x14ac:dyDescent="0.25"/>
    <row r="26608" hidden="1" x14ac:dyDescent="0.25"/>
    <row r="26609" hidden="1" x14ac:dyDescent="0.25"/>
    <row r="26610" hidden="1" x14ac:dyDescent="0.25"/>
    <row r="26611" hidden="1" x14ac:dyDescent="0.25"/>
    <row r="26612" hidden="1" x14ac:dyDescent="0.25"/>
    <row r="26613" hidden="1" x14ac:dyDescent="0.25"/>
    <row r="26614" hidden="1" x14ac:dyDescent="0.25"/>
    <row r="26615" hidden="1" x14ac:dyDescent="0.25"/>
    <row r="26616" hidden="1" x14ac:dyDescent="0.25"/>
    <row r="26617" hidden="1" x14ac:dyDescent="0.25"/>
    <row r="26618" hidden="1" x14ac:dyDescent="0.25"/>
    <row r="26619" hidden="1" x14ac:dyDescent="0.25"/>
    <row r="26620" hidden="1" x14ac:dyDescent="0.25"/>
    <row r="26621" hidden="1" x14ac:dyDescent="0.25"/>
    <row r="26622" hidden="1" x14ac:dyDescent="0.25"/>
    <row r="26623" hidden="1" x14ac:dyDescent="0.25"/>
    <row r="26624" hidden="1" x14ac:dyDescent="0.25"/>
    <row r="26625" hidden="1" x14ac:dyDescent="0.25"/>
    <row r="26626" hidden="1" x14ac:dyDescent="0.25"/>
    <row r="26627" hidden="1" x14ac:dyDescent="0.25"/>
    <row r="26628" hidden="1" x14ac:dyDescent="0.25"/>
    <row r="26629" hidden="1" x14ac:dyDescent="0.25"/>
    <row r="26630" hidden="1" x14ac:dyDescent="0.25"/>
    <row r="26631" hidden="1" x14ac:dyDescent="0.25"/>
    <row r="26632" hidden="1" x14ac:dyDescent="0.25"/>
    <row r="26633" hidden="1" x14ac:dyDescent="0.25"/>
    <row r="26634" hidden="1" x14ac:dyDescent="0.25"/>
    <row r="26635" hidden="1" x14ac:dyDescent="0.25"/>
    <row r="26636" hidden="1" x14ac:dyDescent="0.25"/>
    <row r="26637" hidden="1" x14ac:dyDescent="0.25"/>
    <row r="26638" hidden="1" x14ac:dyDescent="0.25"/>
    <row r="26639" hidden="1" x14ac:dyDescent="0.25"/>
    <row r="26640" hidden="1" x14ac:dyDescent="0.25"/>
    <row r="26641" hidden="1" x14ac:dyDescent="0.25"/>
    <row r="26642" hidden="1" x14ac:dyDescent="0.25"/>
    <row r="26643" hidden="1" x14ac:dyDescent="0.25"/>
    <row r="26644" hidden="1" x14ac:dyDescent="0.25"/>
    <row r="26645" hidden="1" x14ac:dyDescent="0.25"/>
    <row r="26646" hidden="1" x14ac:dyDescent="0.25"/>
    <row r="26647" hidden="1" x14ac:dyDescent="0.25"/>
    <row r="26648" hidden="1" x14ac:dyDescent="0.25"/>
    <row r="26649" hidden="1" x14ac:dyDescent="0.25"/>
    <row r="26650" hidden="1" x14ac:dyDescent="0.25"/>
    <row r="26651" hidden="1" x14ac:dyDescent="0.25"/>
    <row r="26652" hidden="1" x14ac:dyDescent="0.25"/>
    <row r="26653" hidden="1" x14ac:dyDescent="0.25"/>
    <row r="26654" hidden="1" x14ac:dyDescent="0.25"/>
    <row r="26655" hidden="1" x14ac:dyDescent="0.25"/>
    <row r="26656" hidden="1" x14ac:dyDescent="0.25"/>
    <row r="26657" hidden="1" x14ac:dyDescent="0.25"/>
    <row r="26658" hidden="1" x14ac:dyDescent="0.25"/>
    <row r="26659" hidden="1" x14ac:dyDescent="0.25"/>
    <row r="26660" hidden="1" x14ac:dyDescent="0.25"/>
    <row r="26661" hidden="1" x14ac:dyDescent="0.25"/>
    <row r="26662" hidden="1" x14ac:dyDescent="0.25"/>
    <row r="26663" hidden="1" x14ac:dyDescent="0.25"/>
    <row r="26664" hidden="1" x14ac:dyDescent="0.25"/>
    <row r="26665" hidden="1" x14ac:dyDescent="0.25"/>
    <row r="26666" hidden="1" x14ac:dyDescent="0.25"/>
    <row r="26667" hidden="1" x14ac:dyDescent="0.25"/>
    <row r="26668" hidden="1" x14ac:dyDescent="0.25"/>
    <row r="26669" hidden="1" x14ac:dyDescent="0.25"/>
    <row r="26670" hidden="1" x14ac:dyDescent="0.25"/>
    <row r="26671" hidden="1" x14ac:dyDescent="0.25"/>
    <row r="26672" hidden="1" x14ac:dyDescent="0.25"/>
    <row r="26673" hidden="1" x14ac:dyDescent="0.25"/>
    <row r="26674" hidden="1" x14ac:dyDescent="0.25"/>
    <row r="26675" hidden="1" x14ac:dyDescent="0.25"/>
    <row r="26676" hidden="1" x14ac:dyDescent="0.25"/>
    <row r="26677" hidden="1" x14ac:dyDescent="0.25"/>
    <row r="26678" hidden="1" x14ac:dyDescent="0.25"/>
    <row r="26679" hidden="1" x14ac:dyDescent="0.25"/>
    <row r="26680" hidden="1" x14ac:dyDescent="0.25"/>
    <row r="26681" hidden="1" x14ac:dyDescent="0.25"/>
    <row r="26682" hidden="1" x14ac:dyDescent="0.25"/>
    <row r="26683" hidden="1" x14ac:dyDescent="0.25"/>
    <row r="26684" hidden="1" x14ac:dyDescent="0.25"/>
    <row r="26685" hidden="1" x14ac:dyDescent="0.25"/>
    <row r="26686" hidden="1" x14ac:dyDescent="0.25"/>
    <row r="26687" hidden="1" x14ac:dyDescent="0.25"/>
    <row r="26688" hidden="1" x14ac:dyDescent="0.25"/>
    <row r="26689" hidden="1" x14ac:dyDescent="0.25"/>
    <row r="26690" hidden="1" x14ac:dyDescent="0.25"/>
    <row r="26691" hidden="1" x14ac:dyDescent="0.25"/>
    <row r="26692" hidden="1" x14ac:dyDescent="0.25"/>
    <row r="26693" hidden="1" x14ac:dyDescent="0.25"/>
    <row r="26694" hidden="1" x14ac:dyDescent="0.25"/>
    <row r="26695" hidden="1" x14ac:dyDescent="0.25"/>
    <row r="26696" hidden="1" x14ac:dyDescent="0.25"/>
    <row r="26697" hidden="1" x14ac:dyDescent="0.25"/>
    <row r="26698" hidden="1" x14ac:dyDescent="0.25"/>
    <row r="26699" hidden="1" x14ac:dyDescent="0.25"/>
    <row r="26700" hidden="1" x14ac:dyDescent="0.25"/>
    <row r="26701" hidden="1" x14ac:dyDescent="0.25"/>
    <row r="26702" hidden="1" x14ac:dyDescent="0.25"/>
    <row r="26703" hidden="1" x14ac:dyDescent="0.25"/>
    <row r="26704" hidden="1" x14ac:dyDescent="0.25"/>
    <row r="26705" hidden="1" x14ac:dyDescent="0.25"/>
    <row r="26706" hidden="1" x14ac:dyDescent="0.25"/>
    <row r="26707" hidden="1" x14ac:dyDescent="0.25"/>
    <row r="26708" hidden="1" x14ac:dyDescent="0.25"/>
    <row r="26709" hidden="1" x14ac:dyDescent="0.25"/>
    <row r="26710" hidden="1" x14ac:dyDescent="0.25"/>
    <row r="26711" hidden="1" x14ac:dyDescent="0.25"/>
    <row r="26712" hidden="1" x14ac:dyDescent="0.25"/>
    <row r="26713" hidden="1" x14ac:dyDescent="0.25"/>
    <row r="26714" hidden="1" x14ac:dyDescent="0.25"/>
    <row r="26715" hidden="1" x14ac:dyDescent="0.25"/>
    <row r="26716" hidden="1" x14ac:dyDescent="0.25"/>
    <row r="26717" hidden="1" x14ac:dyDescent="0.25"/>
    <row r="26718" hidden="1" x14ac:dyDescent="0.25"/>
    <row r="26719" hidden="1" x14ac:dyDescent="0.25"/>
    <row r="26720" hidden="1" x14ac:dyDescent="0.25"/>
    <row r="26721" hidden="1" x14ac:dyDescent="0.25"/>
    <row r="26722" hidden="1" x14ac:dyDescent="0.25"/>
    <row r="26723" hidden="1" x14ac:dyDescent="0.25"/>
    <row r="26724" hidden="1" x14ac:dyDescent="0.25"/>
    <row r="26725" hidden="1" x14ac:dyDescent="0.25"/>
    <row r="26726" hidden="1" x14ac:dyDescent="0.25"/>
    <row r="26727" hidden="1" x14ac:dyDescent="0.25"/>
    <row r="26728" hidden="1" x14ac:dyDescent="0.25"/>
    <row r="26729" hidden="1" x14ac:dyDescent="0.25"/>
    <row r="26730" hidden="1" x14ac:dyDescent="0.25"/>
    <row r="26731" hidden="1" x14ac:dyDescent="0.25"/>
    <row r="26732" hidden="1" x14ac:dyDescent="0.25"/>
    <row r="26733" hidden="1" x14ac:dyDescent="0.25"/>
    <row r="26734" hidden="1" x14ac:dyDescent="0.25"/>
    <row r="26735" hidden="1" x14ac:dyDescent="0.25"/>
    <row r="26736" hidden="1" x14ac:dyDescent="0.25"/>
    <row r="26737" hidden="1" x14ac:dyDescent="0.25"/>
    <row r="26738" hidden="1" x14ac:dyDescent="0.25"/>
    <row r="26739" hidden="1" x14ac:dyDescent="0.25"/>
    <row r="26740" hidden="1" x14ac:dyDescent="0.25"/>
    <row r="26741" hidden="1" x14ac:dyDescent="0.25"/>
    <row r="26742" hidden="1" x14ac:dyDescent="0.25"/>
    <row r="26743" hidden="1" x14ac:dyDescent="0.25"/>
    <row r="26744" hidden="1" x14ac:dyDescent="0.25"/>
    <row r="26745" hidden="1" x14ac:dyDescent="0.25"/>
    <row r="26746" hidden="1" x14ac:dyDescent="0.25"/>
    <row r="26747" hidden="1" x14ac:dyDescent="0.25"/>
    <row r="26748" hidden="1" x14ac:dyDescent="0.25"/>
    <row r="26749" hidden="1" x14ac:dyDescent="0.25"/>
    <row r="26750" hidden="1" x14ac:dyDescent="0.25"/>
    <row r="26751" hidden="1" x14ac:dyDescent="0.25"/>
    <row r="26752" hidden="1" x14ac:dyDescent="0.25"/>
    <row r="26753" hidden="1" x14ac:dyDescent="0.25"/>
    <row r="26754" hidden="1" x14ac:dyDescent="0.25"/>
    <row r="26755" hidden="1" x14ac:dyDescent="0.25"/>
    <row r="26756" hidden="1" x14ac:dyDescent="0.25"/>
    <row r="26757" hidden="1" x14ac:dyDescent="0.25"/>
    <row r="26758" hidden="1" x14ac:dyDescent="0.25"/>
    <row r="26759" hidden="1" x14ac:dyDescent="0.25"/>
    <row r="26760" hidden="1" x14ac:dyDescent="0.25"/>
    <row r="26761" hidden="1" x14ac:dyDescent="0.25"/>
    <row r="26762" hidden="1" x14ac:dyDescent="0.25"/>
    <row r="26763" hidden="1" x14ac:dyDescent="0.25"/>
    <row r="26764" hidden="1" x14ac:dyDescent="0.25"/>
    <row r="26765" hidden="1" x14ac:dyDescent="0.25"/>
    <row r="26766" hidden="1" x14ac:dyDescent="0.25"/>
    <row r="26767" hidden="1" x14ac:dyDescent="0.25"/>
    <row r="26768" hidden="1" x14ac:dyDescent="0.25"/>
    <row r="26769" hidden="1" x14ac:dyDescent="0.25"/>
    <row r="26770" hidden="1" x14ac:dyDescent="0.25"/>
    <row r="26771" hidden="1" x14ac:dyDescent="0.25"/>
    <row r="26772" hidden="1" x14ac:dyDescent="0.25"/>
    <row r="26773" hidden="1" x14ac:dyDescent="0.25"/>
    <row r="26774" hidden="1" x14ac:dyDescent="0.25"/>
    <row r="26775" hidden="1" x14ac:dyDescent="0.25"/>
    <row r="26776" hidden="1" x14ac:dyDescent="0.25"/>
    <row r="26777" hidden="1" x14ac:dyDescent="0.25"/>
    <row r="26778" hidden="1" x14ac:dyDescent="0.25"/>
    <row r="26779" hidden="1" x14ac:dyDescent="0.25"/>
    <row r="26780" hidden="1" x14ac:dyDescent="0.25"/>
    <row r="26781" hidden="1" x14ac:dyDescent="0.25"/>
    <row r="26782" hidden="1" x14ac:dyDescent="0.25"/>
    <row r="26783" hidden="1" x14ac:dyDescent="0.25"/>
    <row r="26784" hidden="1" x14ac:dyDescent="0.25"/>
    <row r="26785" hidden="1" x14ac:dyDescent="0.25"/>
    <row r="26786" hidden="1" x14ac:dyDescent="0.25"/>
    <row r="26787" hidden="1" x14ac:dyDescent="0.25"/>
    <row r="26788" hidden="1" x14ac:dyDescent="0.25"/>
    <row r="26789" hidden="1" x14ac:dyDescent="0.25"/>
    <row r="26790" hidden="1" x14ac:dyDescent="0.25"/>
    <row r="26791" hidden="1" x14ac:dyDescent="0.25"/>
    <row r="26792" hidden="1" x14ac:dyDescent="0.25"/>
    <row r="26793" hidden="1" x14ac:dyDescent="0.25"/>
    <row r="26794" hidden="1" x14ac:dyDescent="0.25"/>
    <row r="26795" hidden="1" x14ac:dyDescent="0.25"/>
    <row r="26796" hidden="1" x14ac:dyDescent="0.25"/>
    <row r="26797" hidden="1" x14ac:dyDescent="0.25"/>
    <row r="26798" hidden="1" x14ac:dyDescent="0.25"/>
    <row r="26799" hidden="1" x14ac:dyDescent="0.25"/>
    <row r="26800" hidden="1" x14ac:dyDescent="0.25"/>
    <row r="26801" hidden="1" x14ac:dyDescent="0.25"/>
    <row r="26802" hidden="1" x14ac:dyDescent="0.25"/>
    <row r="26803" hidden="1" x14ac:dyDescent="0.25"/>
    <row r="26804" hidden="1" x14ac:dyDescent="0.25"/>
    <row r="26805" hidden="1" x14ac:dyDescent="0.25"/>
    <row r="26806" hidden="1" x14ac:dyDescent="0.25"/>
    <row r="26807" hidden="1" x14ac:dyDescent="0.25"/>
    <row r="26808" hidden="1" x14ac:dyDescent="0.25"/>
    <row r="26809" hidden="1" x14ac:dyDescent="0.25"/>
    <row r="26810" hidden="1" x14ac:dyDescent="0.25"/>
    <row r="26811" hidden="1" x14ac:dyDescent="0.25"/>
    <row r="26812" hidden="1" x14ac:dyDescent="0.25"/>
    <row r="26813" hidden="1" x14ac:dyDescent="0.25"/>
    <row r="26814" hidden="1" x14ac:dyDescent="0.25"/>
    <row r="26815" hidden="1" x14ac:dyDescent="0.25"/>
    <row r="26816" hidden="1" x14ac:dyDescent="0.25"/>
    <row r="26817" hidden="1" x14ac:dyDescent="0.25"/>
    <row r="26818" hidden="1" x14ac:dyDescent="0.25"/>
    <row r="26819" hidden="1" x14ac:dyDescent="0.25"/>
    <row r="26820" hidden="1" x14ac:dyDescent="0.25"/>
    <row r="26821" hidden="1" x14ac:dyDescent="0.25"/>
    <row r="26822" hidden="1" x14ac:dyDescent="0.25"/>
    <row r="26823" hidden="1" x14ac:dyDescent="0.25"/>
    <row r="26824" hidden="1" x14ac:dyDescent="0.25"/>
    <row r="26825" hidden="1" x14ac:dyDescent="0.25"/>
    <row r="26826" hidden="1" x14ac:dyDescent="0.25"/>
    <row r="26827" hidden="1" x14ac:dyDescent="0.25"/>
    <row r="26828" hidden="1" x14ac:dyDescent="0.25"/>
    <row r="26829" hidden="1" x14ac:dyDescent="0.25"/>
    <row r="26830" hidden="1" x14ac:dyDescent="0.25"/>
    <row r="26831" hidden="1" x14ac:dyDescent="0.25"/>
    <row r="26832" hidden="1" x14ac:dyDescent="0.25"/>
    <row r="26833" hidden="1" x14ac:dyDescent="0.25"/>
    <row r="26834" hidden="1" x14ac:dyDescent="0.25"/>
    <row r="26835" hidden="1" x14ac:dyDescent="0.25"/>
    <row r="26836" hidden="1" x14ac:dyDescent="0.25"/>
    <row r="26837" hidden="1" x14ac:dyDescent="0.25"/>
    <row r="26838" hidden="1" x14ac:dyDescent="0.25"/>
    <row r="26839" hidden="1" x14ac:dyDescent="0.25"/>
    <row r="26840" hidden="1" x14ac:dyDescent="0.25"/>
    <row r="26841" hidden="1" x14ac:dyDescent="0.25"/>
    <row r="26842" hidden="1" x14ac:dyDescent="0.25"/>
    <row r="26843" hidden="1" x14ac:dyDescent="0.25"/>
    <row r="26844" hidden="1" x14ac:dyDescent="0.25"/>
    <row r="26845" hidden="1" x14ac:dyDescent="0.25"/>
    <row r="26846" hidden="1" x14ac:dyDescent="0.25"/>
    <row r="26847" hidden="1" x14ac:dyDescent="0.25"/>
    <row r="26848" hidden="1" x14ac:dyDescent="0.25"/>
    <row r="26849" hidden="1" x14ac:dyDescent="0.25"/>
    <row r="26850" hidden="1" x14ac:dyDescent="0.25"/>
    <row r="26851" hidden="1" x14ac:dyDescent="0.25"/>
    <row r="26852" hidden="1" x14ac:dyDescent="0.25"/>
    <row r="26853" hidden="1" x14ac:dyDescent="0.25"/>
    <row r="26854" hidden="1" x14ac:dyDescent="0.25"/>
    <row r="26855" hidden="1" x14ac:dyDescent="0.25"/>
    <row r="26856" hidden="1" x14ac:dyDescent="0.25"/>
    <row r="26857" hidden="1" x14ac:dyDescent="0.25"/>
    <row r="26858" hidden="1" x14ac:dyDescent="0.25"/>
    <row r="26859" hidden="1" x14ac:dyDescent="0.25"/>
    <row r="26860" hidden="1" x14ac:dyDescent="0.25"/>
    <row r="26861" hidden="1" x14ac:dyDescent="0.25"/>
    <row r="26862" hidden="1" x14ac:dyDescent="0.25"/>
    <row r="26863" hidden="1" x14ac:dyDescent="0.25"/>
    <row r="26864" hidden="1" x14ac:dyDescent="0.25"/>
    <row r="26865" hidden="1" x14ac:dyDescent="0.25"/>
    <row r="26866" hidden="1" x14ac:dyDescent="0.25"/>
    <row r="26867" hidden="1" x14ac:dyDescent="0.25"/>
    <row r="26868" hidden="1" x14ac:dyDescent="0.25"/>
    <row r="26869" hidden="1" x14ac:dyDescent="0.25"/>
    <row r="26870" hidden="1" x14ac:dyDescent="0.25"/>
    <row r="26871" hidden="1" x14ac:dyDescent="0.25"/>
    <row r="26872" hidden="1" x14ac:dyDescent="0.25"/>
    <row r="26873" hidden="1" x14ac:dyDescent="0.25"/>
    <row r="26874" hidden="1" x14ac:dyDescent="0.25"/>
    <row r="26875" hidden="1" x14ac:dyDescent="0.25"/>
    <row r="26876" hidden="1" x14ac:dyDescent="0.25"/>
    <row r="26877" hidden="1" x14ac:dyDescent="0.25"/>
    <row r="26878" hidden="1" x14ac:dyDescent="0.25"/>
    <row r="26879" hidden="1" x14ac:dyDescent="0.25"/>
    <row r="26880" hidden="1" x14ac:dyDescent="0.25"/>
    <row r="26881" hidden="1" x14ac:dyDescent="0.25"/>
    <row r="26882" hidden="1" x14ac:dyDescent="0.25"/>
    <row r="26883" hidden="1" x14ac:dyDescent="0.25"/>
    <row r="26884" hidden="1" x14ac:dyDescent="0.25"/>
    <row r="26885" hidden="1" x14ac:dyDescent="0.25"/>
    <row r="26886" hidden="1" x14ac:dyDescent="0.25"/>
    <row r="26887" hidden="1" x14ac:dyDescent="0.25"/>
    <row r="26888" hidden="1" x14ac:dyDescent="0.25"/>
    <row r="26889" hidden="1" x14ac:dyDescent="0.25"/>
    <row r="26890" hidden="1" x14ac:dyDescent="0.25"/>
    <row r="26891" hidden="1" x14ac:dyDescent="0.25"/>
    <row r="26892" hidden="1" x14ac:dyDescent="0.25"/>
    <row r="26893" hidden="1" x14ac:dyDescent="0.25"/>
    <row r="26894" hidden="1" x14ac:dyDescent="0.25"/>
    <row r="26895" hidden="1" x14ac:dyDescent="0.25"/>
    <row r="26896" hidden="1" x14ac:dyDescent="0.25"/>
    <row r="26897" hidden="1" x14ac:dyDescent="0.25"/>
    <row r="26898" hidden="1" x14ac:dyDescent="0.25"/>
    <row r="26899" hidden="1" x14ac:dyDescent="0.25"/>
    <row r="26900" hidden="1" x14ac:dyDescent="0.25"/>
    <row r="26901" hidden="1" x14ac:dyDescent="0.25"/>
    <row r="26902" hidden="1" x14ac:dyDescent="0.25"/>
    <row r="26903" hidden="1" x14ac:dyDescent="0.25"/>
    <row r="26904" hidden="1" x14ac:dyDescent="0.25"/>
    <row r="26905" hidden="1" x14ac:dyDescent="0.25"/>
    <row r="26906" hidden="1" x14ac:dyDescent="0.25"/>
    <row r="26907" hidden="1" x14ac:dyDescent="0.25"/>
    <row r="26908" hidden="1" x14ac:dyDescent="0.25"/>
    <row r="26909" hidden="1" x14ac:dyDescent="0.25"/>
    <row r="26910" hidden="1" x14ac:dyDescent="0.25"/>
    <row r="26911" hidden="1" x14ac:dyDescent="0.25"/>
    <row r="26912" hidden="1" x14ac:dyDescent="0.25"/>
    <row r="26913" hidden="1" x14ac:dyDescent="0.25"/>
    <row r="26914" hidden="1" x14ac:dyDescent="0.25"/>
    <row r="26915" hidden="1" x14ac:dyDescent="0.25"/>
    <row r="26916" hidden="1" x14ac:dyDescent="0.25"/>
    <row r="26917" hidden="1" x14ac:dyDescent="0.25"/>
    <row r="26918" hidden="1" x14ac:dyDescent="0.25"/>
    <row r="26919" hidden="1" x14ac:dyDescent="0.25"/>
    <row r="26920" hidden="1" x14ac:dyDescent="0.25"/>
    <row r="26921" hidden="1" x14ac:dyDescent="0.25"/>
    <row r="26922" hidden="1" x14ac:dyDescent="0.25"/>
    <row r="26923" hidden="1" x14ac:dyDescent="0.25"/>
    <row r="26924" hidden="1" x14ac:dyDescent="0.25"/>
    <row r="26925" hidden="1" x14ac:dyDescent="0.25"/>
    <row r="26926" hidden="1" x14ac:dyDescent="0.25"/>
    <row r="26927" hidden="1" x14ac:dyDescent="0.25"/>
    <row r="26928" hidden="1" x14ac:dyDescent="0.25"/>
    <row r="26929" hidden="1" x14ac:dyDescent="0.25"/>
    <row r="26930" hidden="1" x14ac:dyDescent="0.25"/>
    <row r="26931" hidden="1" x14ac:dyDescent="0.25"/>
    <row r="26932" hidden="1" x14ac:dyDescent="0.25"/>
    <row r="26933" hidden="1" x14ac:dyDescent="0.25"/>
    <row r="26934" hidden="1" x14ac:dyDescent="0.25"/>
    <row r="26935" hidden="1" x14ac:dyDescent="0.25"/>
    <row r="26936" hidden="1" x14ac:dyDescent="0.25"/>
    <row r="26937" hidden="1" x14ac:dyDescent="0.25"/>
    <row r="26938" hidden="1" x14ac:dyDescent="0.25"/>
    <row r="26939" hidden="1" x14ac:dyDescent="0.25"/>
    <row r="26940" hidden="1" x14ac:dyDescent="0.25"/>
    <row r="26941" hidden="1" x14ac:dyDescent="0.25"/>
    <row r="26942" hidden="1" x14ac:dyDescent="0.25"/>
    <row r="26943" hidden="1" x14ac:dyDescent="0.25"/>
    <row r="26944" hidden="1" x14ac:dyDescent="0.25"/>
    <row r="26945" hidden="1" x14ac:dyDescent="0.25"/>
    <row r="26946" hidden="1" x14ac:dyDescent="0.25"/>
    <row r="26947" hidden="1" x14ac:dyDescent="0.25"/>
    <row r="26948" hidden="1" x14ac:dyDescent="0.25"/>
    <row r="26949" hidden="1" x14ac:dyDescent="0.25"/>
    <row r="26950" hidden="1" x14ac:dyDescent="0.25"/>
    <row r="26951" hidden="1" x14ac:dyDescent="0.25"/>
    <row r="26952" hidden="1" x14ac:dyDescent="0.25"/>
    <row r="26953" hidden="1" x14ac:dyDescent="0.25"/>
    <row r="26954" hidden="1" x14ac:dyDescent="0.25"/>
    <row r="26955" hidden="1" x14ac:dyDescent="0.25"/>
    <row r="26956" hidden="1" x14ac:dyDescent="0.25"/>
    <row r="26957" hidden="1" x14ac:dyDescent="0.25"/>
    <row r="26958" hidden="1" x14ac:dyDescent="0.25"/>
    <row r="26959" hidden="1" x14ac:dyDescent="0.25"/>
    <row r="26960" hidden="1" x14ac:dyDescent="0.25"/>
    <row r="26961" hidden="1" x14ac:dyDescent="0.25"/>
    <row r="26962" hidden="1" x14ac:dyDescent="0.25"/>
    <row r="26963" hidden="1" x14ac:dyDescent="0.25"/>
    <row r="26964" hidden="1" x14ac:dyDescent="0.25"/>
    <row r="26965" hidden="1" x14ac:dyDescent="0.25"/>
    <row r="26966" hidden="1" x14ac:dyDescent="0.25"/>
    <row r="26967" hidden="1" x14ac:dyDescent="0.25"/>
    <row r="26968" hidden="1" x14ac:dyDescent="0.25"/>
    <row r="26969" hidden="1" x14ac:dyDescent="0.25"/>
    <row r="26970" hidden="1" x14ac:dyDescent="0.25"/>
    <row r="26971" hidden="1" x14ac:dyDescent="0.25"/>
    <row r="26972" hidden="1" x14ac:dyDescent="0.25"/>
    <row r="26973" hidden="1" x14ac:dyDescent="0.25"/>
    <row r="26974" hidden="1" x14ac:dyDescent="0.25"/>
    <row r="26975" hidden="1" x14ac:dyDescent="0.25"/>
    <row r="26976" hidden="1" x14ac:dyDescent="0.25"/>
    <row r="26977" hidden="1" x14ac:dyDescent="0.25"/>
    <row r="26978" hidden="1" x14ac:dyDescent="0.25"/>
    <row r="26979" hidden="1" x14ac:dyDescent="0.25"/>
    <row r="26980" hidden="1" x14ac:dyDescent="0.25"/>
    <row r="26981" hidden="1" x14ac:dyDescent="0.25"/>
    <row r="26982" hidden="1" x14ac:dyDescent="0.25"/>
    <row r="26983" hidden="1" x14ac:dyDescent="0.25"/>
    <row r="26984" hidden="1" x14ac:dyDescent="0.25"/>
    <row r="26985" hidden="1" x14ac:dyDescent="0.25"/>
    <row r="26986" hidden="1" x14ac:dyDescent="0.25"/>
    <row r="26987" hidden="1" x14ac:dyDescent="0.25"/>
    <row r="26988" hidden="1" x14ac:dyDescent="0.25"/>
    <row r="26989" hidden="1" x14ac:dyDescent="0.25"/>
    <row r="26990" hidden="1" x14ac:dyDescent="0.25"/>
    <row r="26991" hidden="1" x14ac:dyDescent="0.25"/>
    <row r="26992" hidden="1" x14ac:dyDescent="0.25"/>
    <row r="26993" hidden="1" x14ac:dyDescent="0.25"/>
    <row r="26994" hidden="1" x14ac:dyDescent="0.25"/>
    <row r="26995" hidden="1" x14ac:dyDescent="0.25"/>
    <row r="26996" hidden="1" x14ac:dyDescent="0.25"/>
    <row r="26997" hidden="1" x14ac:dyDescent="0.25"/>
    <row r="26998" hidden="1" x14ac:dyDescent="0.25"/>
    <row r="26999" hidden="1" x14ac:dyDescent="0.25"/>
    <row r="27000" hidden="1" x14ac:dyDescent="0.25"/>
    <row r="27001" hidden="1" x14ac:dyDescent="0.25"/>
    <row r="27002" hidden="1" x14ac:dyDescent="0.25"/>
    <row r="27003" hidden="1" x14ac:dyDescent="0.25"/>
    <row r="27004" hidden="1" x14ac:dyDescent="0.25"/>
    <row r="27005" hidden="1" x14ac:dyDescent="0.25"/>
    <row r="27006" hidden="1" x14ac:dyDescent="0.25"/>
    <row r="27007" hidden="1" x14ac:dyDescent="0.25"/>
    <row r="27008" hidden="1" x14ac:dyDescent="0.25"/>
    <row r="27009" hidden="1" x14ac:dyDescent="0.25"/>
    <row r="27010" hidden="1" x14ac:dyDescent="0.25"/>
    <row r="27011" hidden="1" x14ac:dyDescent="0.25"/>
    <row r="27012" hidden="1" x14ac:dyDescent="0.25"/>
    <row r="27013" hidden="1" x14ac:dyDescent="0.25"/>
    <row r="27014" hidden="1" x14ac:dyDescent="0.25"/>
    <row r="27015" hidden="1" x14ac:dyDescent="0.25"/>
    <row r="27016" hidden="1" x14ac:dyDescent="0.25"/>
    <row r="27017" hidden="1" x14ac:dyDescent="0.25"/>
    <row r="27018" hidden="1" x14ac:dyDescent="0.25"/>
    <row r="27019" hidden="1" x14ac:dyDescent="0.25"/>
    <row r="27020" hidden="1" x14ac:dyDescent="0.25"/>
    <row r="27021" hidden="1" x14ac:dyDescent="0.25"/>
    <row r="27022" hidden="1" x14ac:dyDescent="0.25"/>
    <row r="27023" hidden="1" x14ac:dyDescent="0.25"/>
    <row r="27024" hidden="1" x14ac:dyDescent="0.25"/>
    <row r="27025" hidden="1" x14ac:dyDescent="0.25"/>
    <row r="27026" hidden="1" x14ac:dyDescent="0.25"/>
    <row r="27027" hidden="1" x14ac:dyDescent="0.25"/>
    <row r="27028" hidden="1" x14ac:dyDescent="0.25"/>
    <row r="27029" hidden="1" x14ac:dyDescent="0.25"/>
    <row r="27030" hidden="1" x14ac:dyDescent="0.25"/>
    <row r="27031" hidden="1" x14ac:dyDescent="0.25"/>
    <row r="27032" hidden="1" x14ac:dyDescent="0.25"/>
    <row r="27033" hidden="1" x14ac:dyDescent="0.25"/>
    <row r="27034" hidden="1" x14ac:dyDescent="0.25"/>
    <row r="27035" hidden="1" x14ac:dyDescent="0.25"/>
    <row r="27036" hidden="1" x14ac:dyDescent="0.25"/>
    <row r="27037" hidden="1" x14ac:dyDescent="0.25"/>
    <row r="27038" hidden="1" x14ac:dyDescent="0.25"/>
    <row r="27039" hidden="1" x14ac:dyDescent="0.25"/>
    <row r="27040" hidden="1" x14ac:dyDescent="0.25"/>
    <row r="27041" hidden="1" x14ac:dyDescent="0.25"/>
    <row r="27042" hidden="1" x14ac:dyDescent="0.25"/>
    <row r="27043" hidden="1" x14ac:dyDescent="0.25"/>
    <row r="27044" hidden="1" x14ac:dyDescent="0.25"/>
    <row r="27045" hidden="1" x14ac:dyDescent="0.25"/>
    <row r="27046" hidden="1" x14ac:dyDescent="0.25"/>
    <row r="27047" hidden="1" x14ac:dyDescent="0.25"/>
    <row r="27048" hidden="1" x14ac:dyDescent="0.25"/>
    <row r="27049" hidden="1" x14ac:dyDescent="0.25"/>
    <row r="27050" hidden="1" x14ac:dyDescent="0.25"/>
    <row r="27051" hidden="1" x14ac:dyDescent="0.25"/>
    <row r="27052" hidden="1" x14ac:dyDescent="0.25"/>
    <row r="27053" hidden="1" x14ac:dyDescent="0.25"/>
    <row r="27054" hidden="1" x14ac:dyDescent="0.25"/>
    <row r="27055" hidden="1" x14ac:dyDescent="0.25"/>
    <row r="27056" hidden="1" x14ac:dyDescent="0.25"/>
    <row r="27057" hidden="1" x14ac:dyDescent="0.25"/>
    <row r="27058" hidden="1" x14ac:dyDescent="0.25"/>
    <row r="27059" hidden="1" x14ac:dyDescent="0.25"/>
    <row r="27060" hidden="1" x14ac:dyDescent="0.25"/>
    <row r="27061" hidden="1" x14ac:dyDescent="0.25"/>
    <row r="27062" hidden="1" x14ac:dyDescent="0.25"/>
    <row r="27063" hidden="1" x14ac:dyDescent="0.25"/>
    <row r="27064" hidden="1" x14ac:dyDescent="0.25"/>
    <row r="27065" hidden="1" x14ac:dyDescent="0.25"/>
    <row r="27066" hidden="1" x14ac:dyDescent="0.25"/>
    <row r="27067" hidden="1" x14ac:dyDescent="0.25"/>
    <row r="27068" hidden="1" x14ac:dyDescent="0.25"/>
    <row r="27069" hidden="1" x14ac:dyDescent="0.25"/>
    <row r="27070" hidden="1" x14ac:dyDescent="0.25"/>
    <row r="27071" hidden="1" x14ac:dyDescent="0.25"/>
    <row r="27072" hidden="1" x14ac:dyDescent="0.25"/>
    <row r="27073" hidden="1" x14ac:dyDescent="0.25"/>
    <row r="27074" hidden="1" x14ac:dyDescent="0.25"/>
    <row r="27075" hidden="1" x14ac:dyDescent="0.25"/>
    <row r="27076" hidden="1" x14ac:dyDescent="0.25"/>
    <row r="27077" hidden="1" x14ac:dyDescent="0.25"/>
    <row r="27078" hidden="1" x14ac:dyDescent="0.25"/>
    <row r="27079" hidden="1" x14ac:dyDescent="0.25"/>
    <row r="27080" hidden="1" x14ac:dyDescent="0.25"/>
    <row r="27081" hidden="1" x14ac:dyDescent="0.25"/>
    <row r="27082" hidden="1" x14ac:dyDescent="0.25"/>
    <row r="27083" hidden="1" x14ac:dyDescent="0.25"/>
    <row r="27084" hidden="1" x14ac:dyDescent="0.25"/>
    <row r="27085" hidden="1" x14ac:dyDescent="0.25"/>
    <row r="27086" hidden="1" x14ac:dyDescent="0.25"/>
    <row r="27087" hidden="1" x14ac:dyDescent="0.25"/>
    <row r="27088" hidden="1" x14ac:dyDescent="0.25"/>
    <row r="27089" hidden="1" x14ac:dyDescent="0.25"/>
    <row r="27090" hidden="1" x14ac:dyDescent="0.25"/>
    <row r="27091" hidden="1" x14ac:dyDescent="0.25"/>
    <row r="27092" hidden="1" x14ac:dyDescent="0.25"/>
    <row r="27093" hidden="1" x14ac:dyDescent="0.25"/>
    <row r="27094" hidden="1" x14ac:dyDescent="0.25"/>
    <row r="27095" hidden="1" x14ac:dyDescent="0.25"/>
    <row r="27096" hidden="1" x14ac:dyDescent="0.25"/>
    <row r="27097" hidden="1" x14ac:dyDescent="0.25"/>
    <row r="27098" hidden="1" x14ac:dyDescent="0.25"/>
    <row r="27099" hidden="1" x14ac:dyDescent="0.25"/>
    <row r="27100" hidden="1" x14ac:dyDescent="0.25"/>
    <row r="27101" hidden="1" x14ac:dyDescent="0.25"/>
    <row r="27102" hidden="1" x14ac:dyDescent="0.25"/>
    <row r="27103" hidden="1" x14ac:dyDescent="0.25"/>
    <row r="27104" hidden="1" x14ac:dyDescent="0.25"/>
    <row r="27105" hidden="1" x14ac:dyDescent="0.25"/>
    <row r="27106" hidden="1" x14ac:dyDescent="0.25"/>
    <row r="27107" hidden="1" x14ac:dyDescent="0.25"/>
    <row r="27108" hidden="1" x14ac:dyDescent="0.25"/>
    <row r="27109" hidden="1" x14ac:dyDescent="0.25"/>
    <row r="27110" hidden="1" x14ac:dyDescent="0.25"/>
    <row r="27111" hidden="1" x14ac:dyDescent="0.25"/>
    <row r="27112" hidden="1" x14ac:dyDescent="0.25"/>
    <row r="27113" hidden="1" x14ac:dyDescent="0.25"/>
    <row r="27114" hidden="1" x14ac:dyDescent="0.25"/>
    <row r="27115" hidden="1" x14ac:dyDescent="0.25"/>
    <row r="27116" hidden="1" x14ac:dyDescent="0.25"/>
    <row r="27117" hidden="1" x14ac:dyDescent="0.25"/>
    <row r="27118" hidden="1" x14ac:dyDescent="0.25"/>
    <row r="27119" hidden="1" x14ac:dyDescent="0.25"/>
    <row r="27120" hidden="1" x14ac:dyDescent="0.25"/>
    <row r="27121" hidden="1" x14ac:dyDescent="0.25"/>
    <row r="27122" hidden="1" x14ac:dyDescent="0.25"/>
    <row r="27123" hidden="1" x14ac:dyDescent="0.25"/>
    <row r="27124" hidden="1" x14ac:dyDescent="0.25"/>
    <row r="27125" hidden="1" x14ac:dyDescent="0.25"/>
    <row r="27126" hidden="1" x14ac:dyDescent="0.25"/>
    <row r="27127" hidden="1" x14ac:dyDescent="0.25"/>
    <row r="27128" hidden="1" x14ac:dyDescent="0.25"/>
    <row r="27129" hidden="1" x14ac:dyDescent="0.25"/>
    <row r="27130" hidden="1" x14ac:dyDescent="0.25"/>
    <row r="27131" hidden="1" x14ac:dyDescent="0.25"/>
    <row r="27132" hidden="1" x14ac:dyDescent="0.25"/>
    <row r="27133" hidden="1" x14ac:dyDescent="0.25"/>
    <row r="27134" hidden="1" x14ac:dyDescent="0.25"/>
    <row r="27135" hidden="1" x14ac:dyDescent="0.25"/>
    <row r="27136" hidden="1" x14ac:dyDescent="0.25"/>
    <row r="27137" hidden="1" x14ac:dyDescent="0.25"/>
    <row r="27138" hidden="1" x14ac:dyDescent="0.25"/>
    <row r="27139" hidden="1" x14ac:dyDescent="0.25"/>
    <row r="27140" hidden="1" x14ac:dyDescent="0.25"/>
    <row r="27141" hidden="1" x14ac:dyDescent="0.25"/>
    <row r="27142" hidden="1" x14ac:dyDescent="0.25"/>
    <row r="27143" hidden="1" x14ac:dyDescent="0.25"/>
    <row r="27144" hidden="1" x14ac:dyDescent="0.25"/>
    <row r="27145" hidden="1" x14ac:dyDescent="0.25"/>
    <row r="27146" hidden="1" x14ac:dyDescent="0.25"/>
    <row r="27147" hidden="1" x14ac:dyDescent="0.25"/>
    <row r="27148" hidden="1" x14ac:dyDescent="0.25"/>
    <row r="27149" hidden="1" x14ac:dyDescent="0.25"/>
    <row r="27150" hidden="1" x14ac:dyDescent="0.25"/>
    <row r="27151" hidden="1" x14ac:dyDescent="0.25"/>
    <row r="27152" hidden="1" x14ac:dyDescent="0.25"/>
    <row r="27153" hidden="1" x14ac:dyDescent="0.25"/>
    <row r="27154" hidden="1" x14ac:dyDescent="0.25"/>
    <row r="27155" hidden="1" x14ac:dyDescent="0.25"/>
    <row r="27156" hidden="1" x14ac:dyDescent="0.25"/>
    <row r="27157" hidden="1" x14ac:dyDescent="0.25"/>
    <row r="27158" hidden="1" x14ac:dyDescent="0.25"/>
    <row r="27159" hidden="1" x14ac:dyDescent="0.25"/>
    <row r="27160" hidden="1" x14ac:dyDescent="0.25"/>
    <row r="27161" hidden="1" x14ac:dyDescent="0.25"/>
    <row r="27162" hidden="1" x14ac:dyDescent="0.25"/>
    <row r="27163" hidden="1" x14ac:dyDescent="0.25"/>
    <row r="27164" hidden="1" x14ac:dyDescent="0.25"/>
    <row r="27165" hidden="1" x14ac:dyDescent="0.25"/>
    <row r="27166" hidden="1" x14ac:dyDescent="0.25"/>
    <row r="27167" hidden="1" x14ac:dyDescent="0.25"/>
    <row r="27168" hidden="1" x14ac:dyDescent="0.25"/>
    <row r="27169" hidden="1" x14ac:dyDescent="0.25"/>
    <row r="27170" hidden="1" x14ac:dyDescent="0.25"/>
    <row r="27171" hidden="1" x14ac:dyDescent="0.25"/>
    <row r="27172" hidden="1" x14ac:dyDescent="0.25"/>
    <row r="27173" hidden="1" x14ac:dyDescent="0.25"/>
    <row r="27174" hidden="1" x14ac:dyDescent="0.25"/>
    <row r="27175" hidden="1" x14ac:dyDescent="0.25"/>
    <row r="27176" hidden="1" x14ac:dyDescent="0.25"/>
    <row r="27177" hidden="1" x14ac:dyDescent="0.25"/>
    <row r="27178" hidden="1" x14ac:dyDescent="0.25"/>
    <row r="27179" hidden="1" x14ac:dyDescent="0.25"/>
    <row r="27180" hidden="1" x14ac:dyDescent="0.25"/>
    <row r="27181" hidden="1" x14ac:dyDescent="0.25"/>
    <row r="27182" hidden="1" x14ac:dyDescent="0.25"/>
    <row r="27183" hidden="1" x14ac:dyDescent="0.25"/>
    <row r="27184" hidden="1" x14ac:dyDescent="0.25"/>
    <row r="27185" hidden="1" x14ac:dyDescent="0.25"/>
    <row r="27186" hidden="1" x14ac:dyDescent="0.25"/>
    <row r="27187" hidden="1" x14ac:dyDescent="0.25"/>
    <row r="27188" hidden="1" x14ac:dyDescent="0.25"/>
    <row r="27189" hidden="1" x14ac:dyDescent="0.25"/>
    <row r="27190" hidden="1" x14ac:dyDescent="0.25"/>
    <row r="27191" hidden="1" x14ac:dyDescent="0.25"/>
    <row r="27192" hidden="1" x14ac:dyDescent="0.25"/>
    <row r="27193" hidden="1" x14ac:dyDescent="0.25"/>
    <row r="27194" hidden="1" x14ac:dyDescent="0.25"/>
    <row r="27195" hidden="1" x14ac:dyDescent="0.25"/>
    <row r="27196" hidden="1" x14ac:dyDescent="0.25"/>
    <row r="27197" hidden="1" x14ac:dyDescent="0.25"/>
    <row r="27198" hidden="1" x14ac:dyDescent="0.25"/>
    <row r="27199" hidden="1" x14ac:dyDescent="0.25"/>
    <row r="27200" hidden="1" x14ac:dyDescent="0.25"/>
    <row r="27201" hidden="1" x14ac:dyDescent="0.25"/>
    <row r="27202" hidden="1" x14ac:dyDescent="0.25"/>
    <row r="27203" hidden="1" x14ac:dyDescent="0.25"/>
    <row r="27204" hidden="1" x14ac:dyDescent="0.25"/>
    <row r="27205" hidden="1" x14ac:dyDescent="0.25"/>
    <row r="27206" hidden="1" x14ac:dyDescent="0.25"/>
    <row r="27207" hidden="1" x14ac:dyDescent="0.25"/>
    <row r="27208" hidden="1" x14ac:dyDescent="0.25"/>
    <row r="27209" hidden="1" x14ac:dyDescent="0.25"/>
    <row r="27210" hidden="1" x14ac:dyDescent="0.25"/>
    <row r="27211" hidden="1" x14ac:dyDescent="0.25"/>
    <row r="27212" hidden="1" x14ac:dyDescent="0.25"/>
    <row r="27213" hidden="1" x14ac:dyDescent="0.25"/>
    <row r="27214" hidden="1" x14ac:dyDescent="0.25"/>
    <row r="27215" hidden="1" x14ac:dyDescent="0.25"/>
    <row r="27216" hidden="1" x14ac:dyDescent="0.25"/>
    <row r="27217" hidden="1" x14ac:dyDescent="0.25"/>
    <row r="27218" hidden="1" x14ac:dyDescent="0.25"/>
    <row r="27219" hidden="1" x14ac:dyDescent="0.25"/>
    <row r="27220" hidden="1" x14ac:dyDescent="0.25"/>
    <row r="27221" hidden="1" x14ac:dyDescent="0.25"/>
    <row r="27222" hidden="1" x14ac:dyDescent="0.25"/>
    <row r="27223" hidden="1" x14ac:dyDescent="0.25"/>
    <row r="27224" hidden="1" x14ac:dyDescent="0.25"/>
    <row r="27225" hidden="1" x14ac:dyDescent="0.25"/>
    <row r="27226" hidden="1" x14ac:dyDescent="0.25"/>
    <row r="27227" hidden="1" x14ac:dyDescent="0.25"/>
    <row r="27228" hidden="1" x14ac:dyDescent="0.25"/>
    <row r="27229" hidden="1" x14ac:dyDescent="0.25"/>
    <row r="27230" hidden="1" x14ac:dyDescent="0.25"/>
    <row r="27231" hidden="1" x14ac:dyDescent="0.25"/>
    <row r="27232" hidden="1" x14ac:dyDescent="0.25"/>
    <row r="27233" hidden="1" x14ac:dyDescent="0.25"/>
    <row r="27234" hidden="1" x14ac:dyDescent="0.25"/>
    <row r="27235" hidden="1" x14ac:dyDescent="0.25"/>
    <row r="27236" hidden="1" x14ac:dyDescent="0.25"/>
    <row r="27237" hidden="1" x14ac:dyDescent="0.25"/>
    <row r="27238" hidden="1" x14ac:dyDescent="0.25"/>
    <row r="27239" hidden="1" x14ac:dyDescent="0.25"/>
    <row r="27240" hidden="1" x14ac:dyDescent="0.25"/>
    <row r="27241" hidden="1" x14ac:dyDescent="0.25"/>
    <row r="27242" hidden="1" x14ac:dyDescent="0.25"/>
    <row r="27243" hidden="1" x14ac:dyDescent="0.25"/>
    <row r="27244" hidden="1" x14ac:dyDescent="0.25"/>
    <row r="27245" hidden="1" x14ac:dyDescent="0.25"/>
    <row r="27246" hidden="1" x14ac:dyDescent="0.25"/>
    <row r="27247" hidden="1" x14ac:dyDescent="0.25"/>
    <row r="27248" hidden="1" x14ac:dyDescent="0.25"/>
    <row r="27249" hidden="1" x14ac:dyDescent="0.25"/>
    <row r="27250" hidden="1" x14ac:dyDescent="0.25"/>
    <row r="27251" hidden="1" x14ac:dyDescent="0.25"/>
    <row r="27252" hidden="1" x14ac:dyDescent="0.25"/>
    <row r="27253" hidden="1" x14ac:dyDescent="0.25"/>
    <row r="27254" hidden="1" x14ac:dyDescent="0.25"/>
    <row r="27255" hidden="1" x14ac:dyDescent="0.25"/>
    <row r="27256" hidden="1" x14ac:dyDescent="0.25"/>
    <row r="27257" hidden="1" x14ac:dyDescent="0.25"/>
    <row r="27258" hidden="1" x14ac:dyDescent="0.25"/>
    <row r="27259" hidden="1" x14ac:dyDescent="0.25"/>
    <row r="27260" hidden="1" x14ac:dyDescent="0.25"/>
    <row r="27261" hidden="1" x14ac:dyDescent="0.25"/>
    <row r="27262" hidden="1" x14ac:dyDescent="0.25"/>
    <row r="27263" hidden="1" x14ac:dyDescent="0.25"/>
    <row r="27264" hidden="1" x14ac:dyDescent="0.25"/>
    <row r="27265" hidden="1" x14ac:dyDescent="0.25"/>
    <row r="27266" hidden="1" x14ac:dyDescent="0.25"/>
    <row r="27267" hidden="1" x14ac:dyDescent="0.25"/>
    <row r="27268" hidden="1" x14ac:dyDescent="0.25"/>
    <row r="27269" hidden="1" x14ac:dyDescent="0.25"/>
    <row r="27270" hidden="1" x14ac:dyDescent="0.25"/>
    <row r="27271" hidden="1" x14ac:dyDescent="0.25"/>
    <row r="27272" hidden="1" x14ac:dyDescent="0.25"/>
    <row r="27273" hidden="1" x14ac:dyDescent="0.25"/>
    <row r="27274" hidden="1" x14ac:dyDescent="0.25"/>
    <row r="27275" hidden="1" x14ac:dyDescent="0.25"/>
    <row r="27276" hidden="1" x14ac:dyDescent="0.25"/>
    <row r="27277" hidden="1" x14ac:dyDescent="0.25"/>
    <row r="27278" hidden="1" x14ac:dyDescent="0.25"/>
    <row r="27279" hidden="1" x14ac:dyDescent="0.25"/>
    <row r="27280" hidden="1" x14ac:dyDescent="0.25"/>
    <row r="27281" hidden="1" x14ac:dyDescent="0.25"/>
    <row r="27282" hidden="1" x14ac:dyDescent="0.25"/>
    <row r="27283" hidden="1" x14ac:dyDescent="0.25"/>
    <row r="27284" hidden="1" x14ac:dyDescent="0.25"/>
    <row r="27285" hidden="1" x14ac:dyDescent="0.25"/>
    <row r="27286" hidden="1" x14ac:dyDescent="0.25"/>
    <row r="27287" hidden="1" x14ac:dyDescent="0.25"/>
    <row r="27288" hidden="1" x14ac:dyDescent="0.25"/>
    <row r="27289" hidden="1" x14ac:dyDescent="0.25"/>
    <row r="27290" hidden="1" x14ac:dyDescent="0.25"/>
    <row r="27291" hidden="1" x14ac:dyDescent="0.25"/>
    <row r="27292" hidden="1" x14ac:dyDescent="0.25"/>
    <row r="27293" hidden="1" x14ac:dyDescent="0.25"/>
    <row r="27294" hidden="1" x14ac:dyDescent="0.25"/>
    <row r="27295" hidden="1" x14ac:dyDescent="0.25"/>
    <row r="27296" hidden="1" x14ac:dyDescent="0.25"/>
    <row r="27297" hidden="1" x14ac:dyDescent="0.25"/>
    <row r="27298" hidden="1" x14ac:dyDescent="0.25"/>
    <row r="27299" hidden="1" x14ac:dyDescent="0.25"/>
    <row r="27300" hidden="1" x14ac:dyDescent="0.25"/>
    <row r="27301" hidden="1" x14ac:dyDescent="0.25"/>
    <row r="27302" hidden="1" x14ac:dyDescent="0.25"/>
    <row r="27303" hidden="1" x14ac:dyDescent="0.25"/>
    <row r="27304" hidden="1" x14ac:dyDescent="0.25"/>
    <row r="27305" hidden="1" x14ac:dyDescent="0.25"/>
    <row r="27306" hidden="1" x14ac:dyDescent="0.25"/>
    <row r="27307" hidden="1" x14ac:dyDescent="0.25"/>
    <row r="27308" hidden="1" x14ac:dyDescent="0.25"/>
    <row r="27309" hidden="1" x14ac:dyDescent="0.25"/>
    <row r="27310" hidden="1" x14ac:dyDescent="0.25"/>
    <row r="27311" hidden="1" x14ac:dyDescent="0.25"/>
    <row r="27312" hidden="1" x14ac:dyDescent="0.25"/>
    <row r="27313" hidden="1" x14ac:dyDescent="0.25"/>
    <row r="27314" hidden="1" x14ac:dyDescent="0.25"/>
    <row r="27315" hidden="1" x14ac:dyDescent="0.25"/>
    <row r="27316" hidden="1" x14ac:dyDescent="0.25"/>
    <row r="27317" hidden="1" x14ac:dyDescent="0.25"/>
    <row r="27318" hidden="1" x14ac:dyDescent="0.25"/>
    <row r="27319" hidden="1" x14ac:dyDescent="0.25"/>
    <row r="27320" hidden="1" x14ac:dyDescent="0.25"/>
    <row r="27321" hidden="1" x14ac:dyDescent="0.25"/>
    <row r="27322" hidden="1" x14ac:dyDescent="0.25"/>
    <row r="27323" hidden="1" x14ac:dyDescent="0.25"/>
    <row r="27324" hidden="1" x14ac:dyDescent="0.25"/>
    <row r="27325" hidden="1" x14ac:dyDescent="0.25"/>
    <row r="27326" hidden="1" x14ac:dyDescent="0.25"/>
    <row r="27327" hidden="1" x14ac:dyDescent="0.25"/>
    <row r="27328" hidden="1" x14ac:dyDescent="0.25"/>
    <row r="27329" hidden="1" x14ac:dyDescent="0.25"/>
    <row r="27330" hidden="1" x14ac:dyDescent="0.25"/>
    <row r="27331" hidden="1" x14ac:dyDescent="0.25"/>
    <row r="27332" hidden="1" x14ac:dyDescent="0.25"/>
    <row r="27333" hidden="1" x14ac:dyDescent="0.25"/>
    <row r="27334" hidden="1" x14ac:dyDescent="0.25"/>
    <row r="27335" hidden="1" x14ac:dyDescent="0.25"/>
    <row r="27336" hidden="1" x14ac:dyDescent="0.25"/>
    <row r="27337" hidden="1" x14ac:dyDescent="0.25"/>
    <row r="27338" hidden="1" x14ac:dyDescent="0.25"/>
    <row r="27339" hidden="1" x14ac:dyDescent="0.25"/>
    <row r="27340" hidden="1" x14ac:dyDescent="0.25"/>
    <row r="27341" hidden="1" x14ac:dyDescent="0.25"/>
    <row r="27342" hidden="1" x14ac:dyDescent="0.25"/>
    <row r="27343" hidden="1" x14ac:dyDescent="0.25"/>
    <row r="27344" hidden="1" x14ac:dyDescent="0.25"/>
    <row r="27345" hidden="1" x14ac:dyDescent="0.25"/>
    <row r="27346" hidden="1" x14ac:dyDescent="0.25"/>
    <row r="27347" hidden="1" x14ac:dyDescent="0.25"/>
    <row r="27348" hidden="1" x14ac:dyDescent="0.25"/>
    <row r="27349" hidden="1" x14ac:dyDescent="0.25"/>
    <row r="27350" hidden="1" x14ac:dyDescent="0.25"/>
    <row r="27351" hidden="1" x14ac:dyDescent="0.25"/>
    <row r="27352" hidden="1" x14ac:dyDescent="0.25"/>
    <row r="27353" hidden="1" x14ac:dyDescent="0.25"/>
    <row r="27354" hidden="1" x14ac:dyDescent="0.25"/>
    <row r="27355" hidden="1" x14ac:dyDescent="0.25"/>
    <row r="27356" hidden="1" x14ac:dyDescent="0.25"/>
    <row r="27357" hidden="1" x14ac:dyDescent="0.25"/>
    <row r="27358" hidden="1" x14ac:dyDescent="0.25"/>
    <row r="27359" hidden="1" x14ac:dyDescent="0.25"/>
    <row r="27360" hidden="1" x14ac:dyDescent="0.25"/>
    <row r="27361" hidden="1" x14ac:dyDescent="0.25"/>
    <row r="27362" hidden="1" x14ac:dyDescent="0.25"/>
    <row r="27363" hidden="1" x14ac:dyDescent="0.25"/>
    <row r="27364" hidden="1" x14ac:dyDescent="0.25"/>
    <row r="27365" hidden="1" x14ac:dyDescent="0.25"/>
    <row r="27366" hidden="1" x14ac:dyDescent="0.25"/>
    <row r="27367" hidden="1" x14ac:dyDescent="0.25"/>
    <row r="27368" hidden="1" x14ac:dyDescent="0.25"/>
    <row r="27369" hidden="1" x14ac:dyDescent="0.25"/>
    <row r="27370" hidden="1" x14ac:dyDescent="0.25"/>
    <row r="27371" hidden="1" x14ac:dyDescent="0.25"/>
    <row r="27372" hidden="1" x14ac:dyDescent="0.25"/>
    <row r="27373" hidden="1" x14ac:dyDescent="0.25"/>
    <row r="27374" hidden="1" x14ac:dyDescent="0.25"/>
    <row r="27375" hidden="1" x14ac:dyDescent="0.25"/>
    <row r="27376" hidden="1" x14ac:dyDescent="0.25"/>
    <row r="27377" hidden="1" x14ac:dyDescent="0.25"/>
    <row r="27378" hidden="1" x14ac:dyDescent="0.25"/>
    <row r="27379" hidden="1" x14ac:dyDescent="0.25"/>
    <row r="27380" hidden="1" x14ac:dyDescent="0.25"/>
    <row r="27381" hidden="1" x14ac:dyDescent="0.25"/>
    <row r="27382" hidden="1" x14ac:dyDescent="0.25"/>
    <row r="27383" hidden="1" x14ac:dyDescent="0.25"/>
    <row r="27384" hidden="1" x14ac:dyDescent="0.25"/>
    <row r="27385" hidden="1" x14ac:dyDescent="0.25"/>
    <row r="27386" hidden="1" x14ac:dyDescent="0.25"/>
    <row r="27387" hidden="1" x14ac:dyDescent="0.25"/>
    <row r="27388" hidden="1" x14ac:dyDescent="0.25"/>
    <row r="27389" hidden="1" x14ac:dyDescent="0.25"/>
    <row r="27390" hidden="1" x14ac:dyDescent="0.25"/>
    <row r="27391" hidden="1" x14ac:dyDescent="0.25"/>
    <row r="27392" hidden="1" x14ac:dyDescent="0.25"/>
    <row r="27393" hidden="1" x14ac:dyDescent="0.25"/>
    <row r="27394" hidden="1" x14ac:dyDescent="0.25"/>
    <row r="27395" hidden="1" x14ac:dyDescent="0.25"/>
    <row r="27396" hidden="1" x14ac:dyDescent="0.25"/>
    <row r="27397" hidden="1" x14ac:dyDescent="0.25"/>
    <row r="27398" hidden="1" x14ac:dyDescent="0.25"/>
    <row r="27399" hidden="1" x14ac:dyDescent="0.25"/>
    <row r="27400" hidden="1" x14ac:dyDescent="0.25"/>
    <row r="27401" hidden="1" x14ac:dyDescent="0.25"/>
    <row r="27402" hidden="1" x14ac:dyDescent="0.25"/>
    <row r="27403" hidden="1" x14ac:dyDescent="0.25"/>
    <row r="27404" hidden="1" x14ac:dyDescent="0.25"/>
    <row r="27405" hidden="1" x14ac:dyDescent="0.25"/>
    <row r="27406" hidden="1" x14ac:dyDescent="0.25"/>
    <row r="27407" hidden="1" x14ac:dyDescent="0.25"/>
    <row r="27408" hidden="1" x14ac:dyDescent="0.25"/>
    <row r="27409" hidden="1" x14ac:dyDescent="0.25"/>
    <row r="27410" hidden="1" x14ac:dyDescent="0.25"/>
    <row r="27411" hidden="1" x14ac:dyDescent="0.25"/>
    <row r="27412" hidden="1" x14ac:dyDescent="0.25"/>
    <row r="27413" hidden="1" x14ac:dyDescent="0.25"/>
    <row r="27414" hidden="1" x14ac:dyDescent="0.25"/>
    <row r="27415" hidden="1" x14ac:dyDescent="0.25"/>
    <row r="27416" hidden="1" x14ac:dyDescent="0.25"/>
    <row r="27417" hidden="1" x14ac:dyDescent="0.25"/>
    <row r="27418" hidden="1" x14ac:dyDescent="0.25"/>
    <row r="27419" hidden="1" x14ac:dyDescent="0.25"/>
    <row r="27420" hidden="1" x14ac:dyDescent="0.25"/>
    <row r="27421" hidden="1" x14ac:dyDescent="0.25"/>
    <row r="27422" hidden="1" x14ac:dyDescent="0.25"/>
    <row r="27423" hidden="1" x14ac:dyDescent="0.25"/>
    <row r="27424" hidden="1" x14ac:dyDescent="0.25"/>
    <row r="27425" hidden="1" x14ac:dyDescent="0.25"/>
    <row r="27426" hidden="1" x14ac:dyDescent="0.25"/>
    <row r="27427" hidden="1" x14ac:dyDescent="0.25"/>
    <row r="27428" hidden="1" x14ac:dyDescent="0.25"/>
    <row r="27429" hidden="1" x14ac:dyDescent="0.25"/>
    <row r="27430" hidden="1" x14ac:dyDescent="0.25"/>
    <row r="27431" hidden="1" x14ac:dyDescent="0.25"/>
    <row r="27432" hidden="1" x14ac:dyDescent="0.25"/>
    <row r="27433" hidden="1" x14ac:dyDescent="0.25"/>
    <row r="27434" hidden="1" x14ac:dyDescent="0.25"/>
    <row r="27435" hidden="1" x14ac:dyDescent="0.25"/>
    <row r="27436" hidden="1" x14ac:dyDescent="0.25"/>
    <row r="27437" hidden="1" x14ac:dyDescent="0.25"/>
    <row r="27438" hidden="1" x14ac:dyDescent="0.25"/>
    <row r="27439" hidden="1" x14ac:dyDescent="0.25"/>
    <row r="27440" hidden="1" x14ac:dyDescent="0.25"/>
    <row r="27441" hidden="1" x14ac:dyDescent="0.25"/>
    <row r="27442" hidden="1" x14ac:dyDescent="0.25"/>
    <row r="27443" hidden="1" x14ac:dyDescent="0.25"/>
    <row r="27444" hidden="1" x14ac:dyDescent="0.25"/>
    <row r="27445" hidden="1" x14ac:dyDescent="0.25"/>
    <row r="27446" hidden="1" x14ac:dyDescent="0.25"/>
    <row r="27447" hidden="1" x14ac:dyDescent="0.25"/>
    <row r="27448" hidden="1" x14ac:dyDescent="0.25"/>
    <row r="27449" hidden="1" x14ac:dyDescent="0.25"/>
    <row r="27450" hidden="1" x14ac:dyDescent="0.25"/>
    <row r="27451" hidden="1" x14ac:dyDescent="0.25"/>
    <row r="27452" hidden="1" x14ac:dyDescent="0.25"/>
    <row r="27453" hidden="1" x14ac:dyDescent="0.25"/>
    <row r="27454" hidden="1" x14ac:dyDescent="0.25"/>
    <row r="27455" hidden="1" x14ac:dyDescent="0.25"/>
    <row r="27456" hidden="1" x14ac:dyDescent="0.25"/>
    <row r="27457" hidden="1" x14ac:dyDescent="0.25"/>
    <row r="27458" hidden="1" x14ac:dyDescent="0.25"/>
    <row r="27459" hidden="1" x14ac:dyDescent="0.25"/>
    <row r="27460" hidden="1" x14ac:dyDescent="0.25"/>
    <row r="27461" hidden="1" x14ac:dyDescent="0.25"/>
    <row r="27462" hidden="1" x14ac:dyDescent="0.25"/>
    <row r="27463" hidden="1" x14ac:dyDescent="0.25"/>
    <row r="27464" hidden="1" x14ac:dyDescent="0.25"/>
    <row r="27465" hidden="1" x14ac:dyDescent="0.25"/>
    <row r="27466" hidden="1" x14ac:dyDescent="0.25"/>
    <row r="27467" hidden="1" x14ac:dyDescent="0.25"/>
    <row r="27468" hidden="1" x14ac:dyDescent="0.25"/>
    <row r="27469" hidden="1" x14ac:dyDescent="0.25"/>
    <row r="27470" hidden="1" x14ac:dyDescent="0.25"/>
    <row r="27471" hidden="1" x14ac:dyDescent="0.25"/>
    <row r="27472" hidden="1" x14ac:dyDescent="0.25"/>
    <row r="27473" hidden="1" x14ac:dyDescent="0.25"/>
    <row r="27474" hidden="1" x14ac:dyDescent="0.25"/>
    <row r="27475" hidden="1" x14ac:dyDescent="0.25"/>
    <row r="27476" hidden="1" x14ac:dyDescent="0.25"/>
    <row r="27477" hidden="1" x14ac:dyDescent="0.25"/>
    <row r="27478" hidden="1" x14ac:dyDescent="0.25"/>
    <row r="27479" hidden="1" x14ac:dyDescent="0.25"/>
    <row r="27480" hidden="1" x14ac:dyDescent="0.25"/>
    <row r="27481" hidden="1" x14ac:dyDescent="0.25"/>
    <row r="27482" hidden="1" x14ac:dyDescent="0.25"/>
    <row r="27483" hidden="1" x14ac:dyDescent="0.25"/>
    <row r="27484" hidden="1" x14ac:dyDescent="0.25"/>
    <row r="27485" hidden="1" x14ac:dyDescent="0.25"/>
    <row r="27486" hidden="1" x14ac:dyDescent="0.25"/>
    <row r="27487" hidden="1" x14ac:dyDescent="0.25"/>
    <row r="27488" hidden="1" x14ac:dyDescent="0.25"/>
    <row r="27489" hidden="1" x14ac:dyDescent="0.25"/>
    <row r="27490" hidden="1" x14ac:dyDescent="0.25"/>
    <row r="27491" hidden="1" x14ac:dyDescent="0.25"/>
    <row r="27492" hidden="1" x14ac:dyDescent="0.25"/>
    <row r="27493" hidden="1" x14ac:dyDescent="0.25"/>
    <row r="27494" hidden="1" x14ac:dyDescent="0.25"/>
    <row r="27495" hidden="1" x14ac:dyDescent="0.25"/>
    <row r="27496" hidden="1" x14ac:dyDescent="0.25"/>
    <row r="27497" hidden="1" x14ac:dyDescent="0.25"/>
    <row r="27498" hidden="1" x14ac:dyDescent="0.25"/>
    <row r="27499" hidden="1" x14ac:dyDescent="0.25"/>
    <row r="27500" hidden="1" x14ac:dyDescent="0.25"/>
    <row r="27501" hidden="1" x14ac:dyDescent="0.25"/>
    <row r="27502" hidden="1" x14ac:dyDescent="0.25"/>
    <row r="27503" hidden="1" x14ac:dyDescent="0.25"/>
    <row r="27504" hidden="1" x14ac:dyDescent="0.25"/>
    <row r="27505" hidden="1" x14ac:dyDescent="0.25"/>
    <row r="27506" hidden="1" x14ac:dyDescent="0.25"/>
    <row r="27507" hidden="1" x14ac:dyDescent="0.25"/>
    <row r="27508" hidden="1" x14ac:dyDescent="0.25"/>
    <row r="27509" hidden="1" x14ac:dyDescent="0.25"/>
    <row r="27510" hidden="1" x14ac:dyDescent="0.25"/>
    <row r="27511" hidden="1" x14ac:dyDescent="0.25"/>
    <row r="27512" hidden="1" x14ac:dyDescent="0.25"/>
    <row r="27513" hidden="1" x14ac:dyDescent="0.25"/>
    <row r="27514" hidden="1" x14ac:dyDescent="0.25"/>
    <row r="27515" hidden="1" x14ac:dyDescent="0.25"/>
    <row r="27516" hidden="1" x14ac:dyDescent="0.25"/>
    <row r="27517" hidden="1" x14ac:dyDescent="0.25"/>
    <row r="27518" hidden="1" x14ac:dyDescent="0.25"/>
    <row r="27519" hidden="1" x14ac:dyDescent="0.25"/>
    <row r="27520" hidden="1" x14ac:dyDescent="0.25"/>
    <row r="27521" hidden="1" x14ac:dyDescent="0.25"/>
    <row r="27522" hidden="1" x14ac:dyDescent="0.25"/>
    <row r="27523" hidden="1" x14ac:dyDescent="0.25"/>
    <row r="27524" hidden="1" x14ac:dyDescent="0.25"/>
    <row r="27525" hidden="1" x14ac:dyDescent="0.25"/>
    <row r="27526" hidden="1" x14ac:dyDescent="0.25"/>
    <row r="27527" hidden="1" x14ac:dyDescent="0.25"/>
    <row r="27528" hidden="1" x14ac:dyDescent="0.25"/>
    <row r="27529" hidden="1" x14ac:dyDescent="0.25"/>
    <row r="27530" hidden="1" x14ac:dyDescent="0.25"/>
    <row r="27531" hidden="1" x14ac:dyDescent="0.25"/>
    <row r="27532" hidden="1" x14ac:dyDescent="0.25"/>
    <row r="27533" hidden="1" x14ac:dyDescent="0.25"/>
    <row r="27534" hidden="1" x14ac:dyDescent="0.25"/>
    <row r="27535" hidden="1" x14ac:dyDescent="0.25"/>
    <row r="27536" hidden="1" x14ac:dyDescent="0.25"/>
    <row r="27537" hidden="1" x14ac:dyDescent="0.25"/>
    <row r="27538" hidden="1" x14ac:dyDescent="0.25"/>
    <row r="27539" hidden="1" x14ac:dyDescent="0.25"/>
    <row r="27540" hidden="1" x14ac:dyDescent="0.25"/>
    <row r="27541" hidden="1" x14ac:dyDescent="0.25"/>
    <row r="27542" hidden="1" x14ac:dyDescent="0.25"/>
    <row r="27543" hidden="1" x14ac:dyDescent="0.25"/>
    <row r="27544" hidden="1" x14ac:dyDescent="0.25"/>
    <row r="27545" hidden="1" x14ac:dyDescent="0.25"/>
    <row r="27546" hidden="1" x14ac:dyDescent="0.25"/>
    <row r="27547" hidden="1" x14ac:dyDescent="0.25"/>
    <row r="27548" hidden="1" x14ac:dyDescent="0.25"/>
    <row r="27549" hidden="1" x14ac:dyDescent="0.25"/>
    <row r="27550" hidden="1" x14ac:dyDescent="0.25"/>
    <row r="27551" hidden="1" x14ac:dyDescent="0.25"/>
    <row r="27552" hidden="1" x14ac:dyDescent="0.25"/>
    <row r="27553" hidden="1" x14ac:dyDescent="0.25"/>
    <row r="27554" hidden="1" x14ac:dyDescent="0.25"/>
    <row r="27555" hidden="1" x14ac:dyDescent="0.25"/>
    <row r="27556" hidden="1" x14ac:dyDescent="0.25"/>
    <row r="27557" hidden="1" x14ac:dyDescent="0.25"/>
    <row r="27558" hidden="1" x14ac:dyDescent="0.25"/>
    <row r="27559" hidden="1" x14ac:dyDescent="0.25"/>
    <row r="27560" hidden="1" x14ac:dyDescent="0.25"/>
    <row r="27561" hidden="1" x14ac:dyDescent="0.25"/>
    <row r="27562" hidden="1" x14ac:dyDescent="0.25"/>
    <row r="27563" hidden="1" x14ac:dyDescent="0.25"/>
    <row r="27564" hidden="1" x14ac:dyDescent="0.25"/>
    <row r="27565" hidden="1" x14ac:dyDescent="0.25"/>
    <row r="27566" hidden="1" x14ac:dyDescent="0.25"/>
    <row r="27567" hidden="1" x14ac:dyDescent="0.25"/>
    <row r="27568" hidden="1" x14ac:dyDescent="0.25"/>
    <row r="27569" hidden="1" x14ac:dyDescent="0.25"/>
    <row r="27570" hidden="1" x14ac:dyDescent="0.25"/>
    <row r="27571" hidden="1" x14ac:dyDescent="0.25"/>
    <row r="27572" hidden="1" x14ac:dyDescent="0.25"/>
    <row r="27573" hidden="1" x14ac:dyDescent="0.25"/>
    <row r="27574" hidden="1" x14ac:dyDescent="0.25"/>
    <row r="27575" hidden="1" x14ac:dyDescent="0.25"/>
    <row r="27576" hidden="1" x14ac:dyDescent="0.25"/>
    <row r="27577" hidden="1" x14ac:dyDescent="0.25"/>
    <row r="27578" hidden="1" x14ac:dyDescent="0.25"/>
    <row r="27579" hidden="1" x14ac:dyDescent="0.25"/>
    <row r="27580" hidden="1" x14ac:dyDescent="0.25"/>
    <row r="27581" hidden="1" x14ac:dyDescent="0.25"/>
    <row r="27582" hidden="1" x14ac:dyDescent="0.25"/>
    <row r="27583" hidden="1" x14ac:dyDescent="0.25"/>
    <row r="27584" hidden="1" x14ac:dyDescent="0.25"/>
    <row r="27585" hidden="1" x14ac:dyDescent="0.25"/>
    <row r="27586" hidden="1" x14ac:dyDescent="0.25"/>
    <row r="27587" hidden="1" x14ac:dyDescent="0.25"/>
    <row r="27588" hidden="1" x14ac:dyDescent="0.25"/>
    <row r="27589" hidden="1" x14ac:dyDescent="0.25"/>
    <row r="27590" hidden="1" x14ac:dyDescent="0.25"/>
    <row r="27591" hidden="1" x14ac:dyDescent="0.25"/>
    <row r="27592" hidden="1" x14ac:dyDescent="0.25"/>
    <row r="27593" hidden="1" x14ac:dyDescent="0.25"/>
    <row r="27594" hidden="1" x14ac:dyDescent="0.25"/>
    <row r="27595" hidden="1" x14ac:dyDescent="0.25"/>
    <row r="27596" hidden="1" x14ac:dyDescent="0.25"/>
    <row r="27597" hidden="1" x14ac:dyDescent="0.25"/>
    <row r="27598" hidden="1" x14ac:dyDescent="0.25"/>
    <row r="27599" hidden="1" x14ac:dyDescent="0.25"/>
    <row r="27600" hidden="1" x14ac:dyDescent="0.25"/>
    <row r="27601" hidden="1" x14ac:dyDescent="0.25"/>
    <row r="27602" hidden="1" x14ac:dyDescent="0.25"/>
    <row r="27603" hidden="1" x14ac:dyDescent="0.25"/>
    <row r="27604" hidden="1" x14ac:dyDescent="0.25"/>
    <row r="27605" hidden="1" x14ac:dyDescent="0.25"/>
    <row r="27606" hidden="1" x14ac:dyDescent="0.25"/>
    <row r="27607" hidden="1" x14ac:dyDescent="0.25"/>
    <row r="27608" hidden="1" x14ac:dyDescent="0.25"/>
    <row r="27609" hidden="1" x14ac:dyDescent="0.25"/>
    <row r="27610" hidden="1" x14ac:dyDescent="0.25"/>
    <row r="27611" hidden="1" x14ac:dyDescent="0.25"/>
    <row r="27612" hidden="1" x14ac:dyDescent="0.25"/>
    <row r="27613" hidden="1" x14ac:dyDescent="0.25"/>
    <row r="27614" hidden="1" x14ac:dyDescent="0.25"/>
    <row r="27615" hidden="1" x14ac:dyDescent="0.25"/>
    <row r="27616" hidden="1" x14ac:dyDescent="0.25"/>
    <row r="27617" hidden="1" x14ac:dyDescent="0.25"/>
    <row r="27618" hidden="1" x14ac:dyDescent="0.25"/>
    <row r="27619" hidden="1" x14ac:dyDescent="0.25"/>
    <row r="27620" hidden="1" x14ac:dyDescent="0.25"/>
    <row r="27621" hidden="1" x14ac:dyDescent="0.25"/>
    <row r="27622" hidden="1" x14ac:dyDescent="0.25"/>
    <row r="27623" hidden="1" x14ac:dyDescent="0.25"/>
    <row r="27624" hidden="1" x14ac:dyDescent="0.25"/>
    <row r="27625" hidden="1" x14ac:dyDescent="0.25"/>
    <row r="27626" hidden="1" x14ac:dyDescent="0.25"/>
    <row r="27627" hidden="1" x14ac:dyDescent="0.25"/>
    <row r="27628" hidden="1" x14ac:dyDescent="0.25"/>
    <row r="27629" hidden="1" x14ac:dyDescent="0.25"/>
    <row r="27630" hidden="1" x14ac:dyDescent="0.25"/>
    <row r="27631" hidden="1" x14ac:dyDescent="0.25"/>
    <row r="27632" hidden="1" x14ac:dyDescent="0.25"/>
    <row r="27633" hidden="1" x14ac:dyDescent="0.25"/>
    <row r="27634" hidden="1" x14ac:dyDescent="0.25"/>
    <row r="27635" hidden="1" x14ac:dyDescent="0.25"/>
    <row r="27636" hidden="1" x14ac:dyDescent="0.25"/>
    <row r="27637" hidden="1" x14ac:dyDescent="0.25"/>
    <row r="27638" hidden="1" x14ac:dyDescent="0.25"/>
    <row r="27639" hidden="1" x14ac:dyDescent="0.25"/>
    <row r="27640" hidden="1" x14ac:dyDescent="0.25"/>
    <row r="27641" hidden="1" x14ac:dyDescent="0.25"/>
    <row r="27642" hidden="1" x14ac:dyDescent="0.25"/>
    <row r="27643" hidden="1" x14ac:dyDescent="0.25"/>
    <row r="27644" hidden="1" x14ac:dyDescent="0.25"/>
    <row r="27645" hidden="1" x14ac:dyDescent="0.25"/>
    <row r="27646" hidden="1" x14ac:dyDescent="0.25"/>
    <row r="27647" hidden="1" x14ac:dyDescent="0.25"/>
    <row r="27648" hidden="1" x14ac:dyDescent="0.25"/>
    <row r="27649" hidden="1" x14ac:dyDescent="0.25"/>
    <row r="27650" hidden="1" x14ac:dyDescent="0.25"/>
    <row r="27651" hidden="1" x14ac:dyDescent="0.25"/>
    <row r="27652" hidden="1" x14ac:dyDescent="0.25"/>
    <row r="27653" hidden="1" x14ac:dyDescent="0.25"/>
    <row r="27654" hidden="1" x14ac:dyDescent="0.25"/>
    <row r="27655" hidden="1" x14ac:dyDescent="0.25"/>
    <row r="27656" hidden="1" x14ac:dyDescent="0.25"/>
    <row r="27657" hidden="1" x14ac:dyDescent="0.25"/>
    <row r="27658" hidden="1" x14ac:dyDescent="0.25"/>
    <row r="27659" hidden="1" x14ac:dyDescent="0.25"/>
    <row r="27660" hidden="1" x14ac:dyDescent="0.25"/>
    <row r="27661" hidden="1" x14ac:dyDescent="0.25"/>
    <row r="27662" hidden="1" x14ac:dyDescent="0.25"/>
    <row r="27663" hidden="1" x14ac:dyDescent="0.25"/>
    <row r="27664" hidden="1" x14ac:dyDescent="0.25"/>
    <row r="27665" hidden="1" x14ac:dyDescent="0.25"/>
    <row r="27666" hidden="1" x14ac:dyDescent="0.25"/>
    <row r="27667" hidden="1" x14ac:dyDescent="0.25"/>
    <row r="27668" hidden="1" x14ac:dyDescent="0.25"/>
    <row r="27669" hidden="1" x14ac:dyDescent="0.25"/>
    <row r="27670" hidden="1" x14ac:dyDescent="0.25"/>
    <row r="27671" hidden="1" x14ac:dyDescent="0.25"/>
    <row r="27672" hidden="1" x14ac:dyDescent="0.25"/>
    <row r="27673" hidden="1" x14ac:dyDescent="0.25"/>
    <row r="27674" hidden="1" x14ac:dyDescent="0.25"/>
    <row r="27675" hidden="1" x14ac:dyDescent="0.25"/>
    <row r="27676" hidden="1" x14ac:dyDescent="0.25"/>
    <row r="27677" hidden="1" x14ac:dyDescent="0.25"/>
    <row r="27678" hidden="1" x14ac:dyDescent="0.25"/>
    <row r="27679" hidden="1" x14ac:dyDescent="0.25"/>
    <row r="27680" hidden="1" x14ac:dyDescent="0.25"/>
    <row r="27681" hidden="1" x14ac:dyDescent="0.25"/>
    <row r="27682" hidden="1" x14ac:dyDescent="0.25"/>
    <row r="27683" hidden="1" x14ac:dyDescent="0.25"/>
    <row r="27684" hidden="1" x14ac:dyDescent="0.25"/>
    <row r="27685" hidden="1" x14ac:dyDescent="0.25"/>
    <row r="27686" hidden="1" x14ac:dyDescent="0.25"/>
    <row r="27687" hidden="1" x14ac:dyDescent="0.25"/>
    <row r="27688" hidden="1" x14ac:dyDescent="0.25"/>
    <row r="27689" hidden="1" x14ac:dyDescent="0.25"/>
    <row r="27690" hidden="1" x14ac:dyDescent="0.25"/>
    <row r="27691" hidden="1" x14ac:dyDescent="0.25"/>
    <row r="27692" hidden="1" x14ac:dyDescent="0.25"/>
    <row r="27693" hidden="1" x14ac:dyDescent="0.25"/>
    <row r="27694" hidden="1" x14ac:dyDescent="0.25"/>
    <row r="27695" hidden="1" x14ac:dyDescent="0.25"/>
    <row r="27696" hidden="1" x14ac:dyDescent="0.25"/>
    <row r="27697" hidden="1" x14ac:dyDescent="0.25"/>
    <row r="27698" hidden="1" x14ac:dyDescent="0.25"/>
    <row r="27699" hidden="1" x14ac:dyDescent="0.25"/>
    <row r="27700" hidden="1" x14ac:dyDescent="0.25"/>
    <row r="27701" hidden="1" x14ac:dyDescent="0.25"/>
    <row r="27702" hidden="1" x14ac:dyDescent="0.25"/>
    <row r="27703" hidden="1" x14ac:dyDescent="0.25"/>
    <row r="27704" hidden="1" x14ac:dyDescent="0.25"/>
    <row r="27705" hidden="1" x14ac:dyDescent="0.25"/>
    <row r="27706" hidden="1" x14ac:dyDescent="0.25"/>
    <row r="27707" hidden="1" x14ac:dyDescent="0.25"/>
    <row r="27708" hidden="1" x14ac:dyDescent="0.25"/>
    <row r="27709" hidden="1" x14ac:dyDescent="0.25"/>
    <row r="27710" hidden="1" x14ac:dyDescent="0.25"/>
    <row r="27711" hidden="1" x14ac:dyDescent="0.25"/>
    <row r="27712" hidden="1" x14ac:dyDescent="0.25"/>
    <row r="27713" hidden="1" x14ac:dyDescent="0.25"/>
    <row r="27714" hidden="1" x14ac:dyDescent="0.25"/>
    <row r="27715" hidden="1" x14ac:dyDescent="0.25"/>
    <row r="27716" hidden="1" x14ac:dyDescent="0.25"/>
    <row r="27717" hidden="1" x14ac:dyDescent="0.25"/>
    <row r="27718" hidden="1" x14ac:dyDescent="0.25"/>
    <row r="27719" hidden="1" x14ac:dyDescent="0.25"/>
    <row r="27720" hidden="1" x14ac:dyDescent="0.25"/>
    <row r="27721" hidden="1" x14ac:dyDescent="0.25"/>
    <row r="27722" hidden="1" x14ac:dyDescent="0.25"/>
    <row r="27723" hidden="1" x14ac:dyDescent="0.25"/>
    <row r="27724" hidden="1" x14ac:dyDescent="0.25"/>
    <row r="27725" hidden="1" x14ac:dyDescent="0.25"/>
    <row r="27726" hidden="1" x14ac:dyDescent="0.25"/>
    <row r="27727" hidden="1" x14ac:dyDescent="0.25"/>
    <row r="27728" hidden="1" x14ac:dyDescent="0.25"/>
    <row r="27729" hidden="1" x14ac:dyDescent="0.25"/>
    <row r="27730" hidden="1" x14ac:dyDescent="0.25"/>
    <row r="27731" hidden="1" x14ac:dyDescent="0.25"/>
    <row r="27732" hidden="1" x14ac:dyDescent="0.25"/>
    <row r="27733" hidden="1" x14ac:dyDescent="0.25"/>
    <row r="27734" hidden="1" x14ac:dyDescent="0.25"/>
    <row r="27735" hidden="1" x14ac:dyDescent="0.25"/>
    <row r="27736" hidden="1" x14ac:dyDescent="0.25"/>
    <row r="27737" hidden="1" x14ac:dyDescent="0.25"/>
    <row r="27738" hidden="1" x14ac:dyDescent="0.25"/>
    <row r="27739" hidden="1" x14ac:dyDescent="0.25"/>
    <row r="27740" hidden="1" x14ac:dyDescent="0.25"/>
    <row r="27741" hidden="1" x14ac:dyDescent="0.25"/>
    <row r="27742" hidden="1" x14ac:dyDescent="0.25"/>
    <row r="27743" hidden="1" x14ac:dyDescent="0.25"/>
    <row r="27744" hidden="1" x14ac:dyDescent="0.25"/>
    <row r="27745" hidden="1" x14ac:dyDescent="0.25"/>
    <row r="27746" hidden="1" x14ac:dyDescent="0.25"/>
    <row r="27747" hidden="1" x14ac:dyDescent="0.25"/>
    <row r="27748" hidden="1" x14ac:dyDescent="0.25"/>
    <row r="27749" hidden="1" x14ac:dyDescent="0.25"/>
    <row r="27750" hidden="1" x14ac:dyDescent="0.25"/>
    <row r="27751" hidden="1" x14ac:dyDescent="0.25"/>
    <row r="27752" hidden="1" x14ac:dyDescent="0.25"/>
    <row r="27753" hidden="1" x14ac:dyDescent="0.25"/>
    <row r="27754" hidden="1" x14ac:dyDescent="0.25"/>
    <row r="27755" hidden="1" x14ac:dyDescent="0.25"/>
    <row r="27756" hidden="1" x14ac:dyDescent="0.25"/>
    <row r="27757" hidden="1" x14ac:dyDescent="0.25"/>
    <row r="27758" hidden="1" x14ac:dyDescent="0.25"/>
    <row r="27759" hidden="1" x14ac:dyDescent="0.25"/>
    <row r="27760" hidden="1" x14ac:dyDescent="0.25"/>
    <row r="27761" hidden="1" x14ac:dyDescent="0.25"/>
    <row r="27762" hidden="1" x14ac:dyDescent="0.25"/>
    <row r="27763" hidden="1" x14ac:dyDescent="0.25"/>
    <row r="27764" hidden="1" x14ac:dyDescent="0.25"/>
    <row r="27765" hidden="1" x14ac:dyDescent="0.25"/>
    <row r="27766" hidden="1" x14ac:dyDescent="0.25"/>
    <row r="27767" hidden="1" x14ac:dyDescent="0.25"/>
    <row r="27768" hidden="1" x14ac:dyDescent="0.25"/>
    <row r="27769" hidden="1" x14ac:dyDescent="0.25"/>
    <row r="27770" hidden="1" x14ac:dyDescent="0.25"/>
    <row r="27771" hidden="1" x14ac:dyDescent="0.25"/>
    <row r="27772" hidden="1" x14ac:dyDescent="0.25"/>
    <row r="27773" hidden="1" x14ac:dyDescent="0.25"/>
    <row r="27774" hidden="1" x14ac:dyDescent="0.25"/>
    <row r="27775" hidden="1" x14ac:dyDescent="0.25"/>
    <row r="27776" hidden="1" x14ac:dyDescent="0.25"/>
    <row r="27777" hidden="1" x14ac:dyDescent="0.25"/>
    <row r="27778" hidden="1" x14ac:dyDescent="0.25"/>
    <row r="27779" hidden="1" x14ac:dyDescent="0.25"/>
    <row r="27780" hidden="1" x14ac:dyDescent="0.25"/>
    <row r="27781" hidden="1" x14ac:dyDescent="0.25"/>
    <row r="27782" hidden="1" x14ac:dyDescent="0.25"/>
    <row r="27783" hidden="1" x14ac:dyDescent="0.25"/>
    <row r="27784" hidden="1" x14ac:dyDescent="0.25"/>
    <row r="27785" hidden="1" x14ac:dyDescent="0.25"/>
    <row r="27786" hidden="1" x14ac:dyDescent="0.25"/>
    <row r="27787" hidden="1" x14ac:dyDescent="0.25"/>
    <row r="27788" hidden="1" x14ac:dyDescent="0.25"/>
    <row r="27789" hidden="1" x14ac:dyDescent="0.25"/>
    <row r="27790" hidden="1" x14ac:dyDescent="0.25"/>
    <row r="27791" hidden="1" x14ac:dyDescent="0.25"/>
    <row r="27792" hidden="1" x14ac:dyDescent="0.25"/>
    <row r="27793" hidden="1" x14ac:dyDescent="0.25"/>
    <row r="27794" hidden="1" x14ac:dyDescent="0.25"/>
    <row r="27795" hidden="1" x14ac:dyDescent="0.25"/>
    <row r="27796" hidden="1" x14ac:dyDescent="0.25"/>
    <row r="27797" hidden="1" x14ac:dyDescent="0.25"/>
    <row r="27798" hidden="1" x14ac:dyDescent="0.25"/>
    <row r="27799" hidden="1" x14ac:dyDescent="0.25"/>
    <row r="27800" hidden="1" x14ac:dyDescent="0.25"/>
    <row r="27801" hidden="1" x14ac:dyDescent="0.25"/>
    <row r="27802" hidden="1" x14ac:dyDescent="0.25"/>
    <row r="27803" hidden="1" x14ac:dyDescent="0.25"/>
    <row r="27804" hidden="1" x14ac:dyDescent="0.25"/>
    <row r="27805" hidden="1" x14ac:dyDescent="0.25"/>
    <row r="27806" hidden="1" x14ac:dyDescent="0.25"/>
    <row r="27807" hidden="1" x14ac:dyDescent="0.25"/>
    <row r="27808" hidden="1" x14ac:dyDescent="0.25"/>
    <row r="27809" hidden="1" x14ac:dyDescent="0.25"/>
    <row r="27810" hidden="1" x14ac:dyDescent="0.25"/>
    <row r="27811" hidden="1" x14ac:dyDescent="0.25"/>
    <row r="27812" hidden="1" x14ac:dyDescent="0.25"/>
    <row r="27813" hidden="1" x14ac:dyDescent="0.25"/>
    <row r="27814" hidden="1" x14ac:dyDescent="0.25"/>
    <row r="27815" hidden="1" x14ac:dyDescent="0.25"/>
    <row r="27816" hidden="1" x14ac:dyDescent="0.25"/>
    <row r="27817" hidden="1" x14ac:dyDescent="0.25"/>
    <row r="27818" hidden="1" x14ac:dyDescent="0.25"/>
    <row r="27819" hidden="1" x14ac:dyDescent="0.25"/>
    <row r="27820" hidden="1" x14ac:dyDescent="0.25"/>
    <row r="27821" hidden="1" x14ac:dyDescent="0.25"/>
    <row r="27822" hidden="1" x14ac:dyDescent="0.25"/>
    <row r="27823" hidden="1" x14ac:dyDescent="0.25"/>
    <row r="27824" hidden="1" x14ac:dyDescent="0.25"/>
    <row r="27825" hidden="1" x14ac:dyDescent="0.25"/>
    <row r="27826" hidden="1" x14ac:dyDescent="0.25"/>
    <row r="27827" hidden="1" x14ac:dyDescent="0.25"/>
    <row r="27828" hidden="1" x14ac:dyDescent="0.25"/>
    <row r="27829" hidden="1" x14ac:dyDescent="0.25"/>
    <row r="27830" hidden="1" x14ac:dyDescent="0.25"/>
    <row r="27831" hidden="1" x14ac:dyDescent="0.25"/>
    <row r="27832" hidden="1" x14ac:dyDescent="0.25"/>
    <row r="27833" hidden="1" x14ac:dyDescent="0.25"/>
    <row r="27834" hidden="1" x14ac:dyDescent="0.25"/>
    <row r="27835" hidden="1" x14ac:dyDescent="0.25"/>
    <row r="27836" hidden="1" x14ac:dyDescent="0.25"/>
    <row r="27837" hidden="1" x14ac:dyDescent="0.25"/>
    <row r="27838" hidden="1" x14ac:dyDescent="0.25"/>
    <row r="27839" hidden="1" x14ac:dyDescent="0.25"/>
    <row r="27840" hidden="1" x14ac:dyDescent="0.25"/>
    <row r="27841" hidden="1" x14ac:dyDescent="0.25"/>
    <row r="27842" hidden="1" x14ac:dyDescent="0.25"/>
    <row r="27843" hidden="1" x14ac:dyDescent="0.25"/>
    <row r="27844" hidden="1" x14ac:dyDescent="0.25"/>
    <row r="27845" hidden="1" x14ac:dyDescent="0.25"/>
    <row r="27846" hidden="1" x14ac:dyDescent="0.25"/>
    <row r="27847" hidden="1" x14ac:dyDescent="0.25"/>
    <row r="27848" hidden="1" x14ac:dyDescent="0.25"/>
    <row r="27849" hidden="1" x14ac:dyDescent="0.25"/>
    <row r="27850" hidden="1" x14ac:dyDescent="0.25"/>
    <row r="27851" hidden="1" x14ac:dyDescent="0.25"/>
    <row r="27852" hidden="1" x14ac:dyDescent="0.25"/>
    <row r="27853" hidden="1" x14ac:dyDescent="0.25"/>
    <row r="27854" hidden="1" x14ac:dyDescent="0.25"/>
    <row r="27855" hidden="1" x14ac:dyDescent="0.25"/>
    <row r="27856" hidden="1" x14ac:dyDescent="0.25"/>
    <row r="27857" hidden="1" x14ac:dyDescent="0.25"/>
    <row r="27858" hidden="1" x14ac:dyDescent="0.25"/>
    <row r="27859" hidden="1" x14ac:dyDescent="0.25"/>
    <row r="27860" hidden="1" x14ac:dyDescent="0.25"/>
    <row r="27861" hidden="1" x14ac:dyDescent="0.25"/>
    <row r="27862" hidden="1" x14ac:dyDescent="0.25"/>
    <row r="27863" hidden="1" x14ac:dyDescent="0.25"/>
    <row r="27864" hidden="1" x14ac:dyDescent="0.25"/>
    <row r="27865" hidden="1" x14ac:dyDescent="0.25"/>
    <row r="27866" hidden="1" x14ac:dyDescent="0.25"/>
    <row r="27867" hidden="1" x14ac:dyDescent="0.25"/>
    <row r="27868" hidden="1" x14ac:dyDescent="0.25"/>
    <row r="27869" hidden="1" x14ac:dyDescent="0.25"/>
    <row r="27870" hidden="1" x14ac:dyDescent="0.25"/>
    <row r="27871" hidden="1" x14ac:dyDescent="0.25"/>
    <row r="27872" hidden="1" x14ac:dyDescent="0.25"/>
    <row r="27873" hidden="1" x14ac:dyDescent="0.25"/>
    <row r="27874" hidden="1" x14ac:dyDescent="0.25"/>
    <row r="27875" hidden="1" x14ac:dyDescent="0.25"/>
    <row r="27876" hidden="1" x14ac:dyDescent="0.25"/>
    <row r="27877" hidden="1" x14ac:dyDescent="0.25"/>
    <row r="27878" hidden="1" x14ac:dyDescent="0.25"/>
    <row r="27879" hidden="1" x14ac:dyDescent="0.25"/>
    <row r="27880" hidden="1" x14ac:dyDescent="0.25"/>
    <row r="27881" hidden="1" x14ac:dyDescent="0.25"/>
    <row r="27882" hidden="1" x14ac:dyDescent="0.25"/>
    <row r="27883" hidden="1" x14ac:dyDescent="0.25"/>
    <row r="27884" hidden="1" x14ac:dyDescent="0.25"/>
    <row r="27885" hidden="1" x14ac:dyDescent="0.25"/>
    <row r="27886" hidden="1" x14ac:dyDescent="0.25"/>
    <row r="27887" hidden="1" x14ac:dyDescent="0.25"/>
    <row r="27888" hidden="1" x14ac:dyDescent="0.25"/>
    <row r="27889" hidden="1" x14ac:dyDescent="0.25"/>
    <row r="27890" hidden="1" x14ac:dyDescent="0.25"/>
    <row r="27891" hidden="1" x14ac:dyDescent="0.25"/>
    <row r="27892" hidden="1" x14ac:dyDescent="0.25"/>
    <row r="27893" hidden="1" x14ac:dyDescent="0.25"/>
    <row r="27894" hidden="1" x14ac:dyDescent="0.25"/>
    <row r="27895" hidden="1" x14ac:dyDescent="0.25"/>
    <row r="27896" hidden="1" x14ac:dyDescent="0.25"/>
    <row r="27897" hidden="1" x14ac:dyDescent="0.25"/>
    <row r="27898" hidden="1" x14ac:dyDescent="0.25"/>
    <row r="27899" hidden="1" x14ac:dyDescent="0.25"/>
    <row r="27900" hidden="1" x14ac:dyDescent="0.25"/>
    <row r="27901" hidden="1" x14ac:dyDescent="0.25"/>
    <row r="27902" hidden="1" x14ac:dyDescent="0.25"/>
    <row r="27903" hidden="1" x14ac:dyDescent="0.25"/>
    <row r="27904" hidden="1" x14ac:dyDescent="0.25"/>
    <row r="27905" hidden="1" x14ac:dyDescent="0.25"/>
    <row r="27906" hidden="1" x14ac:dyDescent="0.25"/>
    <row r="27907" hidden="1" x14ac:dyDescent="0.25"/>
    <row r="27908" hidden="1" x14ac:dyDescent="0.25"/>
    <row r="27909" hidden="1" x14ac:dyDescent="0.25"/>
    <row r="27910" hidden="1" x14ac:dyDescent="0.25"/>
    <row r="27911" hidden="1" x14ac:dyDescent="0.25"/>
    <row r="27912" hidden="1" x14ac:dyDescent="0.25"/>
    <row r="27913" hidden="1" x14ac:dyDescent="0.25"/>
    <row r="27914" hidden="1" x14ac:dyDescent="0.25"/>
    <row r="27915" hidden="1" x14ac:dyDescent="0.25"/>
    <row r="27916" hidden="1" x14ac:dyDescent="0.25"/>
    <row r="27917" hidden="1" x14ac:dyDescent="0.25"/>
    <row r="27918" hidden="1" x14ac:dyDescent="0.25"/>
    <row r="27919" hidden="1" x14ac:dyDescent="0.25"/>
    <row r="27920" hidden="1" x14ac:dyDescent="0.25"/>
    <row r="27921" hidden="1" x14ac:dyDescent="0.25"/>
    <row r="27922" hidden="1" x14ac:dyDescent="0.25"/>
    <row r="27923" hidden="1" x14ac:dyDescent="0.25"/>
    <row r="27924" hidden="1" x14ac:dyDescent="0.25"/>
    <row r="27925" hidden="1" x14ac:dyDescent="0.25"/>
    <row r="27926" hidden="1" x14ac:dyDescent="0.25"/>
    <row r="27927" hidden="1" x14ac:dyDescent="0.25"/>
    <row r="27928" hidden="1" x14ac:dyDescent="0.25"/>
    <row r="27929" hidden="1" x14ac:dyDescent="0.25"/>
    <row r="27930" hidden="1" x14ac:dyDescent="0.25"/>
    <row r="27931" hidden="1" x14ac:dyDescent="0.25"/>
    <row r="27932" hidden="1" x14ac:dyDescent="0.25"/>
    <row r="27933" hidden="1" x14ac:dyDescent="0.25"/>
    <row r="27934" hidden="1" x14ac:dyDescent="0.25"/>
    <row r="27935" hidden="1" x14ac:dyDescent="0.25"/>
    <row r="27936" hidden="1" x14ac:dyDescent="0.25"/>
    <row r="27937" hidden="1" x14ac:dyDescent="0.25"/>
    <row r="27938" hidden="1" x14ac:dyDescent="0.25"/>
    <row r="27939" hidden="1" x14ac:dyDescent="0.25"/>
    <row r="27940" hidden="1" x14ac:dyDescent="0.25"/>
    <row r="27941" hidden="1" x14ac:dyDescent="0.25"/>
    <row r="27942" hidden="1" x14ac:dyDescent="0.25"/>
    <row r="27943" hidden="1" x14ac:dyDescent="0.25"/>
    <row r="27944" hidden="1" x14ac:dyDescent="0.25"/>
    <row r="27945" hidden="1" x14ac:dyDescent="0.25"/>
    <row r="27946" hidden="1" x14ac:dyDescent="0.25"/>
    <row r="27947" hidden="1" x14ac:dyDescent="0.25"/>
    <row r="27948" hidden="1" x14ac:dyDescent="0.25"/>
    <row r="27949" hidden="1" x14ac:dyDescent="0.25"/>
    <row r="27950" hidden="1" x14ac:dyDescent="0.25"/>
    <row r="27951" hidden="1" x14ac:dyDescent="0.25"/>
    <row r="27952" hidden="1" x14ac:dyDescent="0.25"/>
    <row r="27953" hidden="1" x14ac:dyDescent="0.25"/>
    <row r="27954" hidden="1" x14ac:dyDescent="0.25"/>
    <row r="27955" hidden="1" x14ac:dyDescent="0.25"/>
    <row r="27956" hidden="1" x14ac:dyDescent="0.25"/>
    <row r="27957" hidden="1" x14ac:dyDescent="0.25"/>
    <row r="27958" hidden="1" x14ac:dyDescent="0.25"/>
    <row r="27959" hidden="1" x14ac:dyDescent="0.25"/>
    <row r="27960" hidden="1" x14ac:dyDescent="0.25"/>
    <row r="27961" hidden="1" x14ac:dyDescent="0.25"/>
    <row r="27962" hidden="1" x14ac:dyDescent="0.25"/>
    <row r="27963" hidden="1" x14ac:dyDescent="0.25"/>
    <row r="27964" hidden="1" x14ac:dyDescent="0.25"/>
    <row r="27965" hidden="1" x14ac:dyDescent="0.25"/>
    <row r="27966" hidden="1" x14ac:dyDescent="0.25"/>
    <row r="27967" hidden="1" x14ac:dyDescent="0.25"/>
    <row r="27968" hidden="1" x14ac:dyDescent="0.25"/>
    <row r="27969" hidden="1" x14ac:dyDescent="0.25"/>
    <row r="27970" hidden="1" x14ac:dyDescent="0.25"/>
    <row r="27971" hidden="1" x14ac:dyDescent="0.25"/>
    <row r="27972" hidden="1" x14ac:dyDescent="0.25"/>
    <row r="27973" hidden="1" x14ac:dyDescent="0.25"/>
    <row r="27974" hidden="1" x14ac:dyDescent="0.25"/>
    <row r="27975" hidden="1" x14ac:dyDescent="0.25"/>
    <row r="27976" hidden="1" x14ac:dyDescent="0.25"/>
    <row r="27977" hidden="1" x14ac:dyDescent="0.25"/>
    <row r="27978" hidden="1" x14ac:dyDescent="0.25"/>
    <row r="27979" hidden="1" x14ac:dyDescent="0.25"/>
    <row r="27980" hidden="1" x14ac:dyDescent="0.25"/>
    <row r="27981" hidden="1" x14ac:dyDescent="0.25"/>
    <row r="27982" hidden="1" x14ac:dyDescent="0.25"/>
    <row r="27983" hidden="1" x14ac:dyDescent="0.25"/>
    <row r="27984" hidden="1" x14ac:dyDescent="0.25"/>
    <row r="27985" hidden="1" x14ac:dyDescent="0.25"/>
    <row r="27986" hidden="1" x14ac:dyDescent="0.25"/>
    <row r="27987" hidden="1" x14ac:dyDescent="0.25"/>
    <row r="27988" hidden="1" x14ac:dyDescent="0.25"/>
    <row r="27989" hidden="1" x14ac:dyDescent="0.25"/>
    <row r="27990" hidden="1" x14ac:dyDescent="0.25"/>
    <row r="27991" hidden="1" x14ac:dyDescent="0.25"/>
    <row r="27992" hidden="1" x14ac:dyDescent="0.25"/>
    <row r="27993" hidden="1" x14ac:dyDescent="0.25"/>
    <row r="27994" hidden="1" x14ac:dyDescent="0.25"/>
    <row r="27995" hidden="1" x14ac:dyDescent="0.25"/>
    <row r="27996" hidden="1" x14ac:dyDescent="0.25"/>
    <row r="27997" hidden="1" x14ac:dyDescent="0.25"/>
    <row r="27998" hidden="1" x14ac:dyDescent="0.25"/>
    <row r="27999" hidden="1" x14ac:dyDescent="0.25"/>
    <row r="28000" hidden="1" x14ac:dyDescent="0.25"/>
    <row r="28001" hidden="1" x14ac:dyDescent="0.25"/>
    <row r="28002" hidden="1" x14ac:dyDescent="0.25"/>
    <row r="28003" hidden="1" x14ac:dyDescent="0.25"/>
    <row r="28004" hidden="1" x14ac:dyDescent="0.25"/>
    <row r="28005" hidden="1" x14ac:dyDescent="0.25"/>
    <row r="28006" hidden="1" x14ac:dyDescent="0.25"/>
    <row r="28007" hidden="1" x14ac:dyDescent="0.25"/>
    <row r="28008" hidden="1" x14ac:dyDescent="0.25"/>
    <row r="28009" hidden="1" x14ac:dyDescent="0.25"/>
    <row r="28010" hidden="1" x14ac:dyDescent="0.25"/>
    <row r="28011" hidden="1" x14ac:dyDescent="0.25"/>
    <row r="28012" hidden="1" x14ac:dyDescent="0.25"/>
    <row r="28013" hidden="1" x14ac:dyDescent="0.25"/>
    <row r="28014" hidden="1" x14ac:dyDescent="0.25"/>
    <row r="28015" hidden="1" x14ac:dyDescent="0.25"/>
    <row r="28016" hidden="1" x14ac:dyDescent="0.25"/>
    <row r="28017" hidden="1" x14ac:dyDescent="0.25"/>
    <row r="28018" hidden="1" x14ac:dyDescent="0.25"/>
    <row r="28019" hidden="1" x14ac:dyDescent="0.25"/>
    <row r="28020" hidden="1" x14ac:dyDescent="0.25"/>
    <row r="28021" hidden="1" x14ac:dyDescent="0.25"/>
    <row r="28022" hidden="1" x14ac:dyDescent="0.25"/>
    <row r="28023" hidden="1" x14ac:dyDescent="0.25"/>
    <row r="28024" hidden="1" x14ac:dyDescent="0.25"/>
    <row r="28025" hidden="1" x14ac:dyDescent="0.25"/>
    <row r="28026" hidden="1" x14ac:dyDescent="0.25"/>
    <row r="28027" hidden="1" x14ac:dyDescent="0.25"/>
    <row r="28028" hidden="1" x14ac:dyDescent="0.25"/>
    <row r="28029" hidden="1" x14ac:dyDescent="0.25"/>
    <row r="28030" hidden="1" x14ac:dyDescent="0.25"/>
    <row r="28031" hidden="1" x14ac:dyDescent="0.25"/>
    <row r="28032" hidden="1" x14ac:dyDescent="0.25"/>
    <row r="28033" hidden="1" x14ac:dyDescent="0.25"/>
    <row r="28034" hidden="1" x14ac:dyDescent="0.25"/>
    <row r="28035" hidden="1" x14ac:dyDescent="0.25"/>
    <row r="28036" hidden="1" x14ac:dyDescent="0.25"/>
    <row r="28037" hidden="1" x14ac:dyDescent="0.25"/>
    <row r="28038" hidden="1" x14ac:dyDescent="0.25"/>
    <row r="28039" hidden="1" x14ac:dyDescent="0.25"/>
    <row r="28040" hidden="1" x14ac:dyDescent="0.25"/>
    <row r="28041" hidden="1" x14ac:dyDescent="0.25"/>
    <row r="28042" hidden="1" x14ac:dyDescent="0.25"/>
    <row r="28043" hidden="1" x14ac:dyDescent="0.25"/>
    <row r="28044" hidden="1" x14ac:dyDescent="0.25"/>
    <row r="28045" hidden="1" x14ac:dyDescent="0.25"/>
    <row r="28046" hidden="1" x14ac:dyDescent="0.25"/>
    <row r="28047" hidden="1" x14ac:dyDescent="0.25"/>
    <row r="28048" hidden="1" x14ac:dyDescent="0.25"/>
    <row r="28049" hidden="1" x14ac:dyDescent="0.25"/>
    <row r="28050" hidden="1" x14ac:dyDescent="0.25"/>
    <row r="28051" hidden="1" x14ac:dyDescent="0.25"/>
    <row r="28052" hidden="1" x14ac:dyDescent="0.25"/>
    <row r="28053" hidden="1" x14ac:dyDescent="0.25"/>
    <row r="28054" hidden="1" x14ac:dyDescent="0.25"/>
    <row r="28055" hidden="1" x14ac:dyDescent="0.25"/>
    <row r="28056" hidden="1" x14ac:dyDescent="0.25"/>
    <row r="28057" hidden="1" x14ac:dyDescent="0.25"/>
    <row r="28058" hidden="1" x14ac:dyDescent="0.25"/>
    <row r="28059" hidden="1" x14ac:dyDescent="0.25"/>
    <row r="28060" hidden="1" x14ac:dyDescent="0.25"/>
    <row r="28061" hidden="1" x14ac:dyDescent="0.25"/>
    <row r="28062" hidden="1" x14ac:dyDescent="0.25"/>
    <row r="28063" hidden="1" x14ac:dyDescent="0.25"/>
    <row r="28064" hidden="1" x14ac:dyDescent="0.25"/>
    <row r="28065" hidden="1" x14ac:dyDescent="0.25"/>
    <row r="28066" hidden="1" x14ac:dyDescent="0.25"/>
    <row r="28067" hidden="1" x14ac:dyDescent="0.25"/>
    <row r="28068" hidden="1" x14ac:dyDescent="0.25"/>
    <row r="28069" hidden="1" x14ac:dyDescent="0.25"/>
    <row r="28070" hidden="1" x14ac:dyDescent="0.25"/>
    <row r="28071" hidden="1" x14ac:dyDescent="0.25"/>
    <row r="28072" hidden="1" x14ac:dyDescent="0.25"/>
    <row r="28073" hidden="1" x14ac:dyDescent="0.25"/>
    <row r="28074" hidden="1" x14ac:dyDescent="0.25"/>
    <row r="28075" hidden="1" x14ac:dyDescent="0.25"/>
    <row r="28076" hidden="1" x14ac:dyDescent="0.25"/>
    <row r="28077" hidden="1" x14ac:dyDescent="0.25"/>
    <row r="28078" hidden="1" x14ac:dyDescent="0.25"/>
    <row r="28079" hidden="1" x14ac:dyDescent="0.25"/>
    <row r="28080" hidden="1" x14ac:dyDescent="0.25"/>
    <row r="28081" hidden="1" x14ac:dyDescent="0.25"/>
    <row r="28082" hidden="1" x14ac:dyDescent="0.25"/>
    <row r="28083" hidden="1" x14ac:dyDescent="0.25"/>
    <row r="28084" hidden="1" x14ac:dyDescent="0.25"/>
    <row r="28085" hidden="1" x14ac:dyDescent="0.25"/>
    <row r="28086" hidden="1" x14ac:dyDescent="0.25"/>
    <row r="28087" hidden="1" x14ac:dyDescent="0.25"/>
    <row r="28088" hidden="1" x14ac:dyDescent="0.25"/>
    <row r="28089" hidden="1" x14ac:dyDescent="0.25"/>
    <row r="28090" hidden="1" x14ac:dyDescent="0.25"/>
    <row r="28091" hidden="1" x14ac:dyDescent="0.25"/>
    <row r="28092" hidden="1" x14ac:dyDescent="0.25"/>
    <row r="28093" hidden="1" x14ac:dyDescent="0.25"/>
    <row r="28094" hidden="1" x14ac:dyDescent="0.25"/>
    <row r="28095" hidden="1" x14ac:dyDescent="0.25"/>
    <row r="28096" hidden="1" x14ac:dyDescent="0.25"/>
    <row r="28097" hidden="1" x14ac:dyDescent="0.25"/>
    <row r="28098" hidden="1" x14ac:dyDescent="0.25"/>
    <row r="28099" hidden="1" x14ac:dyDescent="0.25"/>
    <row r="28100" hidden="1" x14ac:dyDescent="0.25"/>
    <row r="28101" hidden="1" x14ac:dyDescent="0.25"/>
    <row r="28102" hidden="1" x14ac:dyDescent="0.25"/>
    <row r="28103" hidden="1" x14ac:dyDescent="0.25"/>
    <row r="28104" hidden="1" x14ac:dyDescent="0.25"/>
    <row r="28105" hidden="1" x14ac:dyDescent="0.25"/>
    <row r="28106" hidden="1" x14ac:dyDescent="0.25"/>
    <row r="28107" hidden="1" x14ac:dyDescent="0.25"/>
    <row r="28108" hidden="1" x14ac:dyDescent="0.25"/>
    <row r="28109" hidden="1" x14ac:dyDescent="0.25"/>
    <row r="28110" hidden="1" x14ac:dyDescent="0.25"/>
    <row r="28111" hidden="1" x14ac:dyDescent="0.25"/>
    <row r="28112" hidden="1" x14ac:dyDescent="0.25"/>
    <row r="28113" hidden="1" x14ac:dyDescent="0.25"/>
    <row r="28114" hidden="1" x14ac:dyDescent="0.25"/>
    <row r="28115" hidden="1" x14ac:dyDescent="0.25"/>
    <row r="28116" hidden="1" x14ac:dyDescent="0.25"/>
    <row r="28117" hidden="1" x14ac:dyDescent="0.25"/>
    <row r="28118" hidden="1" x14ac:dyDescent="0.25"/>
    <row r="28119" hidden="1" x14ac:dyDescent="0.25"/>
    <row r="28120" hidden="1" x14ac:dyDescent="0.25"/>
    <row r="28121" hidden="1" x14ac:dyDescent="0.25"/>
    <row r="28122" hidden="1" x14ac:dyDescent="0.25"/>
    <row r="28123" hidden="1" x14ac:dyDescent="0.25"/>
    <row r="28124" hidden="1" x14ac:dyDescent="0.25"/>
    <row r="28125" hidden="1" x14ac:dyDescent="0.25"/>
    <row r="28126" hidden="1" x14ac:dyDescent="0.25"/>
    <row r="28127" hidden="1" x14ac:dyDescent="0.25"/>
    <row r="28128" hidden="1" x14ac:dyDescent="0.25"/>
    <row r="28129" hidden="1" x14ac:dyDescent="0.25"/>
    <row r="28130" hidden="1" x14ac:dyDescent="0.25"/>
    <row r="28131" hidden="1" x14ac:dyDescent="0.25"/>
    <row r="28132" hidden="1" x14ac:dyDescent="0.25"/>
    <row r="28133" hidden="1" x14ac:dyDescent="0.25"/>
    <row r="28134" hidden="1" x14ac:dyDescent="0.25"/>
    <row r="28135" hidden="1" x14ac:dyDescent="0.25"/>
    <row r="28136" hidden="1" x14ac:dyDescent="0.25"/>
    <row r="28137" hidden="1" x14ac:dyDescent="0.25"/>
    <row r="28138" hidden="1" x14ac:dyDescent="0.25"/>
    <row r="28139" hidden="1" x14ac:dyDescent="0.25"/>
    <row r="28140" hidden="1" x14ac:dyDescent="0.25"/>
    <row r="28141" hidden="1" x14ac:dyDescent="0.25"/>
    <row r="28142" hidden="1" x14ac:dyDescent="0.25"/>
    <row r="28143" hidden="1" x14ac:dyDescent="0.25"/>
    <row r="28144" hidden="1" x14ac:dyDescent="0.25"/>
    <row r="28145" hidden="1" x14ac:dyDescent="0.25"/>
    <row r="28146" hidden="1" x14ac:dyDescent="0.25"/>
    <row r="28147" hidden="1" x14ac:dyDescent="0.25"/>
    <row r="28148" hidden="1" x14ac:dyDescent="0.25"/>
    <row r="28149" hidden="1" x14ac:dyDescent="0.25"/>
    <row r="28150" hidden="1" x14ac:dyDescent="0.25"/>
    <row r="28151" hidden="1" x14ac:dyDescent="0.25"/>
    <row r="28152" hidden="1" x14ac:dyDescent="0.25"/>
    <row r="28153" hidden="1" x14ac:dyDescent="0.25"/>
    <row r="28154" hidden="1" x14ac:dyDescent="0.25"/>
    <row r="28155" hidden="1" x14ac:dyDescent="0.25"/>
    <row r="28156" hidden="1" x14ac:dyDescent="0.25"/>
    <row r="28157" hidden="1" x14ac:dyDescent="0.25"/>
    <row r="28158" hidden="1" x14ac:dyDescent="0.25"/>
    <row r="28159" hidden="1" x14ac:dyDescent="0.25"/>
    <row r="28160" hidden="1" x14ac:dyDescent="0.25"/>
    <row r="28161" hidden="1" x14ac:dyDescent="0.25"/>
    <row r="28162" hidden="1" x14ac:dyDescent="0.25"/>
    <row r="28163" hidden="1" x14ac:dyDescent="0.25"/>
    <row r="28164" hidden="1" x14ac:dyDescent="0.25"/>
    <row r="28165" hidden="1" x14ac:dyDescent="0.25"/>
    <row r="28166" hidden="1" x14ac:dyDescent="0.25"/>
    <row r="28167" hidden="1" x14ac:dyDescent="0.25"/>
    <row r="28168" hidden="1" x14ac:dyDescent="0.25"/>
    <row r="28169" hidden="1" x14ac:dyDescent="0.25"/>
    <row r="28170" hidden="1" x14ac:dyDescent="0.25"/>
    <row r="28171" hidden="1" x14ac:dyDescent="0.25"/>
    <row r="28172" hidden="1" x14ac:dyDescent="0.25"/>
    <row r="28173" hidden="1" x14ac:dyDescent="0.25"/>
    <row r="28174" hidden="1" x14ac:dyDescent="0.25"/>
    <row r="28175" hidden="1" x14ac:dyDescent="0.25"/>
    <row r="28176" hidden="1" x14ac:dyDescent="0.25"/>
    <row r="28177" hidden="1" x14ac:dyDescent="0.25"/>
    <row r="28178" hidden="1" x14ac:dyDescent="0.25"/>
    <row r="28179" hidden="1" x14ac:dyDescent="0.25"/>
    <row r="28180" hidden="1" x14ac:dyDescent="0.25"/>
    <row r="28181" hidden="1" x14ac:dyDescent="0.25"/>
    <row r="28182" hidden="1" x14ac:dyDescent="0.25"/>
    <row r="28183" hidden="1" x14ac:dyDescent="0.25"/>
    <row r="28184" hidden="1" x14ac:dyDescent="0.25"/>
    <row r="28185" hidden="1" x14ac:dyDescent="0.25"/>
    <row r="28186" hidden="1" x14ac:dyDescent="0.25"/>
    <row r="28187" hidden="1" x14ac:dyDescent="0.25"/>
    <row r="28188" hidden="1" x14ac:dyDescent="0.25"/>
    <row r="28189" hidden="1" x14ac:dyDescent="0.25"/>
    <row r="28190" hidden="1" x14ac:dyDescent="0.25"/>
    <row r="28191" hidden="1" x14ac:dyDescent="0.25"/>
    <row r="28192" hidden="1" x14ac:dyDescent="0.25"/>
    <row r="28193" hidden="1" x14ac:dyDescent="0.25"/>
    <row r="28194" hidden="1" x14ac:dyDescent="0.25"/>
    <row r="28195" hidden="1" x14ac:dyDescent="0.25"/>
    <row r="28196" hidden="1" x14ac:dyDescent="0.25"/>
    <row r="28197" hidden="1" x14ac:dyDescent="0.25"/>
    <row r="28198" hidden="1" x14ac:dyDescent="0.25"/>
    <row r="28199" hidden="1" x14ac:dyDescent="0.25"/>
    <row r="28200" hidden="1" x14ac:dyDescent="0.25"/>
    <row r="28201" hidden="1" x14ac:dyDescent="0.25"/>
    <row r="28202" hidden="1" x14ac:dyDescent="0.25"/>
    <row r="28203" hidden="1" x14ac:dyDescent="0.25"/>
    <row r="28204" hidden="1" x14ac:dyDescent="0.25"/>
    <row r="28205" hidden="1" x14ac:dyDescent="0.25"/>
    <row r="28206" hidden="1" x14ac:dyDescent="0.25"/>
    <row r="28207" hidden="1" x14ac:dyDescent="0.25"/>
    <row r="28208" hidden="1" x14ac:dyDescent="0.25"/>
    <row r="28209" hidden="1" x14ac:dyDescent="0.25"/>
    <row r="28210" hidden="1" x14ac:dyDescent="0.25"/>
    <row r="28211" hidden="1" x14ac:dyDescent="0.25"/>
    <row r="28212" hidden="1" x14ac:dyDescent="0.25"/>
    <row r="28213" hidden="1" x14ac:dyDescent="0.25"/>
    <row r="28214" hidden="1" x14ac:dyDescent="0.25"/>
    <row r="28215" hidden="1" x14ac:dyDescent="0.25"/>
    <row r="28216" hidden="1" x14ac:dyDescent="0.25"/>
    <row r="28217" hidden="1" x14ac:dyDescent="0.25"/>
    <row r="28218" hidden="1" x14ac:dyDescent="0.25"/>
    <row r="28219" hidden="1" x14ac:dyDescent="0.25"/>
    <row r="28220" hidden="1" x14ac:dyDescent="0.25"/>
    <row r="28221" hidden="1" x14ac:dyDescent="0.25"/>
    <row r="28222" hidden="1" x14ac:dyDescent="0.25"/>
    <row r="28223" hidden="1" x14ac:dyDescent="0.25"/>
    <row r="28224" hidden="1" x14ac:dyDescent="0.25"/>
    <row r="28225" hidden="1" x14ac:dyDescent="0.25"/>
    <row r="28226" hidden="1" x14ac:dyDescent="0.25"/>
    <row r="28227" hidden="1" x14ac:dyDescent="0.25"/>
    <row r="28228" hidden="1" x14ac:dyDescent="0.25"/>
    <row r="28229" hidden="1" x14ac:dyDescent="0.25"/>
    <row r="28230" hidden="1" x14ac:dyDescent="0.25"/>
    <row r="28231" hidden="1" x14ac:dyDescent="0.25"/>
    <row r="28232" hidden="1" x14ac:dyDescent="0.25"/>
    <row r="28233" hidden="1" x14ac:dyDescent="0.25"/>
    <row r="28234" hidden="1" x14ac:dyDescent="0.25"/>
    <row r="28235" hidden="1" x14ac:dyDescent="0.25"/>
    <row r="28236" hidden="1" x14ac:dyDescent="0.25"/>
    <row r="28237" hidden="1" x14ac:dyDescent="0.25"/>
    <row r="28238" hidden="1" x14ac:dyDescent="0.25"/>
    <row r="28239" hidden="1" x14ac:dyDescent="0.25"/>
    <row r="28240" hidden="1" x14ac:dyDescent="0.25"/>
    <row r="28241" hidden="1" x14ac:dyDescent="0.25"/>
    <row r="28242" hidden="1" x14ac:dyDescent="0.25"/>
    <row r="28243" hidden="1" x14ac:dyDescent="0.25"/>
    <row r="28244" hidden="1" x14ac:dyDescent="0.25"/>
    <row r="28245" hidden="1" x14ac:dyDescent="0.25"/>
    <row r="28246" hidden="1" x14ac:dyDescent="0.25"/>
    <row r="28247" hidden="1" x14ac:dyDescent="0.25"/>
    <row r="28248" hidden="1" x14ac:dyDescent="0.25"/>
    <row r="28249" hidden="1" x14ac:dyDescent="0.25"/>
    <row r="28250" hidden="1" x14ac:dyDescent="0.25"/>
    <row r="28251" hidden="1" x14ac:dyDescent="0.25"/>
    <row r="28252" hidden="1" x14ac:dyDescent="0.25"/>
    <row r="28253" hidden="1" x14ac:dyDescent="0.25"/>
    <row r="28254" hidden="1" x14ac:dyDescent="0.25"/>
    <row r="28255" hidden="1" x14ac:dyDescent="0.25"/>
    <row r="28256" hidden="1" x14ac:dyDescent="0.25"/>
    <row r="28257" hidden="1" x14ac:dyDescent="0.25"/>
    <row r="28258" hidden="1" x14ac:dyDescent="0.25"/>
    <row r="28259" hidden="1" x14ac:dyDescent="0.25"/>
    <row r="28260" hidden="1" x14ac:dyDescent="0.25"/>
    <row r="28261" hidden="1" x14ac:dyDescent="0.25"/>
    <row r="28262" hidden="1" x14ac:dyDescent="0.25"/>
    <row r="28263" hidden="1" x14ac:dyDescent="0.25"/>
    <row r="28264" hidden="1" x14ac:dyDescent="0.25"/>
    <row r="28265" hidden="1" x14ac:dyDescent="0.25"/>
    <row r="28266" hidden="1" x14ac:dyDescent="0.25"/>
    <row r="28267" hidden="1" x14ac:dyDescent="0.25"/>
    <row r="28268" hidden="1" x14ac:dyDescent="0.25"/>
    <row r="28269" hidden="1" x14ac:dyDescent="0.25"/>
    <row r="28270" hidden="1" x14ac:dyDescent="0.25"/>
    <row r="28271" hidden="1" x14ac:dyDescent="0.25"/>
    <row r="28272" hidden="1" x14ac:dyDescent="0.25"/>
    <row r="28273" hidden="1" x14ac:dyDescent="0.25"/>
    <row r="28274" hidden="1" x14ac:dyDescent="0.25"/>
    <row r="28275" hidden="1" x14ac:dyDescent="0.25"/>
    <row r="28276" hidden="1" x14ac:dyDescent="0.25"/>
    <row r="28277" hidden="1" x14ac:dyDescent="0.25"/>
    <row r="28278" hidden="1" x14ac:dyDescent="0.25"/>
    <row r="28279" hidden="1" x14ac:dyDescent="0.25"/>
    <row r="28280" hidden="1" x14ac:dyDescent="0.25"/>
    <row r="28281" hidden="1" x14ac:dyDescent="0.25"/>
    <row r="28282" hidden="1" x14ac:dyDescent="0.25"/>
    <row r="28283" hidden="1" x14ac:dyDescent="0.25"/>
    <row r="28284" hidden="1" x14ac:dyDescent="0.25"/>
    <row r="28285" hidden="1" x14ac:dyDescent="0.25"/>
    <row r="28286" hidden="1" x14ac:dyDescent="0.25"/>
    <row r="28287" hidden="1" x14ac:dyDescent="0.25"/>
    <row r="28288" hidden="1" x14ac:dyDescent="0.25"/>
    <row r="28289" hidden="1" x14ac:dyDescent="0.25"/>
    <row r="28290" hidden="1" x14ac:dyDescent="0.25"/>
    <row r="28291" hidden="1" x14ac:dyDescent="0.25"/>
    <row r="28292" hidden="1" x14ac:dyDescent="0.25"/>
    <row r="28293" hidden="1" x14ac:dyDescent="0.25"/>
    <row r="28294" hidden="1" x14ac:dyDescent="0.25"/>
    <row r="28295" hidden="1" x14ac:dyDescent="0.25"/>
    <row r="28296" hidden="1" x14ac:dyDescent="0.25"/>
    <row r="28297" hidden="1" x14ac:dyDescent="0.25"/>
    <row r="28298" hidden="1" x14ac:dyDescent="0.25"/>
    <row r="28299" hidden="1" x14ac:dyDescent="0.25"/>
    <row r="28300" hidden="1" x14ac:dyDescent="0.25"/>
    <row r="28301" hidden="1" x14ac:dyDescent="0.25"/>
    <row r="28302" hidden="1" x14ac:dyDescent="0.25"/>
    <row r="28303" hidden="1" x14ac:dyDescent="0.25"/>
    <row r="28304" hidden="1" x14ac:dyDescent="0.25"/>
    <row r="28305" hidden="1" x14ac:dyDescent="0.25"/>
    <row r="28306" hidden="1" x14ac:dyDescent="0.25"/>
    <row r="28307" hidden="1" x14ac:dyDescent="0.25"/>
    <row r="28308" hidden="1" x14ac:dyDescent="0.25"/>
    <row r="28309" hidden="1" x14ac:dyDescent="0.25"/>
    <row r="28310" hidden="1" x14ac:dyDescent="0.25"/>
    <row r="28311" hidden="1" x14ac:dyDescent="0.25"/>
    <row r="28312" hidden="1" x14ac:dyDescent="0.25"/>
    <row r="28313" hidden="1" x14ac:dyDescent="0.25"/>
    <row r="28314" hidden="1" x14ac:dyDescent="0.25"/>
    <row r="28315" hidden="1" x14ac:dyDescent="0.25"/>
    <row r="28316" hidden="1" x14ac:dyDescent="0.25"/>
    <row r="28317" hidden="1" x14ac:dyDescent="0.25"/>
    <row r="28318" hidden="1" x14ac:dyDescent="0.25"/>
    <row r="28319" hidden="1" x14ac:dyDescent="0.25"/>
    <row r="28320" hidden="1" x14ac:dyDescent="0.25"/>
    <row r="28321" hidden="1" x14ac:dyDescent="0.25"/>
    <row r="28322" hidden="1" x14ac:dyDescent="0.25"/>
    <row r="28323" hidden="1" x14ac:dyDescent="0.25"/>
    <row r="28324" hidden="1" x14ac:dyDescent="0.25"/>
    <row r="28325" hidden="1" x14ac:dyDescent="0.25"/>
    <row r="28326" hidden="1" x14ac:dyDescent="0.25"/>
    <row r="28327" hidden="1" x14ac:dyDescent="0.25"/>
    <row r="28328" hidden="1" x14ac:dyDescent="0.25"/>
    <row r="28329" hidden="1" x14ac:dyDescent="0.25"/>
    <row r="28330" hidden="1" x14ac:dyDescent="0.25"/>
    <row r="28331" hidden="1" x14ac:dyDescent="0.25"/>
    <row r="28332" hidden="1" x14ac:dyDescent="0.25"/>
    <row r="28333" hidden="1" x14ac:dyDescent="0.25"/>
    <row r="28334" hidden="1" x14ac:dyDescent="0.25"/>
    <row r="28335" hidden="1" x14ac:dyDescent="0.25"/>
    <row r="28336" hidden="1" x14ac:dyDescent="0.25"/>
    <row r="28337" hidden="1" x14ac:dyDescent="0.25"/>
    <row r="28338" hidden="1" x14ac:dyDescent="0.25"/>
    <row r="28339" hidden="1" x14ac:dyDescent="0.25"/>
    <row r="28340" hidden="1" x14ac:dyDescent="0.25"/>
    <row r="28341" hidden="1" x14ac:dyDescent="0.25"/>
    <row r="28342" hidden="1" x14ac:dyDescent="0.25"/>
    <row r="28343" hidden="1" x14ac:dyDescent="0.25"/>
    <row r="28344" hidden="1" x14ac:dyDescent="0.25"/>
    <row r="28345" hidden="1" x14ac:dyDescent="0.25"/>
    <row r="28346" hidden="1" x14ac:dyDescent="0.25"/>
    <row r="28347" hidden="1" x14ac:dyDescent="0.25"/>
    <row r="28348" hidden="1" x14ac:dyDescent="0.25"/>
    <row r="28349" hidden="1" x14ac:dyDescent="0.25"/>
    <row r="28350" hidden="1" x14ac:dyDescent="0.25"/>
    <row r="28351" hidden="1" x14ac:dyDescent="0.25"/>
    <row r="28352" hidden="1" x14ac:dyDescent="0.25"/>
    <row r="28353" hidden="1" x14ac:dyDescent="0.25"/>
    <row r="28354" hidden="1" x14ac:dyDescent="0.25"/>
    <row r="28355" hidden="1" x14ac:dyDescent="0.25"/>
    <row r="28356" hidden="1" x14ac:dyDescent="0.25"/>
    <row r="28357" hidden="1" x14ac:dyDescent="0.25"/>
    <row r="28358" hidden="1" x14ac:dyDescent="0.25"/>
    <row r="28359" hidden="1" x14ac:dyDescent="0.25"/>
    <row r="28360" hidden="1" x14ac:dyDescent="0.25"/>
    <row r="28361" hidden="1" x14ac:dyDescent="0.25"/>
    <row r="28362" hidden="1" x14ac:dyDescent="0.25"/>
    <row r="28363" hidden="1" x14ac:dyDescent="0.25"/>
    <row r="28364" hidden="1" x14ac:dyDescent="0.25"/>
    <row r="28365" hidden="1" x14ac:dyDescent="0.25"/>
    <row r="28366" hidden="1" x14ac:dyDescent="0.25"/>
    <row r="28367" hidden="1" x14ac:dyDescent="0.25"/>
    <row r="28368" hidden="1" x14ac:dyDescent="0.25"/>
    <row r="28369" hidden="1" x14ac:dyDescent="0.25"/>
    <row r="28370" hidden="1" x14ac:dyDescent="0.25"/>
    <row r="28371" hidden="1" x14ac:dyDescent="0.25"/>
    <row r="28372" hidden="1" x14ac:dyDescent="0.25"/>
    <row r="28373" hidden="1" x14ac:dyDescent="0.25"/>
    <row r="28374" hidden="1" x14ac:dyDescent="0.25"/>
    <row r="28375" hidden="1" x14ac:dyDescent="0.25"/>
    <row r="28376" hidden="1" x14ac:dyDescent="0.25"/>
    <row r="28377" hidden="1" x14ac:dyDescent="0.25"/>
    <row r="28378" hidden="1" x14ac:dyDescent="0.25"/>
    <row r="28379" hidden="1" x14ac:dyDescent="0.25"/>
    <row r="28380" hidden="1" x14ac:dyDescent="0.25"/>
    <row r="28381" hidden="1" x14ac:dyDescent="0.25"/>
    <row r="28382" hidden="1" x14ac:dyDescent="0.25"/>
    <row r="28383" hidden="1" x14ac:dyDescent="0.25"/>
    <row r="28384" hidden="1" x14ac:dyDescent="0.25"/>
    <row r="28385" hidden="1" x14ac:dyDescent="0.25"/>
    <row r="28386" hidden="1" x14ac:dyDescent="0.25"/>
    <row r="28387" hidden="1" x14ac:dyDescent="0.25"/>
    <row r="28388" hidden="1" x14ac:dyDescent="0.25"/>
    <row r="28389" hidden="1" x14ac:dyDescent="0.25"/>
    <row r="28390" hidden="1" x14ac:dyDescent="0.25"/>
    <row r="28391" hidden="1" x14ac:dyDescent="0.25"/>
    <row r="28392" hidden="1" x14ac:dyDescent="0.25"/>
    <row r="28393" hidden="1" x14ac:dyDescent="0.25"/>
    <row r="28394" hidden="1" x14ac:dyDescent="0.25"/>
    <row r="28395" hidden="1" x14ac:dyDescent="0.25"/>
    <row r="28396" hidden="1" x14ac:dyDescent="0.25"/>
    <row r="28397" hidden="1" x14ac:dyDescent="0.25"/>
    <row r="28398" hidden="1" x14ac:dyDescent="0.25"/>
    <row r="28399" hidden="1" x14ac:dyDescent="0.25"/>
    <row r="28400" hidden="1" x14ac:dyDescent="0.25"/>
    <row r="28401" hidden="1" x14ac:dyDescent="0.25"/>
    <row r="28402" hidden="1" x14ac:dyDescent="0.25"/>
    <row r="28403" hidden="1" x14ac:dyDescent="0.25"/>
    <row r="28404" hidden="1" x14ac:dyDescent="0.25"/>
    <row r="28405" hidden="1" x14ac:dyDescent="0.25"/>
    <row r="28406" hidden="1" x14ac:dyDescent="0.25"/>
    <row r="28407" hidden="1" x14ac:dyDescent="0.25"/>
    <row r="28408" hidden="1" x14ac:dyDescent="0.25"/>
    <row r="28409" hidden="1" x14ac:dyDescent="0.25"/>
    <row r="28410" hidden="1" x14ac:dyDescent="0.25"/>
    <row r="28411" hidden="1" x14ac:dyDescent="0.25"/>
    <row r="28412" hidden="1" x14ac:dyDescent="0.25"/>
    <row r="28413" hidden="1" x14ac:dyDescent="0.25"/>
    <row r="28414" hidden="1" x14ac:dyDescent="0.25"/>
    <row r="28415" hidden="1" x14ac:dyDescent="0.25"/>
    <row r="28416" hidden="1" x14ac:dyDescent="0.25"/>
    <row r="28417" hidden="1" x14ac:dyDescent="0.25"/>
    <row r="28418" hidden="1" x14ac:dyDescent="0.25"/>
    <row r="28419" hidden="1" x14ac:dyDescent="0.25"/>
    <row r="28420" hidden="1" x14ac:dyDescent="0.25"/>
    <row r="28421" hidden="1" x14ac:dyDescent="0.25"/>
    <row r="28422" hidden="1" x14ac:dyDescent="0.25"/>
    <row r="28423" hidden="1" x14ac:dyDescent="0.25"/>
    <row r="28424" hidden="1" x14ac:dyDescent="0.25"/>
    <row r="28425" hidden="1" x14ac:dyDescent="0.25"/>
    <row r="28426" hidden="1" x14ac:dyDescent="0.25"/>
    <row r="28427" hidden="1" x14ac:dyDescent="0.25"/>
    <row r="28428" hidden="1" x14ac:dyDescent="0.25"/>
    <row r="28429" hidden="1" x14ac:dyDescent="0.25"/>
    <row r="28430" hidden="1" x14ac:dyDescent="0.25"/>
    <row r="28431" hidden="1" x14ac:dyDescent="0.25"/>
    <row r="28432" hidden="1" x14ac:dyDescent="0.25"/>
    <row r="28433" hidden="1" x14ac:dyDescent="0.25"/>
    <row r="28434" hidden="1" x14ac:dyDescent="0.25"/>
    <row r="28435" hidden="1" x14ac:dyDescent="0.25"/>
    <row r="28436" hidden="1" x14ac:dyDescent="0.25"/>
    <row r="28437" hidden="1" x14ac:dyDescent="0.25"/>
    <row r="28438" hidden="1" x14ac:dyDescent="0.25"/>
    <row r="28439" hidden="1" x14ac:dyDescent="0.25"/>
    <row r="28440" hidden="1" x14ac:dyDescent="0.25"/>
    <row r="28441" hidden="1" x14ac:dyDescent="0.25"/>
    <row r="28442" hidden="1" x14ac:dyDescent="0.25"/>
    <row r="28443" hidden="1" x14ac:dyDescent="0.25"/>
    <row r="28444" hidden="1" x14ac:dyDescent="0.25"/>
    <row r="28445" hidden="1" x14ac:dyDescent="0.25"/>
    <row r="28446" hidden="1" x14ac:dyDescent="0.25"/>
    <row r="28447" hidden="1" x14ac:dyDescent="0.25"/>
    <row r="28448" hidden="1" x14ac:dyDescent="0.25"/>
    <row r="28449" hidden="1" x14ac:dyDescent="0.25"/>
    <row r="28450" hidden="1" x14ac:dyDescent="0.25"/>
    <row r="28451" hidden="1" x14ac:dyDescent="0.25"/>
    <row r="28452" hidden="1" x14ac:dyDescent="0.25"/>
    <row r="28453" hidden="1" x14ac:dyDescent="0.25"/>
    <row r="28454" hidden="1" x14ac:dyDescent="0.25"/>
    <row r="28455" hidden="1" x14ac:dyDescent="0.25"/>
    <row r="28456" hidden="1" x14ac:dyDescent="0.25"/>
    <row r="28457" hidden="1" x14ac:dyDescent="0.25"/>
    <row r="28458" hidden="1" x14ac:dyDescent="0.25"/>
    <row r="28459" hidden="1" x14ac:dyDescent="0.25"/>
    <row r="28460" hidden="1" x14ac:dyDescent="0.25"/>
    <row r="28461" hidden="1" x14ac:dyDescent="0.25"/>
    <row r="28462" hidden="1" x14ac:dyDescent="0.25"/>
    <row r="28463" hidden="1" x14ac:dyDescent="0.25"/>
    <row r="28464" hidden="1" x14ac:dyDescent="0.25"/>
    <row r="28465" hidden="1" x14ac:dyDescent="0.25"/>
    <row r="28466" hidden="1" x14ac:dyDescent="0.25"/>
    <row r="28467" hidden="1" x14ac:dyDescent="0.25"/>
    <row r="28468" hidden="1" x14ac:dyDescent="0.25"/>
    <row r="28469" hidden="1" x14ac:dyDescent="0.25"/>
    <row r="28470" hidden="1" x14ac:dyDescent="0.25"/>
    <row r="28471" hidden="1" x14ac:dyDescent="0.25"/>
    <row r="28472" hidden="1" x14ac:dyDescent="0.25"/>
    <row r="28473" hidden="1" x14ac:dyDescent="0.25"/>
    <row r="28474" hidden="1" x14ac:dyDescent="0.25"/>
    <row r="28475" hidden="1" x14ac:dyDescent="0.25"/>
    <row r="28476" hidden="1" x14ac:dyDescent="0.25"/>
    <row r="28477" hidden="1" x14ac:dyDescent="0.25"/>
    <row r="28478" hidden="1" x14ac:dyDescent="0.25"/>
    <row r="28479" hidden="1" x14ac:dyDescent="0.25"/>
    <row r="28480" hidden="1" x14ac:dyDescent="0.25"/>
    <row r="28481" hidden="1" x14ac:dyDescent="0.25"/>
    <row r="28482" hidden="1" x14ac:dyDescent="0.25"/>
    <row r="28483" hidden="1" x14ac:dyDescent="0.25"/>
    <row r="28484" hidden="1" x14ac:dyDescent="0.25"/>
    <row r="28485" hidden="1" x14ac:dyDescent="0.25"/>
    <row r="28486" hidden="1" x14ac:dyDescent="0.25"/>
    <row r="28487" hidden="1" x14ac:dyDescent="0.25"/>
    <row r="28488" hidden="1" x14ac:dyDescent="0.25"/>
    <row r="28489" hidden="1" x14ac:dyDescent="0.25"/>
    <row r="28490" hidden="1" x14ac:dyDescent="0.25"/>
    <row r="28491" hidden="1" x14ac:dyDescent="0.25"/>
    <row r="28492" hidden="1" x14ac:dyDescent="0.25"/>
    <row r="28493" hidden="1" x14ac:dyDescent="0.25"/>
    <row r="28494" hidden="1" x14ac:dyDescent="0.25"/>
    <row r="28495" hidden="1" x14ac:dyDescent="0.25"/>
    <row r="28496" hidden="1" x14ac:dyDescent="0.25"/>
    <row r="28497" hidden="1" x14ac:dyDescent="0.25"/>
    <row r="28498" hidden="1" x14ac:dyDescent="0.25"/>
    <row r="28499" hidden="1" x14ac:dyDescent="0.25"/>
    <row r="28500" hidden="1" x14ac:dyDescent="0.25"/>
    <row r="28501" hidden="1" x14ac:dyDescent="0.25"/>
    <row r="28502" hidden="1" x14ac:dyDescent="0.25"/>
    <row r="28503" hidden="1" x14ac:dyDescent="0.25"/>
    <row r="28504" hidden="1" x14ac:dyDescent="0.25"/>
    <row r="28505" hidden="1" x14ac:dyDescent="0.25"/>
    <row r="28506" hidden="1" x14ac:dyDescent="0.25"/>
    <row r="28507" hidden="1" x14ac:dyDescent="0.25"/>
    <row r="28508" hidden="1" x14ac:dyDescent="0.25"/>
    <row r="28509" hidden="1" x14ac:dyDescent="0.25"/>
    <row r="28510" hidden="1" x14ac:dyDescent="0.25"/>
    <row r="28511" hidden="1" x14ac:dyDescent="0.25"/>
    <row r="28512" hidden="1" x14ac:dyDescent="0.25"/>
    <row r="28513" hidden="1" x14ac:dyDescent="0.25"/>
    <row r="28514" hidden="1" x14ac:dyDescent="0.25"/>
    <row r="28515" hidden="1" x14ac:dyDescent="0.25"/>
    <row r="28516" hidden="1" x14ac:dyDescent="0.25"/>
    <row r="28517" hidden="1" x14ac:dyDescent="0.25"/>
    <row r="28518" hidden="1" x14ac:dyDescent="0.25"/>
    <row r="28519" hidden="1" x14ac:dyDescent="0.25"/>
    <row r="28520" hidden="1" x14ac:dyDescent="0.25"/>
    <row r="28521" hidden="1" x14ac:dyDescent="0.25"/>
    <row r="28522" hidden="1" x14ac:dyDescent="0.25"/>
    <row r="28523" hidden="1" x14ac:dyDescent="0.25"/>
    <row r="28524" hidden="1" x14ac:dyDescent="0.25"/>
    <row r="28525" hidden="1" x14ac:dyDescent="0.25"/>
    <row r="28526" hidden="1" x14ac:dyDescent="0.25"/>
    <row r="28527" hidden="1" x14ac:dyDescent="0.25"/>
    <row r="28528" hidden="1" x14ac:dyDescent="0.25"/>
    <row r="28529" hidden="1" x14ac:dyDescent="0.25"/>
    <row r="28530" hidden="1" x14ac:dyDescent="0.25"/>
    <row r="28531" hidden="1" x14ac:dyDescent="0.25"/>
    <row r="28532" hidden="1" x14ac:dyDescent="0.25"/>
    <row r="28533" hidden="1" x14ac:dyDescent="0.25"/>
    <row r="28534" hidden="1" x14ac:dyDescent="0.25"/>
    <row r="28535" hidden="1" x14ac:dyDescent="0.25"/>
    <row r="28536" hidden="1" x14ac:dyDescent="0.25"/>
    <row r="28537" hidden="1" x14ac:dyDescent="0.25"/>
    <row r="28538" hidden="1" x14ac:dyDescent="0.25"/>
    <row r="28539" hidden="1" x14ac:dyDescent="0.25"/>
    <row r="28540" hidden="1" x14ac:dyDescent="0.25"/>
    <row r="28541" hidden="1" x14ac:dyDescent="0.25"/>
    <row r="28542" hidden="1" x14ac:dyDescent="0.25"/>
    <row r="28543" hidden="1" x14ac:dyDescent="0.25"/>
    <row r="28544" hidden="1" x14ac:dyDescent="0.25"/>
    <row r="28545" hidden="1" x14ac:dyDescent="0.25"/>
    <row r="28546" hidden="1" x14ac:dyDescent="0.25"/>
    <row r="28547" hidden="1" x14ac:dyDescent="0.25"/>
    <row r="28548" hidden="1" x14ac:dyDescent="0.25"/>
    <row r="28549" hidden="1" x14ac:dyDescent="0.25"/>
    <row r="28550" hidden="1" x14ac:dyDescent="0.25"/>
    <row r="28551" hidden="1" x14ac:dyDescent="0.25"/>
    <row r="28552" hidden="1" x14ac:dyDescent="0.25"/>
    <row r="28553" hidden="1" x14ac:dyDescent="0.25"/>
    <row r="28554" hidden="1" x14ac:dyDescent="0.25"/>
    <row r="28555" hidden="1" x14ac:dyDescent="0.25"/>
    <row r="28556" hidden="1" x14ac:dyDescent="0.25"/>
    <row r="28557" hidden="1" x14ac:dyDescent="0.25"/>
    <row r="28558" hidden="1" x14ac:dyDescent="0.25"/>
    <row r="28559" hidden="1" x14ac:dyDescent="0.25"/>
    <row r="28560" hidden="1" x14ac:dyDescent="0.25"/>
    <row r="28561" hidden="1" x14ac:dyDescent="0.25"/>
    <row r="28562" hidden="1" x14ac:dyDescent="0.25"/>
    <row r="28563" hidden="1" x14ac:dyDescent="0.25"/>
    <row r="28564" hidden="1" x14ac:dyDescent="0.25"/>
    <row r="28565" hidden="1" x14ac:dyDescent="0.25"/>
    <row r="28566" hidden="1" x14ac:dyDescent="0.25"/>
    <row r="28567" hidden="1" x14ac:dyDescent="0.25"/>
    <row r="28568" hidden="1" x14ac:dyDescent="0.25"/>
    <row r="28569" hidden="1" x14ac:dyDescent="0.25"/>
    <row r="28570" hidden="1" x14ac:dyDescent="0.25"/>
    <row r="28571" hidden="1" x14ac:dyDescent="0.25"/>
    <row r="28572" hidden="1" x14ac:dyDescent="0.25"/>
    <row r="28573" hidden="1" x14ac:dyDescent="0.25"/>
    <row r="28574" hidden="1" x14ac:dyDescent="0.25"/>
    <row r="28575" hidden="1" x14ac:dyDescent="0.25"/>
    <row r="28576" hidden="1" x14ac:dyDescent="0.25"/>
    <row r="28577" hidden="1" x14ac:dyDescent="0.25"/>
    <row r="28578" hidden="1" x14ac:dyDescent="0.25"/>
    <row r="28579" hidden="1" x14ac:dyDescent="0.25"/>
    <row r="28580" hidden="1" x14ac:dyDescent="0.25"/>
    <row r="28581" hidden="1" x14ac:dyDescent="0.25"/>
    <row r="28582" hidden="1" x14ac:dyDescent="0.25"/>
    <row r="28583" hidden="1" x14ac:dyDescent="0.25"/>
    <row r="28584" hidden="1" x14ac:dyDescent="0.25"/>
    <row r="28585" hidden="1" x14ac:dyDescent="0.25"/>
    <row r="28586" hidden="1" x14ac:dyDescent="0.25"/>
    <row r="28587" hidden="1" x14ac:dyDescent="0.25"/>
    <row r="28588" hidden="1" x14ac:dyDescent="0.25"/>
    <row r="28589" hidden="1" x14ac:dyDescent="0.25"/>
    <row r="28590" hidden="1" x14ac:dyDescent="0.25"/>
    <row r="28591" hidden="1" x14ac:dyDescent="0.25"/>
    <row r="28592" hidden="1" x14ac:dyDescent="0.25"/>
    <row r="28593" hidden="1" x14ac:dyDescent="0.25"/>
    <row r="28594" hidden="1" x14ac:dyDescent="0.25"/>
    <row r="28595" hidden="1" x14ac:dyDescent="0.25"/>
    <row r="28596" hidden="1" x14ac:dyDescent="0.25"/>
    <row r="28597" hidden="1" x14ac:dyDescent="0.25"/>
    <row r="28598" hidden="1" x14ac:dyDescent="0.25"/>
    <row r="28599" hidden="1" x14ac:dyDescent="0.25"/>
    <row r="28600" hidden="1" x14ac:dyDescent="0.25"/>
    <row r="28601" hidden="1" x14ac:dyDescent="0.25"/>
    <row r="28602" hidden="1" x14ac:dyDescent="0.25"/>
    <row r="28603" hidden="1" x14ac:dyDescent="0.25"/>
    <row r="28604" hidden="1" x14ac:dyDescent="0.25"/>
    <row r="28605" hidden="1" x14ac:dyDescent="0.25"/>
    <row r="28606" hidden="1" x14ac:dyDescent="0.25"/>
    <row r="28607" hidden="1" x14ac:dyDescent="0.25"/>
    <row r="28608" hidden="1" x14ac:dyDescent="0.25"/>
    <row r="28609" hidden="1" x14ac:dyDescent="0.25"/>
    <row r="28610" hidden="1" x14ac:dyDescent="0.25"/>
    <row r="28611" hidden="1" x14ac:dyDescent="0.25"/>
    <row r="28612" hidden="1" x14ac:dyDescent="0.25"/>
    <row r="28613" hidden="1" x14ac:dyDescent="0.25"/>
    <row r="28614" hidden="1" x14ac:dyDescent="0.25"/>
    <row r="28615" hidden="1" x14ac:dyDescent="0.25"/>
    <row r="28616" hidden="1" x14ac:dyDescent="0.25"/>
    <row r="28617" hidden="1" x14ac:dyDescent="0.25"/>
    <row r="28618" hidden="1" x14ac:dyDescent="0.25"/>
    <row r="28619" hidden="1" x14ac:dyDescent="0.25"/>
    <row r="28620" hidden="1" x14ac:dyDescent="0.25"/>
    <row r="28621" hidden="1" x14ac:dyDescent="0.25"/>
    <row r="28622" hidden="1" x14ac:dyDescent="0.25"/>
    <row r="28623" hidden="1" x14ac:dyDescent="0.25"/>
    <row r="28624" hidden="1" x14ac:dyDescent="0.25"/>
    <row r="28625" hidden="1" x14ac:dyDescent="0.25"/>
    <row r="28626" hidden="1" x14ac:dyDescent="0.25"/>
    <row r="28627" hidden="1" x14ac:dyDescent="0.25"/>
    <row r="28628" hidden="1" x14ac:dyDescent="0.25"/>
    <row r="28629" hidden="1" x14ac:dyDescent="0.25"/>
    <row r="28630" hidden="1" x14ac:dyDescent="0.25"/>
    <row r="28631" hidden="1" x14ac:dyDescent="0.25"/>
    <row r="28632" hidden="1" x14ac:dyDescent="0.25"/>
    <row r="28633" hidden="1" x14ac:dyDescent="0.25"/>
    <row r="28634" hidden="1" x14ac:dyDescent="0.25"/>
    <row r="28635" hidden="1" x14ac:dyDescent="0.25"/>
    <row r="28636" hidden="1" x14ac:dyDescent="0.25"/>
    <row r="28637" hidden="1" x14ac:dyDescent="0.25"/>
    <row r="28638" hidden="1" x14ac:dyDescent="0.25"/>
    <row r="28639" hidden="1" x14ac:dyDescent="0.25"/>
    <row r="28640" hidden="1" x14ac:dyDescent="0.25"/>
    <row r="28641" hidden="1" x14ac:dyDescent="0.25"/>
    <row r="28642" hidden="1" x14ac:dyDescent="0.25"/>
    <row r="28643" hidden="1" x14ac:dyDescent="0.25"/>
    <row r="28644" hidden="1" x14ac:dyDescent="0.25"/>
    <row r="28645" hidden="1" x14ac:dyDescent="0.25"/>
    <row r="28646" hidden="1" x14ac:dyDescent="0.25"/>
    <row r="28647" hidden="1" x14ac:dyDescent="0.25"/>
    <row r="28648" hidden="1" x14ac:dyDescent="0.25"/>
    <row r="28649" hidden="1" x14ac:dyDescent="0.25"/>
    <row r="28650" hidden="1" x14ac:dyDescent="0.25"/>
    <row r="28651" hidden="1" x14ac:dyDescent="0.25"/>
    <row r="28652" hidden="1" x14ac:dyDescent="0.25"/>
    <row r="28653" hidden="1" x14ac:dyDescent="0.25"/>
    <row r="28654" hidden="1" x14ac:dyDescent="0.25"/>
    <row r="28655" hidden="1" x14ac:dyDescent="0.25"/>
    <row r="28656" hidden="1" x14ac:dyDescent="0.25"/>
    <row r="28657" hidden="1" x14ac:dyDescent="0.25"/>
    <row r="28658" hidden="1" x14ac:dyDescent="0.25"/>
    <row r="28659" hidden="1" x14ac:dyDescent="0.25"/>
    <row r="28660" hidden="1" x14ac:dyDescent="0.25"/>
    <row r="28661" hidden="1" x14ac:dyDescent="0.25"/>
    <row r="28662" hidden="1" x14ac:dyDescent="0.25"/>
    <row r="28663" hidden="1" x14ac:dyDescent="0.25"/>
    <row r="28664" hidden="1" x14ac:dyDescent="0.25"/>
    <row r="28665" hidden="1" x14ac:dyDescent="0.25"/>
    <row r="28666" hidden="1" x14ac:dyDescent="0.25"/>
    <row r="28667" hidden="1" x14ac:dyDescent="0.25"/>
    <row r="28668" hidden="1" x14ac:dyDescent="0.25"/>
    <row r="28669" hidden="1" x14ac:dyDescent="0.25"/>
    <row r="28670" hidden="1" x14ac:dyDescent="0.25"/>
    <row r="28671" hidden="1" x14ac:dyDescent="0.25"/>
    <row r="28672" hidden="1" x14ac:dyDescent="0.25"/>
    <row r="28673" hidden="1" x14ac:dyDescent="0.25"/>
    <row r="28674" hidden="1" x14ac:dyDescent="0.25"/>
    <row r="28675" hidden="1" x14ac:dyDescent="0.25"/>
    <row r="28676" hidden="1" x14ac:dyDescent="0.25"/>
    <row r="28677" hidden="1" x14ac:dyDescent="0.25"/>
    <row r="28678" hidden="1" x14ac:dyDescent="0.25"/>
    <row r="28679" hidden="1" x14ac:dyDescent="0.25"/>
    <row r="28680" hidden="1" x14ac:dyDescent="0.25"/>
    <row r="28681" hidden="1" x14ac:dyDescent="0.25"/>
    <row r="28682" hidden="1" x14ac:dyDescent="0.25"/>
    <row r="28683" hidden="1" x14ac:dyDescent="0.25"/>
    <row r="28684" hidden="1" x14ac:dyDescent="0.25"/>
    <row r="28685" hidden="1" x14ac:dyDescent="0.25"/>
    <row r="28686" hidden="1" x14ac:dyDescent="0.25"/>
    <row r="28687" hidden="1" x14ac:dyDescent="0.25"/>
    <row r="28688" hidden="1" x14ac:dyDescent="0.25"/>
    <row r="28689" hidden="1" x14ac:dyDescent="0.25"/>
    <row r="28690" hidden="1" x14ac:dyDescent="0.25"/>
    <row r="28691" hidden="1" x14ac:dyDescent="0.25"/>
    <row r="28692" hidden="1" x14ac:dyDescent="0.25"/>
    <row r="28693" hidden="1" x14ac:dyDescent="0.25"/>
    <row r="28694" hidden="1" x14ac:dyDescent="0.25"/>
    <row r="28695" hidden="1" x14ac:dyDescent="0.25"/>
    <row r="28696" hidden="1" x14ac:dyDescent="0.25"/>
    <row r="28697" hidden="1" x14ac:dyDescent="0.25"/>
    <row r="28698" hidden="1" x14ac:dyDescent="0.25"/>
    <row r="28699" hidden="1" x14ac:dyDescent="0.25"/>
    <row r="28700" hidden="1" x14ac:dyDescent="0.25"/>
    <row r="28701" hidden="1" x14ac:dyDescent="0.25"/>
    <row r="28702" hidden="1" x14ac:dyDescent="0.25"/>
    <row r="28703" hidden="1" x14ac:dyDescent="0.25"/>
    <row r="28704" hidden="1" x14ac:dyDescent="0.25"/>
    <row r="28705" hidden="1" x14ac:dyDescent="0.25"/>
    <row r="28706" hidden="1" x14ac:dyDescent="0.25"/>
    <row r="28707" hidden="1" x14ac:dyDescent="0.25"/>
    <row r="28708" hidden="1" x14ac:dyDescent="0.25"/>
    <row r="28709" hidden="1" x14ac:dyDescent="0.25"/>
    <row r="28710" hidden="1" x14ac:dyDescent="0.25"/>
    <row r="28711" hidden="1" x14ac:dyDescent="0.25"/>
    <row r="28712" hidden="1" x14ac:dyDescent="0.25"/>
    <row r="28713" hidden="1" x14ac:dyDescent="0.25"/>
    <row r="28714" hidden="1" x14ac:dyDescent="0.25"/>
    <row r="28715" hidden="1" x14ac:dyDescent="0.25"/>
    <row r="28716" hidden="1" x14ac:dyDescent="0.25"/>
    <row r="28717" hidden="1" x14ac:dyDescent="0.25"/>
    <row r="28718" hidden="1" x14ac:dyDescent="0.25"/>
    <row r="28719" hidden="1" x14ac:dyDescent="0.25"/>
    <row r="28720" hidden="1" x14ac:dyDescent="0.25"/>
    <row r="28721" hidden="1" x14ac:dyDescent="0.25"/>
    <row r="28722" hidden="1" x14ac:dyDescent="0.25"/>
    <row r="28723" hidden="1" x14ac:dyDescent="0.25"/>
    <row r="28724" hidden="1" x14ac:dyDescent="0.25"/>
    <row r="28725" hidden="1" x14ac:dyDescent="0.25"/>
    <row r="28726" hidden="1" x14ac:dyDescent="0.25"/>
    <row r="28727" hidden="1" x14ac:dyDescent="0.25"/>
    <row r="28728" hidden="1" x14ac:dyDescent="0.25"/>
    <row r="28729" hidden="1" x14ac:dyDescent="0.25"/>
    <row r="28730" hidden="1" x14ac:dyDescent="0.25"/>
    <row r="28731" hidden="1" x14ac:dyDescent="0.25"/>
    <row r="28732" hidden="1" x14ac:dyDescent="0.25"/>
    <row r="28733" hidden="1" x14ac:dyDescent="0.25"/>
    <row r="28734" hidden="1" x14ac:dyDescent="0.25"/>
    <row r="28735" hidden="1" x14ac:dyDescent="0.25"/>
    <row r="28736" hidden="1" x14ac:dyDescent="0.25"/>
    <row r="28737" hidden="1" x14ac:dyDescent="0.25"/>
    <row r="28738" hidden="1" x14ac:dyDescent="0.25"/>
    <row r="28739" hidden="1" x14ac:dyDescent="0.25"/>
    <row r="28740" hidden="1" x14ac:dyDescent="0.25"/>
    <row r="28741" hidden="1" x14ac:dyDescent="0.25"/>
    <row r="28742" hidden="1" x14ac:dyDescent="0.25"/>
    <row r="28743" hidden="1" x14ac:dyDescent="0.25"/>
    <row r="28744" hidden="1" x14ac:dyDescent="0.25"/>
    <row r="28745" hidden="1" x14ac:dyDescent="0.25"/>
    <row r="28746" hidden="1" x14ac:dyDescent="0.25"/>
    <row r="28747" hidden="1" x14ac:dyDescent="0.25"/>
    <row r="28748" hidden="1" x14ac:dyDescent="0.25"/>
    <row r="28749" hidden="1" x14ac:dyDescent="0.25"/>
    <row r="28750" hidden="1" x14ac:dyDescent="0.25"/>
    <row r="28751" hidden="1" x14ac:dyDescent="0.25"/>
    <row r="28752" hidden="1" x14ac:dyDescent="0.25"/>
    <row r="28753" hidden="1" x14ac:dyDescent="0.25"/>
    <row r="28754" hidden="1" x14ac:dyDescent="0.25"/>
    <row r="28755" hidden="1" x14ac:dyDescent="0.25"/>
    <row r="28756" hidden="1" x14ac:dyDescent="0.25"/>
    <row r="28757" hidden="1" x14ac:dyDescent="0.25"/>
    <row r="28758" hidden="1" x14ac:dyDescent="0.25"/>
    <row r="28759" hidden="1" x14ac:dyDescent="0.25"/>
    <row r="28760" hidden="1" x14ac:dyDescent="0.25"/>
    <row r="28761" hidden="1" x14ac:dyDescent="0.25"/>
    <row r="28762" hidden="1" x14ac:dyDescent="0.25"/>
    <row r="28763" hidden="1" x14ac:dyDescent="0.25"/>
    <row r="28764" hidden="1" x14ac:dyDescent="0.25"/>
    <row r="28765" hidden="1" x14ac:dyDescent="0.25"/>
    <row r="28766" hidden="1" x14ac:dyDescent="0.25"/>
    <row r="28767" hidden="1" x14ac:dyDescent="0.25"/>
    <row r="28768" hidden="1" x14ac:dyDescent="0.25"/>
    <row r="28769" hidden="1" x14ac:dyDescent="0.25"/>
    <row r="28770" hidden="1" x14ac:dyDescent="0.25"/>
    <row r="28771" hidden="1" x14ac:dyDescent="0.25"/>
    <row r="28772" hidden="1" x14ac:dyDescent="0.25"/>
    <row r="28773" hidden="1" x14ac:dyDescent="0.25"/>
    <row r="28774" hidden="1" x14ac:dyDescent="0.25"/>
    <row r="28775" hidden="1" x14ac:dyDescent="0.25"/>
    <row r="28776" hidden="1" x14ac:dyDescent="0.25"/>
    <row r="28777" hidden="1" x14ac:dyDescent="0.25"/>
    <row r="28778" hidden="1" x14ac:dyDescent="0.25"/>
    <row r="28779" hidden="1" x14ac:dyDescent="0.25"/>
    <row r="28780" hidden="1" x14ac:dyDescent="0.25"/>
    <row r="28781" hidden="1" x14ac:dyDescent="0.25"/>
    <row r="28782" hidden="1" x14ac:dyDescent="0.25"/>
    <row r="28783" hidden="1" x14ac:dyDescent="0.25"/>
    <row r="28784" hidden="1" x14ac:dyDescent="0.25"/>
    <row r="28785" hidden="1" x14ac:dyDescent="0.25"/>
    <row r="28786" hidden="1" x14ac:dyDescent="0.25"/>
    <row r="28787" hidden="1" x14ac:dyDescent="0.25"/>
    <row r="28788" hidden="1" x14ac:dyDescent="0.25"/>
    <row r="28789" hidden="1" x14ac:dyDescent="0.25"/>
    <row r="28790" hidden="1" x14ac:dyDescent="0.25"/>
    <row r="28791" hidden="1" x14ac:dyDescent="0.25"/>
    <row r="28792" hidden="1" x14ac:dyDescent="0.25"/>
    <row r="28793" hidden="1" x14ac:dyDescent="0.25"/>
    <row r="28794" hidden="1" x14ac:dyDescent="0.25"/>
    <row r="28795" hidden="1" x14ac:dyDescent="0.25"/>
    <row r="28796" hidden="1" x14ac:dyDescent="0.25"/>
    <row r="28797" hidden="1" x14ac:dyDescent="0.25"/>
    <row r="28798" hidden="1" x14ac:dyDescent="0.25"/>
    <row r="28799" hidden="1" x14ac:dyDescent="0.25"/>
    <row r="28800" hidden="1" x14ac:dyDescent="0.25"/>
    <row r="28801" hidden="1" x14ac:dyDescent="0.25"/>
    <row r="28802" hidden="1" x14ac:dyDescent="0.25"/>
    <row r="28803" hidden="1" x14ac:dyDescent="0.25"/>
    <row r="28804" hidden="1" x14ac:dyDescent="0.25"/>
    <row r="28805" hidden="1" x14ac:dyDescent="0.25"/>
    <row r="28806" hidden="1" x14ac:dyDescent="0.25"/>
    <row r="28807" hidden="1" x14ac:dyDescent="0.25"/>
    <row r="28808" hidden="1" x14ac:dyDescent="0.25"/>
    <row r="28809" hidden="1" x14ac:dyDescent="0.25"/>
    <row r="28810" hidden="1" x14ac:dyDescent="0.25"/>
    <row r="28811" hidden="1" x14ac:dyDescent="0.25"/>
    <row r="28812" hidden="1" x14ac:dyDescent="0.25"/>
    <row r="28813" hidden="1" x14ac:dyDescent="0.25"/>
    <row r="28814" hidden="1" x14ac:dyDescent="0.25"/>
    <row r="28815" hidden="1" x14ac:dyDescent="0.25"/>
    <row r="28816" hidden="1" x14ac:dyDescent="0.25"/>
    <row r="28817" hidden="1" x14ac:dyDescent="0.25"/>
    <row r="28818" hidden="1" x14ac:dyDescent="0.25"/>
    <row r="28819" hidden="1" x14ac:dyDescent="0.25"/>
    <row r="28820" hidden="1" x14ac:dyDescent="0.25"/>
    <row r="28821" hidden="1" x14ac:dyDescent="0.25"/>
    <row r="28822" hidden="1" x14ac:dyDescent="0.25"/>
    <row r="28823" hidden="1" x14ac:dyDescent="0.25"/>
    <row r="28824" hidden="1" x14ac:dyDescent="0.25"/>
    <row r="28825" hidden="1" x14ac:dyDescent="0.25"/>
    <row r="28826" hidden="1" x14ac:dyDescent="0.25"/>
    <row r="28827" hidden="1" x14ac:dyDescent="0.25"/>
    <row r="28828" hidden="1" x14ac:dyDescent="0.25"/>
    <row r="28829" hidden="1" x14ac:dyDescent="0.25"/>
    <row r="28830" hidden="1" x14ac:dyDescent="0.25"/>
    <row r="28831" hidden="1" x14ac:dyDescent="0.25"/>
    <row r="28832" hidden="1" x14ac:dyDescent="0.25"/>
    <row r="28833" hidden="1" x14ac:dyDescent="0.25"/>
    <row r="28834" hidden="1" x14ac:dyDescent="0.25"/>
    <row r="28835" hidden="1" x14ac:dyDescent="0.25"/>
    <row r="28836" hidden="1" x14ac:dyDescent="0.25"/>
    <row r="28837" hidden="1" x14ac:dyDescent="0.25"/>
    <row r="28838" hidden="1" x14ac:dyDescent="0.25"/>
    <row r="28839" hidden="1" x14ac:dyDescent="0.25"/>
    <row r="28840" hidden="1" x14ac:dyDescent="0.25"/>
    <row r="28841" hidden="1" x14ac:dyDescent="0.25"/>
    <row r="28842" hidden="1" x14ac:dyDescent="0.25"/>
    <row r="28843" hidden="1" x14ac:dyDescent="0.25"/>
    <row r="28844" hidden="1" x14ac:dyDescent="0.25"/>
    <row r="28845" hidden="1" x14ac:dyDescent="0.25"/>
    <row r="28846" hidden="1" x14ac:dyDescent="0.25"/>
    <row r="28847" hidden="1" x14ac:dyDescent="0.25"/>
    <row r="28848" hidden="1" x14ac:dyDescent="0.25"/>
    <row r="28849" hidden="1" x14ac:dyDescent="0.25"/>
    <row r="28850" hidden="1" x14ac:dyDescent="0.25"/>
    <row r="28851" hidden="1" x14ac:dyDescent="0.25"/>
    <row r="28852" hidden="1" x14ac:dyDescent="0.25"/>
    <row r="28853" hidden="1" x14ac:dyDescent="0.25"/>
    <row r="28854" hidden="1" x14ac:dyDescent="0.25"/>
    <row r="28855" hidden="1" x14ac:dyDescent="0.25"/>
    <row r="28856" hidden="1" x14ac:dyDescent="0.25"/>
    <row r="28857" hidden="1" x14ac:dyDescent="0.25"/>
    <row r="28858" hidden="1" x14ac:dyDescent="0.25"/>
    <row r="28859" hidden="1" x14ac:dyDescent="0.25"/>
    <row r="28860" hidden="1" x14ac:dyDescent="0.25"/>
    <row r="28861" hidden="1" x14ac:dyDescent="0.25"/>
    <row r="28862" hidden="1" x14ac:dyDescent="0.25"/>
    <row r="28863" hidden="1" x14ac:dyDescent="0.25"/>
    <row r="28864" hidden="1" x14ac:dyDescent="0.25"/>
    <row r="28865" hidden="1" x14ac:dyDescent="0.25"/>
    <row r="28866" hidden="1" x14ac:dyDescent="0.25"/>
    <row r="28867" hidden="1" x14ac:dyDescent="0.25"/>
    <row r="28868" hidden="1" x14ac:dyDescent="0.25"/>
    <row r="28869" hidden="1" x14ac:dyDescent="0.25"/>
    <row r="28870" hidden="1" x14ac:dyDescent="0.25"/>
    <row r="28871" hidden="1" x14ac:dyDescent="0.25"/>
    <row r="28872" hidden="1" x14ac:dyDescent="0.25"/>
    <row r="28873" hidden="1" x14ac:dyDescent="0.25"/>
    <row r="28874" hidden="1" x14ac:dyDescent="0.25"/>
    <row r="28875" hidden="1" x14ac:dyDescent="0.25"/>
    <row r="28876" hidden="1" x14ac:dyDescent="0.25"/>
    <row r="28877" hidden="1" x14ac:dyDescent="0.25"/>
    <row r="28878" hidden="1" x14ac:dyDescent="0.25"/>
    <row r="28879" hidden="1" x14ac:dyDescent="0.25"/>
    <row r="28880" hidden="1" x14ac:dyDescent="0.25"/>
    <row r="28881" hidden="1" x14ac:dyDescent="0.25"/>
    <row r="28882" hidden="1" x14ac:dyDescent="0.25"/>
    <row r="28883" hidden="1" x14ac:dyDescent="0.25"/>
    <row r="28884" hidden="1" x14ac:dyDescent="0.25"/>
    <row r="28885" hidden="1" x14ac:dyDescent="0.25"/>
    <row r="28886" hidden="1" x14ac:dyDescent="0.25"/>
    <row r="28887" hidden="1" x14ac:dyDescent="0.25"/>
    <row r="28888" hidden="1" x14ac:dyDescent="0.25"/>
    <row r="28889" hidden="1" x14ac:dyDescent="0.25"/>
    <row r="28890" hidden="1" x14ac:dyDescent="0.25"/>
    <row r="28891" hidden="1" x14ac:dyDescent="0.25"/>
    <row r="28892" hidden="1" x14ac:dyDescent="0.25"/>
    <row r="28893" hidden="1" x14ac:dyDescent="0.25"/>
    <row r="28894" hidden="1" x14ac:dyDescent="0.25"/>
    <row r="28895" hidden="1" x14ac:dyDescent="0.25"/>
    <row r="28896" hidden="1" x14ac:dyDescent="0.25"/>
    <row r="28897" hidden="1" x14ac:dyDescent="0.25"/>
    <row r="28898" hidden="1" x14ac:dyDescent="0.25"/>
    <row r="28899" hidden="1" x14ac:dyDescent="0.25"/>
    <row r="28900" hidden="1" x14ac:dyDescent="0.25"/>
    <row r="28901" hidden="1" x14ac:dyDescent="0.25"/>
    <row r="28902" hidden="1" x14ac:dyDescent="0.25"/>
    <row r="28903" hidden="1" x14ac:dyDescent="0.25"/>
    <row r="28904" hidden="1" x14ac:dyDescent="0.25"/>
    <row r="28905" hidden="1" x14ac:dyDescent="0.25"/>
    <row r="28906" hidden="1" x14ac:dyDescent="0.25"/>
    <row r="28907" hidden="1" x14ac:dyDescent="0.25"/>
    <row r="28908" hidden="1" x14ac:dyDescent="0.25"/>
    <row r="28909" hidden="1" x14ac:dyDescent="0.25"/>
    <row r="28910" hidden="1" x14ac:dyDescent="0.25"/>
    <row r="28911" hidden="1" x14ac:dyDescent="0.25"/>
    <row r="28912" hidden="1" x14ac:dyDescent="0.25"/>
    <row r="28913" hidden="1" x14ac:dyDescent="0.25"/>
    <row r="28914" hidden="1" x14ac:dyDescent="0.25"/>
    <row r="28915" hidden="1" x14ac:dyDescent="0.25"/>
    <row r="28916" hidden="1" x14ac:dyDescent="0.25"/>
    <row r="28917" hidden="1" x14ac:dyDescent="0.25"/>
    <row r="28918" hidden="1" x14ac:dyDescent="0.25"/>
    <row r="28919" hidden="1" x14ac:dyDescent="0.25"/>
    <row r="28920" hidden="1" x14ac:dyDescent="0.25"/>
    <row r="28921" hidden="1" x14ac:dyDescent="0.25"/>
    <row r="28922" hidden="1" x14ac:dyDescent="0.25"/>
    <row r="28923" hidden="1" x14ac:dyDescent="0.25"/>
    <row r="28924" hidden="1" x14ac:dyDescent="0.25"/>
    <row r="28925" hidden="1" x14ac:dyDescent="0.25"/>
    <row r="28926" hidden="1" x14ac:dyDescent="0.25"/>
    <row r="28927" hidden="1" x14ac:dyDescent="0.25"/>
    <row r="28928" hidden="1" x14ac:dyDescent="0.25"/>
    <row r="28929" hidden="1" x14ac:dyDescent="0.25"/>
    <row r="28930" hidden="1" x14ac:dyDescent="0.25"/>
    <row r="28931" hidden="1" x14ac:dyDescent="0.25"/>
    <row r="28932" hidden="1" x14ac:dyDescent="0.25"/>
    <row r="28933" hidden="1" x14ac:dyDescent="0.25"/>
    <row r="28934" hidden="1" x14ac:dyDescent="0.25"/>
    <row r="28935" hidden="1" x14ac:dyDescent="0.25"/>
    <row r="28936" hidden="1" x14ac:dyDescent="0.25"/>
    <row r="28937" hidden="1" x14ac:dyDescent="0.25"/>
    <row r="28938" hidden="1" x14ac:dyDescent="0.25"/>
    <row r="28939" hidden="1" x14ac:dyDescent="0.25"/>
    <row r="28940" hidden="1" x14ac:dyDescent="0.25"/>
    <row r="28941" hidden="1" x14ac:dyDescent="0.25"/>
    <row r="28942" hidden="1" x14ac:dyDescent="0.25"/>
    <row r="28943" hidden="1" x14ac:dyDescent="0.25"/>
    <row r="28944" hidden="1" x14ac:dyDescent="0.25"/>
    <row r="28945" hidden="1" x14ac:dyDescent="0.25"/>
    <row r="28946" hidden="1" x14ac:dyDescent="0.25"/>
    <row r="28947" hidden="1" x14ac:dyDescent="0.25"/>
    <row r="28948" hidden="1" x14ac:dyDescent="0.25"/>
    <row r="28949" hidden="1" x14ac:dyDescent="0.25"/>
    <row r="28950" hidden="1" x14ac:dyDescent="0.25"/>
    <row r="28951" hidden="1" x14ac:dyDescent="0.25"/>
    <row r="28952" hidden="1" x14ac:dyDescent="0.25"/>
    <row r="28953" hidden="1" x14ac:dyDescent="0.25"/>
    <row r="28954" hidden="1" x14ac:dyDescent="0.25"/>
    <row r="28955" hidden="1" x14ac:dyDescent="0.25"/>
    <row r="28956" hidden="1" x14ac:dyDescent="0.25"/>
    <row r="28957" hidden="1" x14ac:dyDescent="0.25"/>
    <row r="28958" hidden="1" x14ac:dyDescent="0.25"/>
    <row r="28959" hidden="1" x14ac:dyDescent="0.25"/>
    <row r="28960" hidden="1" x14ac:dyDescent="0.25"/>
    <row r="28961" hidden="1" x14ac:dyDescent="0.25"/>
    <row r="28962" hidden="1" x14ac:dyDescent="0.25"/>
    <row r="28963" hidden="1" x14ac:dyDescent="0.25"/>
    <row r="28964" hidden="1" x14ac:dyDescent="0.25"/>
    <row r="28965" hidden="1" x14ac:dyDescent="0.25"/>
    <row r="28966" hidden="1" x14ac:dyDescent="0.25"/>
    <row r="28967" hidden="1" x14ac:dyDescent="0.25"/>
    <row r="28968" hidden="1" x14ac:dyDescent="0.25"/>
    <row r="28969" hidden="1" x14ac:dyDescent="0.25"/>
    <row r="28970" hidden="1" x14ac:dyDescent="0.25"/>
    <row r="28971" hidden="1" x14ac:dyDescent="0.25"/>
    <row r="28972" hidden="1" x14ac:dyDescent="0.25"/>
    <row r="28973" hidden="1" x14ac:dyDescent="0.25"/>
    <row r="28974" hidden="1" x14ac:dyDescent="0.25"/>
    <row r="28975" hidden="1" x14ac:dyDescent="0.25"/>
    <row r="28976" hidden="1" x14ac:dyDescent="0.25"/>
    <row r="28977" hidden="1" x14ac:dyDescent="0.25"/>
    <row r="28978" hidden="1" x14ac:dyDescent="0.25"/>
    <row r="28979" hidden="1" x14ac:dyDescent="0.25"/>
    <row r="28980" hidden="1" x14ac:dyDescent="0.25"/>
    <row r="28981" hidden="1" x14ac:dyDescent="0.25"/>
    <row r="28982" hidden="1" x14ac:dyDescent="0.25"/>
    <row r="28983" hidden="1" x14ac:dyDescent="0.25"/>
    <row r="28984" hidden="1" x14ac:dyDescent="0.25"/>
    <row r="28985" hidden="1" x14ac:dyDescent="0.25"/>
    <row r="28986" hidden="1" x14ac:dyDescent="0.25"/>
    <row r="28987" hidden="1" x14ac:dyDescent="0.25"/>
    <row r="28988" hidden="1" x14ac:dyDescent="0.25"/>
    <row r="28989" hidden="1" x14ac:dyDescent="0.25"/>
    <row r="28990" hidden="1" x14ac:dyDescent="0.25"/>
    <row r="28991" hidden="1" x14ac:dyDescent="0.25"/>
    <row r="28992" hidden="1" x14ac:dyDescent="0.25"/>
    <row r="28993" hidden="1" x14ac:dyDescent="0.25"/>
    <row r="28994" hidden="1" x14ac:dyDescent="0.25"/>
    <row r="28995" hidden="1" x14ac:dyDescent="0.25"/>
    <row r="28996" hidden="1" x14ac:dyDescent="0.25"/>
    <row r="28997" hidden="1" x14ac:dyDescent="0.25"/>
    <row r="28998" hidden="1" x14ac:dyDescent="0.25"/>
    <row r="28999" hidden="1" x14ac:dyDescent="0.25"/>
    <row r="29000" hidden="1" x14ac:dyDescent="0.25"/>
    <row r="29001" hidden="1" x14ac:dyDescent="0.25"/>
    <row r="29002" hidden="1" x14ac:dyDescent="0.25"/>
    <row r="29003" hidden="1" x14ac:dyDescent="0.25"/>
    <row r="29004" hidden="1" x14ac:dyDescent="0.25"/>
    <row r="29005" hidden="1" x14ac:dyDescent="0.25"/>
    <row r="29006" hidden="1" x14ac:dyDescent="0.25"/>
    <row r="29007" hidden="1" x14ac:dyDescent="0.25"/>
    <row r="29008" hidden="1" x14ac:dyDescent="0.25"/>
    <row r="29009" hidden="1" x14ac:dyDescent="0.25"/>
    <row r="29010" hidden="1" x14ac:dyDescent="0.25"/>
    <row r="29011" hidden="1" x14ac:dyDescent="0.25"/>
    <row r="29012" hidden="1" x14ac:dyDescent="0.25"/>
    <row r="29013" hidden="1" x14ac:dyDescent="0.25"/>
    <row r="29014" hidden="1" x14ac:dyDescent="0.25"/>
    <row r="29015" hidden="1" x14ac:dyDescent="0.25"/>
    <row r="29016" hidden="1" x14ac:dyDescent="0.25"/>
    <row r="29017" hidden="1" x14ac:dyDescent="0.25"/>
    <row r="29018" hidden="1" x14ac:dyDescent="0.25"/>
    <row r="29019" hidden="1" x14ac:dyDescent="0.25"/>
    <row r="29020" hidden="1" x14ac:dyDescent="0.25"/>
    <row r="29021" hidden="1" x14ac:dyDescent="0.25"/>
    <row r="29022" hidden="1" x14ac:dyDescent="0.25"/>
    <row r="29023" hidden="1" x14ac:dyDescent="0.25"/>
    <row r="29024" hidden="1" x14ac:dyDescent="0.25"/>
    <row r="29025" hidden="1" x14ac:dyDescent="0.25"/>
    <row r="29026" hidden="1" x14ac:dyDescent="0.25"/>
    <row r="29027" hidden="1" x14ac:dyDescent="0.25"/>
    <row r="29028" hidden="1" x14ac:dyDescent="0.25"/>
    <row r="29029" hidden="1" x14ac:dyDescent="0.25"/>
    <row r="29030" hidden="1" x14ac:dyDescent="0.25"/>
    <row r="29031" hidden="1" x14ac:dyDescent="0.25"/>
    <row r="29032" hidden="1" x14ac:dyDescent="0.25"/>
    <row r="29033" hidden="1" x14ac:dyDescent="0.25"/>
    <row r="29034" hidden="1" x14ac:dyDescent="0.25"/>
    <row r="29035" hidden="1" x14ac:dyDescent="0.25"/>
    <row r="29036" hidden="1" x14ac:dyDescent="0.25"/>
    <row r="29037" hidden="1" x14ac:dyDescent="0.25"/>
    <row r="29038" hidden="1" x14ac:dyDescent="0.25"/>
    <row r="29039" hidden="1" x14ac:dyDescent="0.25"/>
    <row r="29040" hidden="1" x14ac:dyDescent="0.25"/>
    <row r="29041" hidden="1" x14ac:dyDescent="0.25"/>
    <row r="29042" hidden="1" x14ac:dyDescent="0.25"/>
    <row r="29043" hidden="1" x14ac:dyDescent="0.25"/>
    <row r="29044" hidden="1" x14ac:dyDescent="0.25"/>
    <row r="29045" hidden="1" x14ac:dyDescent="0.25"/>
    <row r="29046" hidden="1" x14ac:dyDescent="0.25"/>
    <row r="29047" hidden="1" x14ac:dyDescent="0.25"/>
    <row r="29048" hidden="1" x14ac:dyDescent="0.25"/>
    <row r="29049" hidden="1" x14ac:dyDescent="0.25"/>
    <row r="29050" hidden="1" x14ac:dyDescent="0.25"/>
    <row r="29051" hidden="1" x14ac:dyDescent="0.25"/>
    <row r="29052" hidden="1" x14ac:dyDescent="0.25"/>
    <row r="29053" hidden="1" x14ac:dyDescent="0.25"/>
    <row r="29054" hidden="1" x14ac:dyDescent="0.25"/>
    <row r="29055" hidden="1" x14ac:dyDescent="0.25"/>
    <row r="29056" hidden="1" x14ac:dyDescent="0.25"/>
    <row r="29057" hidden="1" x14ac:dyDescent="0.25"/>
    <row r="29058" hidden="1" x14ac:dyDescent="0.25"/>
    <row r="29059" hidden="1" x14ac:dyDescent="0.25"/>
    <row r="29060" hidden="1" x14ac:dyDescent="0.25"/>
    <row r="29061" hidden="1" x14ac:dyDescent="0.25"/>
    <row r="29062" hidden="1" x14ac:dyDescent="0.25"/>
    <row r="29063" hidden="1" x14ac:dyDescent="0.25"/>
    <row r="29064" hidden="1" x14ac:dyDescent="0.25"/>
    <row r="29065" hidden="1" x14ac:dyDescent="0.25"/>
    <row r="29066" hidden="1" x14ac:dyDescent="0.25"/>
    <row r="29067" hidden="1" x14ac:dyDescent="0.25"/>
    <row r="29068" hidden="1" x14ac:dyDescent="0.25"/>
    <row r="29069" hidden="1" x14ac:dyDescent="0.25"/>
    <row r="29070" hidden="1" x14ac:dyDescent="0.25"/>
    <row r="29071" hidden="1" x14ac:dyDescent="0.25"/>
    <row r="29072" hidden="1" x14ac:dyDescent="0.25"/>
    <row r="29073" hidden="1" x14ac:dyDescent="0.25"/>
    <row r="29074" hidden="1" x14ac:dyDescent="0.25"/>
    <row r="29075" hidden="1" x14ac:dyDescent="0.25"/>
    <row r="29076" hidden="1" x14ac:dyDescent="0.25"/>
    <row r="29077" hidden="1" x14ac:dyDescent="0.25"/>
    <row r="29078" hidden="1" x14ac:dyDescent="0.25"/>
    <row r="29079" hidden="1" x14ac:dyDescent="0.25"/>
    <row r="29080" hidden="1" x14ac:dyDescent="0.25"/>
    <row r="29081" hidden="1" x14ac:dyDescent="0.25"/>
    <row r="29082" hidden="1" x14ac:dyDescent="0.25"/>
    <row r="29083" hidden="1" x14ac:dyDescent="0.25"/>
    <row r="29084" hidden="1" x14ac:dyDescent="0.25"/>
    <row r="29085" hidden="1" x14ac:dyDescent="0.25"/>
    <row r="29086" hidden="1" x14ac:dyDescent="0.25"/>
    <row r="29087" hidden="1" x14ac:dyDescent="0.25"/>
    <row r="29088" hidden="1" x14ac:dyDescent="0.25"/>
    <row r="29089" hidden="1" x14ac:dyDescent="0.25"/>
    <row r="29090" hidden="1" x14ac:dyDescent="0.25"/>
    <row r="29091" hidden="1" x14ac:dyDescent="0.25"/>
    <row r="29092" hidden="1" x14ac:dyDescent="0.25"/>
    <row r="29093" hidden="1" x14ac:dyDescent="0.25"/>
    <row r="29094" hidden="1" x14ac:dyDescent="0.25"/>
    <row r="29095" hidden="1" x14ac:dyDescent="0.25"/>
    <row r="29096" hidden="1" x14ac:dyDescent="0.25"/>
    <row r="29097" hidden="1" x14ac:dyDescent="0.25"/>
    <row r="29098" hidden="1" x14ac:dyDescent="0.25"/>
    <row r="29099" hidden="1" x14ac:dyDescent="0.25"/>
    <row r="29100" hidden="1" x14ac:dyDescent="0.25"/>
    <row r="29101" hidden="1" x14ac:dyDescent="0.25"/>
    <row r="29102" hidden="1" x14ac:dyDescent="0.25"/>
    <row r="29103" hidden="1" x14ac:dyDescent="0.25"/>
    <row r="29104" hidden="1" x14ac:dyDescent="0.25"/>
    <row r="29105" hidden="1" x14ac:dyDescent="0.25"/>
    <row r="29106" hidden="1" x14ac:dyDescent="0.25"/>
    <row r="29107" hidden="1" x14ac:dyDescent="0.25"/>
    <row r="29108" hidden="1" x14ac:dyDescent="0.25"/>
    <row r="29109" hidden="1" x14ac:dyDescent="0.25"/>
    <row r="29110" hidden="1" x14ac:dyDescent="0.25"/>
    <row r="29111" hidden="1" x14ac:dyDescent="0.25"/>
    <row r="29112" hidden="1" x14ac:dyDescent="0.25"/>
    <row r="29113" hidden="1" x14ac:dyDescent="0.25"/>
    <row r="29114" hidden="1" x14ac:dyDescent="0.25"/>
    <row r="29115" hidden="1" x14ac:dyDescent="0.25"/>
    <row r="29116" hidden="1" x14ac:dyDescent="0.25"/>
    <row r="29117" hidden="1" x14ac:dyDescent="0.25"/>
    <row r="29118" hidden="1" x14ac:dyDescent="0.25"/>
    <row r="29119" hidden="1" x14ac:dyDescent="0.25"/>
    <row r="29120" hidden="1" x14ac:dyDescent="0.25"/>
    <row r="29121" hidden="1" x14ac:dyDescent="0.25"/>
    <row r="29122" hidden="1" x14ac:dyDescent="0.25"/>
    <row r="29123" hidden="1" x14ac:dyDescent="0.25"/>
    <row r="29124" hidden="1" x14ac:dyDescent="0.25"/>
    <row r="29125" hidden="1" x14ac:dyDescent="0.25"/>
    <row r="29126" hidden="1" x14ac:dyDescent="0.25"/>
    <row r="29127" hidden="1" x14ac:dyDescent="0.25"/>
    <row r="29128" hidden="1" x14ac:dyDescent="0.25"/>
    <row r="29129" hidden="1" x14ac:dyDescent="0.25"/>
    <row r="29130" hidden="1" x14ac:dyDescent="0.25"/>
    <row r="29131" hidden="1" x14ac:dyDescent="0.25"/>
    <row r="29132" hidden="1" x14ac:dyDescent="0.25"/>
    <row r="29133" hidden="1" x14ac:dyDescent="0.25"/>
    <row r="29134" hidden="1" x14ac:dyDescent="0.25"/>
    <row r="29135" hidden="1" x14ac:dyDescent="0.25"/>
    <row r="29136" hidden="1" x14ac:dyDescent="0.25"/>
    <row r="29137" hidden="1" x14ac:dyDescent="0.25"/>
    <row r="29138" hidden="1" x14ac:dyDescent="0.25"/>
    <row r="29139" hidden="1" x14ac:dyDescent="0.25"/>
    <row r="29140" hidden="1" x14ac:dyDescent="0.25"/>
    <row r="29141" hidden="1" x14ac:dyDescent="0.25"/>
    <row r="29142" hidden="1" x14ac:dyDescent="0.25"/>
    <row r="29143" hidden="1" x14ac:dyDescent="0.25"/>
    <row r="29144" hidden="1" x14ac:dyDescent="0.25"/>
    <row r="29145" hidden="1" x14ac:dyDescent="0.25"/>
    <row r="29146" hidden="1" x14ac:dyDescent="0.25"/>
    <row r="29147" hidden="1" x14ac:dyDescent="0.25"/>
    <row r="29148" hidden="1" x14ac:dyDescent="0.25"/>
    <row r="29149" hidden="1" x14ac:dyDescent="0.25"/>
    <row r="29150" hidden="1" x14ac:dyDescent="0.25"/>
    <row r="29151" hidden="1" x14ac:dyDescent="0.25"/>
    <row r="29152" hidden="1" x14ac:dyDescent="0.25"/>
    <row r="29153" hidden="1" x14ac:dyDescent="0.25"/>
    <row r="29154" hidden="1" x14ac:dyDescent="0.25"/>
    <row r="29155" hidden="1" x14ac:dyDescent="0.25"/>
    <row r="29156" hidden="1" x14ac:dyDescent="0.25"/>
    <row r="29157" hidden="1" x14ac:dyDescent="0.25"/>
    <row r="29158" hidden="1" x14ac:dyDescent="0.25"/>
    <row r="29159" hidden="1" x14ac:dyDescent="0.25"/>
    <row r="29160" hidden="1" x14ac:dyDescent="0.25"/>
    <row r="29161" hidden="1" x14ac:dyDescent="0.25"/>
    <row r="29162" hidden="1" x14ac:dyDescent="0.25"/>
    <row r="29163" hidden="1" x14ac:dyDescent="0.25"/>
    <row r="29164" hidden="1" x14ac:dyDescent="0.25"/>
    <row r="29165" hidden="1" x14ac:dyDescent="0.25"/>
    <row r="29166" hidden="1" x14ac:dyDescent="0.25"/>
    <row r="29167" hidden="1" x14ac:dyDescent="0.25"/>
    <row r="29168" hidden="1" x14ac:dyDescent="0.25"/>
    <row r="29169" hidden="1" x14ac:dyDescent="0.25"/>
    <row r="29170" hidden="1" x14ac:dyDescent="0.25"/>
    <row r="29171" hidden="1" x14ac:dyDescent="0.25"/>
    <row r="29172" hidden="1" x14ac:dyDescent="0.25"/>
    <row r="29173" hidden="1" x14ac:dyDescent="0.25"/>
    <row r="29174" hidden="1" x14ac:dyDescent="0.25"/>
    <row r="29175" hidden="1" x14ac:dyDescent="0.25"/>
    <row r="29176" hidden="1" x14ac:dyDescent="0.25"/>
    <row r="29177" hidden="1" x14ac:dyDescent="0.25"/>
    <row r="29178" hidden="1" x14ac:dyDescent="0.25"/>
    <row r="29179" hidden="1" x14ac:dyDescent="0.25"/>
    <row r="29180" hidden="1" x14ac:dyDescent="0.25"/>
    <row r="29181" hidden="1" x14ac:dyDescent="0.25"/>
    <row r="29182" hidden="1" x14ac:dyDescent="0.25"/>
    <row r="29183" hidden="1" x14ac:dyDescent="0.25"/>
    <row r="29184" hidden="1" x14ac:dyDescent="0.25"/>
    <row r="29185" hidden="1" x14ac:dyDescent="0.25"/>
    <row r="29186" hidden="1" x14ac:dyDescent="0.25"/>
    <row r="29187" hidden="1" x14ac:dyDescent="0.25"/>
    <row r="29188" hidden="1" x14ac:dyDescent="0.25"/>
    <row r="29189" hidden="1" x14ac:dyDescent="0.25"/>
    <row r="29190" hidden="1" x14ac:dyDescent="0.25"/>
    <row r="29191" hidden="1" x14ac:dyDescent="0.25"/>
    <row r="29192" hidden="1" x14ac:dyDescent="0.25"/>
    <row r="29193" hidden="1" x14ac:dyDescent="0.25"/>
    <row r="29194" hidden="1" x14ac:dyDescent="0.25"/>
    <row r="29195" hidden="1" x14ac:dyDescent="0.25"/>
    <row r="29196" hidden="1" x14ac:dyDescent="0.25"/>
    <row r="29197" hidden="1" x14ac:dyDescent="0.25"/>
    <row r="29198" hidden="1" x14ac:dyDescent="0.25"/>
    <row r="29199" hidden="1" x14ac:dyDescent="0.25"/>
    <row r="29200" hidden="1" x14ac:dyDescent="0.25"/>
    <row r="29201" hidden="1" x14ac:dyDescent="0.25"/>
    <row r="29202" hidden="1" x14ac:dyDescent="0.25"/>
    <row r="29203" hidden="1" x14ac:dyDescent="0.25"/>
    <row r="29204" hidden="1" x14ac:dyDescent="0.25"/>
    <row r="29205" hidden="1" x14ac:dyDescent="0.25"/>
    <row r="29206" hidden="1" x14ac:dyDescent="0.25"/>
    <row r="29207" hidden="1" x14ac:dyDescent="0.25"/>
    <row r="29208" hidden="1" x14ac:dyDescent="0.25"/>
    <row r="29209" hidden="1" x14ac:dyDescent="0.25"/>
    <row r="29210" hidden="1" x14ac:dyDescent="0.25"/>
    <row r="29211" hidden="1" x14ac:dyDescent="0.25"/>
    <row r="29212" hidden="1" x14ac:dyDescent="0.25"/>
    <row r="29213" hidden="1" x14ac:dyDescent="0.25"/>
    <row r="29214" hidden="1" x14ac:dyDescent="0.25"/>
    <row r="29215" hidden="1" x14ac:dyDescent="0.25"/>
    <row r="29216" hidden="1" x14ac:dyDescent="0.25"/>
    <row r="29217" hidden="1" x14ac:dyDescent="0.25"/>
    <row r="29218" hidden="1" x14ac:dyDescent="0.25"/>
    <row r="29219" hidden="1" x14ac:dyDescent="0.25"/>
    <row r="29220" hidden="1" x14ac:dyDescent="0.25"/>
    <row r="29221" hidden="1" x14ac:dyDescent="0.25"/>
    <row r="29222" hidden="1" x14ac:dyDescent="0.25"/>
    <row r="29223" hidden="1" x14ac:dyDescent="0.25"/>
    <row r="29224" hidden="1" x14ac:dyDescent="0.25"/>
    <row r="29225" hidden="1" x14ac:dyDescent="0.25"/>
    <row r="29226" hidden="1" x14ac:dyDescent="0.25"/>
    <row r="29227" hidden="1" x14ac:dyDescent="0.25"/>
    <row r="29228" hidden="1" x14ac:dyDescent="0.25"/>
    <row r="29229" hidden="1" x14ac:dyDescent="0.25"/>
    <row r="29230" hidden="1" x14ac:dyDescent="0.25"/>
    <row r="29231" hidden="1" x14ac:dyDescent="0.25"/>
    <row r="29232" hidden="1" x14ac:dyDescent="0.25"/>
    <row r="29233" hidden="1" x14ac:dyDescent="0.25"/>
    <row r="29234" hidden="1" x14ac:dyDescent="0.25"/>
    <row r="29235" hidden="1" x14ac:dyDescent="0.25"/>
    <row r="29236" hidden="1" x14ac:dyDescent="0.25"/>
    <row r="29237" hidden="1" x14ac:dyDescent="0.25"/>
    <row r="29238" hidden="1" x14ac:dyDescent="0.25"/>
    <row r="29239" hidden="1" x14ac:dyDescent="0.25"/>
    <row r="29240" hidden="1" x14ac:dyDescent="0.25"/>
    <row r="29241" hidden="1" x14ac:dyDescent="0.25"/>
    <row r="29242" hidden="1" x14ac:dyDescent="0.25"/>
    <row r="29243" hidden="1" x14ac:dyDescent="0.25"/>
    <row r="29244" hidden="1" x14ac:dyDescent="0.25"/>
    <row r="29245" hidden="1" x14ac:dyDescent="0.25"/>
    <row r="29246" hidden="1" x14ac:dyDescent="0.25"/>
    <row r="29247" hidden="1" x14ac:dyDescent="0.25"/>
    <row r="29248" hidden="1" x14ac:dyDescent="0.25"/>
    <row r="29249" hidden="1" x14ac:dyDescent="0.25"/>
    <row r="29250" hidden="1" x14ac:dyDescent="0.25"/>
    <row r="29251" hidden="1" x14ac:dyDescent="0.25"/>
    <row r="29252" hidden="1" x14ac:dyDescent="0.25"/>
    <row r="29253" hidden="1" x14ac:dyDescent="0.25"/>
    <row r="29254" hidden="1" x14ac:dyDescent="0.25"/>
    <row r="29255" hidden="1" x14ac:dyDescent="0.25"/>
    <row r="29256" hidden="1" x14ac:dyDescent="0.25"/>
    <row r="29257" hidden="1" x14ac:dyDescent="0.25"/>
    <row r="29258" hidden="1" x14ac:dyDescent="0.25"/>
    <row r="29259" hidden="1" x14ac:dyDescent="0.25"/>
    <row r="29260" hidden="1" x14ac:dyDescent="0.25"/>
    <row r="29261" hidden="1" x14ac:dyDescent="0.25"/>
    <row r="29262" hidden="1" x14ac:dyDescent="0.25"/>
    <row r="29263" hidden="1" x14ac:dyDescent="0.25"/>
    <row r="29264" hidden="1" x14ac:dyDescent="0.25"/>
    <row r="29265" hidden="1" x14ac:dyDescent="0.25"/>
    <row r="29266" hidden="1" x14ac:dyDescent="0.25"/>
    <row r="29267" hidden="1" x14ac:dyDescent="0.25"/>
    <row r="29268" hidden="1" x14ac:dyDescent="0.25"/>
    <row r="29269" hidden="1" x14ac:dyDescent="0.25"/>
    <row r="29270" hidden="1" x14ac:dyDescent="0.25"/>
    <row r="29271" hidden="1" x14ac:dyDescent="0.25"/>
    <row r="29272" hidden="1" x14ac:dyDescent="0.25"/>
    <row r="29273" hidden="1" x14ac:dyDescent="0.25"/>
    <row r="29274" hidden="1" x14ac:dyDescent="0.25"/>
    <row r="29275" hidden="1" x14ac:dyDescent="0.25"/>
    <row r="29276" hidden="1" x14ac:dyDescent="0.25"/>
    <row r="29277" hidden="1" x14ac:dyDescent="0.25"/>
    <row r="29278" hidden="1" x14ac:dyDescent="0.25"/>
    <row r="29279" hidden="1" x14ac:dyDescent="0.25"/>
    <row r="29280" hidden="1" x14ac:dyDescent="0.25"/>
    <row r="29281" hidden="1" x14ac:dyDescent="0.25"/>
    <row r="29282" hidden="1" x14ac:dyDescent="0.25"/>
    <row r="29283" hidden="1" x14ac:dyDescent="0.25"/>
    <row r="29284" hidden="1" x14ac:dyDescent="0.25"/>
    <row r="29285" hidden="1" x14ac:dyDescent="0.25"/>
    <row r="29286" hidden="1" x14ac:dyDescent="0.25"/>
    <row r="29287" hidden="1" x14ac:dyDescent="0.25"/>
    <row r="29288" hidden="1" x14ac:dyDescent="0.25"/>
    <row r="29289" hidden="1" x14ac:dyDescent="0.25"/>
    <row r="29290" hidden="1" x14ac:dyDescent="0.25"/>
    <row r="29291" hidden="1" x14ac:dyDescent="0.25"/>
    <row r="29292" hidden="1" x14ac:dyDescent="0.25"/>
    <row r="29293" hidden="1" x14ac:dyDescent="0.25"/>
    <row r="29294" hidden="1" x14ac:dyDescent="0.25"/>
    <row r="29295" hidden="1" x14ac:dyDescent="0.25"/>
    <row r="29296" hidden="1" x14ac:dyDescent="0.25"/>
    <row r="29297" hidden="1" x14ac:dyDescent="0.25"/>
    <row r="29298" hidden="1" x14ac:dyDescent="0.25"/>
    <row r="29299" hidden="1" x14ac:dyDescent="0.25"/>
    <row r="29300" hidden="1" x14ac:dyDescent="0.25"/>
    <row r="29301" hidden="1" x14ac:dyDescent="0.25"/>
    <row r="29302" hidden="1" x14ac:dyDescent="0.25"/>
    <row r="29303" hidden="1" x14ac:dyDescent="0.25"/>
    <row r="29304" hidden="1" x14ac:dyDescent="0.25"/>
    <row r="29305" hidden="1" x14ac:dyDescent="0.25"/>
    <row r="29306" hidden="1" x14ac:dyDescent="0.25"/>
    <row r="29307" hidden="1" x14ac:dyDescent="0.25"/>
    <row r="29308" hidden="1" x14ac:dyDescent="0.25"/>
    <row r="29309" hidden="1" x14ac:dyDescent="0.25"/>
    <row r="29310" hidden="1" x14ac:dyDescent="0.25"/>
    <row r="29311" hidden="1" x14ac:dyDescent="0.25"/>
    <row r="29312" hidden="1" x14ac:dyDescent="0.25"/>
    <row r="29313" hidden="1" x14ac:dyDescent="0.25"/>
    <row r="29314" hidden="1" x14ac:dyDescent="0.25"/>
    <row r="29315" hidden="1" x14ac:dyDescent="0.25"/>
    <row r="29316" hidden="1" x14ac:dyDescent="0.25"/>
    <row r="29317" hidden="1" x14ac:dyDescent="0.25"/>
    <row r="29318" hidden="1" x14ac:dyDescent="0.25"/>
    <row r="29319" hidden="1" x14ac:dyDescent="0.25"/>
    <row r="29320" hidden="1" x14ac:dyDescent="0.25"/>
    <row r="29321" hidden="1" x14ac:dyDescent="0.25"/>
    <row r="29322" hidden="1" x14ac:dyDescent="0.25"/>
    <row r="29323" hidden="1" x14ac:dyDescent="0.25"/>
    <row r="29324" hidden="1" x14ac:dyDescent="0.25"/>
    <row r="29325" hidden="1" x14ac:dyDescent="0.25"/>
    <row r="29326" hidden="1" x14ac:dyDescent="0.25"/>
    <row r="29327" hidden="1" x14ac:dyDescent="0.25"/>
    <row r="29328" hidden="1" x14ac:dyDescent="0.25"/>
    <row r="29329" hidden="1" x14ac:dyDescent="0.25"/>
    <row r="29330" hidden="1" x14ac:dyDescent="0.25"/>
    <row r="29331" hidden="1" x14ac:dyDescent="0.25"/>
    <row r="29332" hidden="1" x14ac:dyDescent="0.25"/>
    <row r="29333" hidden="1" x14ac:dyDescent="0.25"/>
    <row r="29334" hidden="1" x14ac:dyDescent="0.25"/>
    <row r="29335" hidden="1" x14ac:dyDescent="0.25"/>
    <row r="29336" hidden="1" x14ac:dyDescent="0.25"/>
    <row r="29337" hidden="1" x14ac:dyDescent="0.25"/>
    <row r="29338" hidden="1" x14ac:dyDescent="0.25"/>
    <row r="29339" hidden="1" x14ac:dyDescent="0.25"/>
    <row r="29340" hidden="1" x14ac:dyDescent="0.25"/>
    <row r="29341" hidden="1" x14ac:dyDescent="0.25"/>
    <row r="29342" hidden="1" x14ac:dyDescent="0.25"/>
    <row r="29343" hidden="1" x14ac:dyDescent="0.25"/>
    <row r="29344" hidden="1" x14ac:dyDescent="0.25"/>
    <row r="29345" hidden="1" x14ac:dyDescent="0.25"/>
    <row r="29346" hidden="1" x14ac:dyDescent="0.25"/>
    <row r="29347" hidden="1" x14ac:dyDescent="0.25"/>
    <row r="29348" hidden="1" x14ac:dyDescent="0.25"/>
    <row r="29349" hidden="1" x14ac:dyDescent="0.25"/>
    <row r="29350" hidden="1" x14ac:dyDescent="0.25"/>
    <row r="29351" hidden="1" x14ac:dyDescent="0.25"/>
    <row r="29352" hidden="1" x14ac:dyDescent="0.25"/>
    <row r="29353" hidden="1" x14ac:dyDescent="0.25"/>
    <row r="29354" hidden="1" x14ac:dyDescent="0.25"/>
    <row r="29355" hidden="1" x14ac:dyDescent="0.25"/>
    <row r="29356" hidden="1" x14ac:dyDescent="0.25"/>
    <row r="29357" hidden="1" x14ac:dyDescent="0.25"/>
    <row r="29358" hidden="1" x14ac:dyDescent="0.25"/>
    <row r="29359" hidden="1" x14ac:dyDescent="0.25"/>
    <row r="29360" hidden="1" x14ac:dyDescent="0.25"/>
    <row r="29361" hidden="1" x14ac:dyDescent="0.25"/>
    <row r="29362" hidden="1" x14ac:dyDescent="0.25"/>
    <row r="29363" hidden="1" x14ac:dyDescent="0.25"/>
    <row r="29364" hidden="1" x14ac:dyDescent="0.25"/>
    <row r="29365" hidden="1" x14ac:dyDescent="0.25"/>
    <row r="29366" hidden="1" x14ac:dyDescent="0.25"/>
    <row r="29367" hidden="1" x14ac:dyDescent="0.25"/>
    <row r="29368" hidden="1" x14ac:dyDescent="0.25"/>
    <row r="29369" hidden="1" x14ac:dyDescent="0.25"/>
    <row r="29370" hidden="1" x14ac:dyDescent="0.25"/>
    <row r="29371" hidden="1" x14ac:dyDescent="0.25"/>
    <row r="29372" hidden="1" x14ac:dyDescent="0.25"/>
    <row r="29373" hidden="1" x14ac:dyDescent="0.25"/>
    <row r="29374" hidden="1" x14ac:dyDescent="0.25"/>
    <row r="29375" hidden="1" x14ac:dyDescent="0.25"/>
    <row r="29376" hidden="1" x14ac:dyDescent="0.25"/>
    <row r="29377" hidden="1" x14ac:dyDescent="0.25"/>
    <row r="29378" hidden="1" x14ac:dyDescent="0.25"/>
    <row r="29379" hidden="1" x14ac:dyDescent="0.25"/>
    <row r="29380" hidden="1" x14ac:dyDescent="0.25"/>
    <row r="29381" hidden="1" x14ac:dyDescent="0.25"/>
    <row r="29382" hidden="1" x14ac:dyDescent="0.25"/>
    <row r="29383" hidden="1" x14ac:dyDescent="0.25"/>
    <row r="29384" hidden="1" x14ac:dyDescent="0.25"/>
    <row r="29385" hidden="1" x14ac:dyDescent="0.25"/>
    <row r="29386" hidden="1" x14ac:dyDescent="0.25"/>
    <row r="29387" hidden="1" x14ac:dyDescent="0.25"/>
    <row r="29388" hidden="1" x14ac:dyDescent="0.25"/>
    <row r="29389" hidden="1" x14ac:dyDescent="0.25"/>
    <row r="29390" hidden="1" x14ac:dyDescent="0.25"/>
    <row r="29391" hidden="1" x14ac:dyDescent="0.25"/>
    <row r="29392" hidden="1" x14ac:dyDescent="0.25"/>
    <row r="29393" hidden="1" x14ac:dyDescent="0.25"/>
    <row r="29394" hidden="1" x14ac:dyDescent="0.25"/>
    <row r="29395" hidden="1" x14ac:dyDescent="0.25"/>
    <row r="29396" hidden="1" x14ac:dyDescent="0.25"/>
    <row r="29397" hidden="1" x14ac:dyDescent="0.25"/>
    <row r="29398" hidden="1" x14ac:dyDescent="0.25"/>
    <row r="29399" hidden="1" x14ac:dyDescent="0.25"/>
    <row r="29400" hidden="1" x14ac:dyDescent="0.25"/>
    <row r="29401" hidden="1" x14ac:dyDescent="0.25"/>
    <row r="29402" hidden="1" x14ac:dyDescent="0.25"/>
    <row r="29403" hidden="1" x14ac:dyDescent="0.25"/>
    <row r="29404" hidden="1" x14ac:dyDescent="0.25"/>
    <row r="29405" hidden="1" x14ac:dyDescent="0.25"/>
    <row r="29406" hidden="1" x14ac:dyDescent="0.25"/>
    <row r="29407" hidden="1" x14ac:dyDescent="0.25"/>
    <row r="29408" hidden="1" x14ac:dyDescent="0.25"/>
    <row r="29409" hidden="1" x14ac:dyDescent="0.25"/>
    <row r="29410" hidden="1" x14ac:dyDescent="0.25"/>
    <row r="29411" hidden="1" x14ac:dyDescent="0.25"/>
    <row r="29412" hidden="1" x14ac:dyDescent="0.25"/>
    <row r="29413" hidden="1" x14ac:dyDescent="0.25"/>
    <row r="29414" hidden="1" x14ac:dyDescent="0.25"/>
    <row r="29415" hidden="1" x14ac:dyDescent="0.25"/>
    <row r="29416" hidden="1" x14ac:dyDescent="0.25"/>
    <row r="29417" hidden="1" x14ac:dyDescent="0.25"/>
    <row r="29418" hidden="1" x14ac:dyDescent="0.25"/>
    <row r="29419" hidden="1" x14ac:dyDescent="0.25"/>
    <row r="29420" hidden="1" x14ac:dyDescent="0.25"/>
    <row r="29421" hidden="1" x14ac:dyDescent="0.25"/>
    <row r="29422" hidden="1" x14ac:dyDescent="0.25"/>
    <row r="29423" hidden="1" x14ac:dyDescent="0.25"/>
    <row r="29424" hidden="1" x14ac:dyDescent="0.25"/>
    <row r="29425" hidden="1" x14ac:dyDescent="0.25"/>
    <row r="29426" hidden="1" x14ac:dyDescent="0.25"/>
    <row r="29427" hidden="1" x14ac:dyDescent="0.25"/>
    <row r="29428" hidden="1" x14ac:dyDescent="0.25"/>
    <row r="29429" hidden="1" x14ac:dyDescent="0.25"/>
    <row r="29430" hidden="1" x14ac:dyDescent="0.25"/>
    <row r="29431" hidden="1" x14ac:dyDescent="0.25"/>
    <row r="29432" hidden="1" x14ac:dyDescent="0.25"/>
    <row r="29433" hidden="1" x14ac:dyDescent="0.25"/>
    <row r="29434" hidden="1" x14ac:dyDescent="0.25"/>
    <row r="29435" hidden="1" x14ac:dyDescent="0.25"/>
    <row r="29436" hidden="1" x14ac:dyDescent="0.25"/>
    <row r="29437" hidden="1" x14ac:dyDescent="0.25"/>
    <row r="29438" hidden="1" x14ac:dyDescent="0.25"/>
    <row r="29439" hidden="1" x14ac:dyDescent="0.25"/>
    <row r="29440" hidden="1" x14ac:dyDescent="0.25"/>
    <row r="29441" hidden="1" x14ac:dyDescent="0.25"/>
    <row r="29442" hidden="1" x14ac:dyDescent="0.25"/>
    <row r="29443" hidden="1" x14ac:dyDescent="0.25"/>
    <row r="29444" hidden="1" x14ac:dyDescent="0.25"/>
    <row r="29445" hidden="1" x14ac:dyDescent="0.25"/>
    <row r="29446" hidden="1" x14ac:dyDescent="0.25"/>
    <row r="29447" hidden="1" x14ac:dyDescent="0.25"/>
    <row r="29448" hidden="1" x14ac:dyDescent="0.25"/>
    <row r="29449" hidden="1" x14ac:dyDescent="0.25"/>
    <row r="29450" hidden="1" x14ac:dyDescent="0.25"/>
    <row r="29451" hidden="1" x14ac:dyDescent="0.25"/>
    <row r="29452" hidden="1" x14ac:dyDescent="0.25"/>
    <row r="29453" hidden="1" x14ac:dyDescent="0.25"/>
    <row r="29454" hidden="1" x14ac:dyDescent="0.25"/>
    <row r="29455" hidden="1" x14ac:dyDescent="0.25"/>
    <row r="29456" hidden="1" x14ac:dyDescent="0.25"/>
    <row r="29457" hidden="1" x14ac:dyDescent="0.25"/>
    <row r="29458" hidden="1" x14ac:dyDescent="0.25"/>
    <row r="29459" hidden="1" x14ac:dyDescent="0.25"/>
    <row r="29460" hidden="1" x14ac:dyDescent="0.25"/>
    <row r="29461" hidden="1" x14ac:dyDescent="0.25"/>
    <row r="29462" hidden="1" x14ac:dyDescent="0.25"/>
    <row r="29463" hidden="1" x14ac:dyDescent="0.25"/>
    <row r="29464" hidden="1" x14ac:dyDescent="0.25"/>
    <row r="29465" hidden="1" x14ac:dyDescent="0.25"/>
    <row r="29466" hidden="1" x14ac:dyDescent="0.25"/>
    <row r="29467" hidden="1" x14ac:dyDescent="0.25"/>
    <row r="29468" hidden="1" x14ac:dyDescent="0.25"/>
    <row r="29469" hidden="1" x14ac:dyDescent="0.25"/>
    <row r="29470" hidden="1" x14ac:dyDescent="0.25"/>
    <row r="29471" hidden="1" x14ac:dyDescent="0.25"/>
    <row r="29472" hidden="1" x14ac:dyDescent="0.25"/>
    <row r="29473" hidden="1" x14ac:dyDescent="0.25"/>
    <row r="29474" hidden="1" x14ac:dyDescent="0.25"/>
    <row r="29475" hidden="1" x14ac:dyDescent="0.25"/>
    <row r="29476" hidden="1" x14ac:dyDescent="0.25"/>
    <row r="29477" hidden="1" x14ac:dyDescent="0.25"/>
    <row r="29478" hidden="1" x14ac:dyDescent="0.25"/>
    <row r="29479" hidden="1" x14ac:dyDescent="0.25"/>
    <row r="29480" hidden="1" x14ac:dyDescent="0.25"/>
    <row r="29481" hidden="1" x14ac:dyDescent="0.25"/>
    <row r="29482" hidden="1" x14ac:dyDescent="0.25"/>
    <row r="29483" hidden="1" x14ac:dyDescent="0.25"/>
    <row r="29484" hidden="1" x14ac:dyDescent="0.25"/>
    <row r="29485" hidden="1" x14ac:dyDescent="0.25"/>
    <row r="29486" hidden="1" x14ac:dyDescent="0.25"/>
    <row r="29487" hidden="1" x14ac:dyDescent="0.25"/>
    <row r="29488" hidden="1" x14ac:dyDescent="0.25"/>
    <row r="29489" hidden="1" x14ac:dyDescent="0.25"/>
    <row r="29490" hidden="1" x14ac:dyDescent="0.25"/>
    <row r="29491" hidden="1" x14ac:dyDescent="0.25"/>
    <row r="29492" hidden="1" x14ac:dyDescent="0.25"/>
    <row r="29493" hidden="1" x14ac:dyDescent="0.25"/>
    <row r="29494" hidden="1" x14ac:dyDescent="0.25"/>
    <row r="29495" hidden="1" x14ac:dyDescent="0.25"/>
    <row r="29496" hidden="1" x14ac:dyDescent="0.25"/>
    <row r="29497" hidden="1" x14ac:dyDescent="0.25"/>
    <row r="29498" hidden="1" x14ac:dyDescent="0.25"/>
    <row r="29499" hidden="1" x14ac:dyDescent="0.25"/>
    <row r="29500" hidden="1" x14ac:dyDescent="0.25"/>
    <row r="29501" hidden="1" x14ac:dyDescent="0.25"/>
    <row r="29502" hidden="1" x14ac:dyDescent="0.25"/>
    <row r="29503" hidden="1" x14ac:dyDescent="0.25"/>
    <row r="29504" hidden="1" x14ac:dyDescent="0.25"/>
    <row r="29505" hidden="1" x14ac:dyDescent="0.25"/>
    <row r="29506" hidden="1" x14ac:dyDescent="0.25"/>
    <row r="29507" hidden="1" x14ac:dyDescent="0.25"/>
    <row r="29508" hidden="1" x14ac:dyDescent="0.25"/>
    <row r="29509" hidden="1" x14ac:dyDescent="0.25"/>
    <row r="29510" hidden="1" x14ac:dyDescent="0.25"/>
    <row r="29511" hidden="1" x14ac:dyDescent="0.25"/>
    <row r="29512" hidden="1" x14ac:dyDescent="0.25"/>
    <row r="29513" hidden="1" x14ac:dyDescent="0.25"/>
    <row r="29514" hidden="1" x14ac:dyDescent="0.25"/>
    <row r="29515" hidden="1" x14ac:dyDescent="0.25"/>
    <row r="29516" hidden="1" x14ac:dyDescent="0.25"/>
    <row r="29517" hidden="1" x14ac:dyDescent="0.25"/>
    <row r="29518" hidden="1" x14ac:dyDescent="0.25"/>
    <row r="29519" hidden="1" x14ac:dyDescent="0.25"/>
    <row r="29520" hidden="1" x14ac:dyDescent="0.25"/>
    <row r="29521" hidden="1" x14ac:dyDescent="0.25"/>
    <row r="29522" hidden="1" x14ac:dyDescent="0.25"/>
    <row r="29523" hidden="1" x14ac:dyDescent="0.25"/>
    <row r="29524" hidden="1" x14ac:dyDescent="0.25"/>
    <row r="29525" hidden="1" x14ac:dyDescent="0.25"/>
    <row r="29526" hidden="1" x14ac:dyDescent="0.25"/>
    <row r="29527" hidden="1" x14ac:dyDescent="0.25"/>
    <row r="29528" hidden="1" x14ac:dyDescent="0.25"/>
    <row r="29529" hidden="1" x14ac:dyDescent="0.25"/>
    <row r="29530" hidden="1" x14ac:dyDescent="0.25"/>
    <row r="29531" hidden="1" x14ac:dyDescent="0.25"/>
    <row r="29532" hidden="1" x14ac:dyDescent="0.25"/>
    <row r="29533" hidden="1" x14ac:dyDescent="0.25"/>
    <row r="29534" hidden="1" x14ac:dyDescent="0.25"/>
    <row r="29535" hidden="1" x14ac:dyDescent="0.25"/>
    <row r="29536" hidden="1" x14ac:dyDescent="0.25"/>
    <row r="29537" hidden="1" x14ac:dyDescent="0.25"/>
    <row r="29538" hidden="1" x14ac:dyDescent="0.25"/>
    <row r="29539" hidden="1" x14ac:dyDescent="0.25"/>
    <row r="29540" hidden="1" x14ac:dyDescent="0.25"/>
    <row r="29541" hidden="1" x14ac:dyDescent="0.25"/>
    <row r="29542" hidden="1" x14ac:dyDescent="0.25"/>
    <row r="29543" hidden="1" x14ac:dyDescent="0.25"/>
    <row r="29544" hidden="1" x14ac:dyDescent="0.25"/>
    <row r="29545" hidden="1" x14ac:dyDescent="0.25"/>
    <row r="29546" hidden="1" x14ac:dyDescent="0.25"/>
    <row r="29547" hidden="1" x14ac:dyDescent="0.25"/>
    <row r="29548" hidden="1" x14ac:dyDescent="0.25"/>
    <row r="29549" hidden="1" x14ac:dyDescent="0.25"/>
    <row r="29550" hidden="1" x14ac:dyDescent="0.25"/>
    <row r="29551" hidden="1" x14ac:dyDescent="0.25"/>
    <row r="29552" hidden="1" x14ac:dyDescent="0.25"/>
    <row r="29553" hidden="1" x14ac:dyDescent="0.25"/>
    <row r="29554" hidden="1" x14ac:dyDescent="0.25"/>
    <row r="29555" hidden="1" x14ac:dyDescent="0.25"/>
    <row r="29556" hidden="1" x14ac:dyDescent="0.25"/>
    <row r="29557" hidden="1" x14ac:dyDescent="0.25"/>
    <row r="29558" hidden="1" x14ac:dyDescent="0.25"/>
    <row r="29559" hidden="1" x14ac:dyDescent="0.25"/>
    <row r="29560" hidden="1" x14ac:dyDescent="0.25"/>
    <row r="29561" hidden="1" x14ac:dyDescent="0.25"/>
    <row r="29562" hidden="1" x14ac:dyDescent="0.25"/>
    <row r="29563" hidden="1" x14ac:dyDescent="0.25"/>
    <row r="29564" hidden="1" x14ac:dyDescent="0.25"/>
    <row r="29565" hidden="1" x14ac:dyDescent="0.25"/>
    <row r="29566" hidden="1" x14ac:dyDescent="0.25"/>
    <row r="29567" hidden="1" x14ac:dyDescent="0.25"/>
    <row r="29568" hidden="1" x14ac:dyDescent="0.25"/>
    <row r="29569" hidden="1" x14ac:dyDescent="0.25"/>
    <row r="29570" hidden="1" x14ac:dyDescent="0.25"/>
    <row r="29571" hidden="1" x14ac:dyDescent="0.25"/>
    <row r="29572" hidden="1" x14ac:dyDescent="0.25"/>
    <row r="29573" hidden="1" x14ac:dyDescent="0.25"/>
    <row r="29574" hidden="1" x14ac:dyDescent="0.25"/>
    <row r="29575" hidden="1" x14ac:dyDescent="0.25"/>
    <row r="29576" hidden="1" x14ac:dyDescent="0.25"/>
    <row r="29577" hidden="1" x14ac:dyDescent="0.25"/>
    <row r="29578" hidden="1" x14ac:dyDescent="0.25"/>
    <row r="29579" hidden="1" x14ac:dyDescent="0.25"/>
    <row r="29580" hidden="1" x14ac:dyDescent="0.25"/>
    <row r="29581" hidden="1" x14ac:dyDescent="0.25"/>
    <row r="29582" hidden="1" x14ac:dyDescent="0.25"/>
    <row r="29583" hidden="1" x14ac:dyDescent="0.25"/>
    <row r="29584" hidden="1" x14ac:dyDescent="0.25"/>
    <row r="29585" hidden="1" x14ac:dyDescent="0.25"/>
    <row r="29586" hidden="1" x14ac:dyDescent="0.25"/>
    <row r="29587" hidden="1" x14ac:dyDescent="0.25"/>
    <row r="29588" hidden="1" x14ac:dyDescent="0.25"/>
    <row r="29589" hidden="1" x14ac:dyDescent="0.25"/>
    <row r="29590" hidden="1" x14ac:dyDescent="0.25"/>
    <row r="29591" hidden="1" x14ac:dyDescent="0.25"/>
    <row r="29592" hidden="1" x14ac:dyDescent="0.25"/>
    <row r="29593" hidden="1" x14ac:dyDescent="0.25"/>
    <row r="29594" hidden="1" x14ac:dyDescent="0.25"/>
    <row r="29595" hidden="1" x14ac:dyDescent="0.25"/>
    <row r="29596" hidden="1" x14ac:dyDescent="0.25"/>
    <row r="29597" hidden="1" x14ac:dyDescent="0.25"/>
    <row r="29598" hidden="1" x14ac:dyDescent="0.25"/>
    <row r="29599" hidden="1" x14ac:dyDescent="0.25"/>
    <row r="29600" hidden="1" x14ac:dyDescent="0.25"/>
    <row r="29601" hidden="1" x14ac:dyDescent="0.25"/>
    <row r="29602" hidden="1" x14ac:dyDescent="0.25"/>
    <row r="29603" hidden="1" x14ac:dyDescent="0.25"/>
    <row r="29604" hidden="1" x14ac:dyDescent="0.25"/>
    <row r="29605" hidden="1" x14ac:dyDescent="0.25"/>
    <row r="29606" hidden="1" x14ac:dyDescent="0.25"/>
    <row r="29607" hidden="1" x14ac:dyDescent="0.25"/>
    <row r="29608" hidden="1" x14ac:dyDescent="0.25"/>
    <row r="29609" hidden="1" x14ac:dyDescent="0.25"/>
    <row r="29610" hidden="1" x14ac:dyDescent="0.25"/>
    <row r="29611" hidden="1" x14ac:dyDescent="0.25"/>
    <row r="29612" hidden="1" x14ac:dyDescent="0.25"/>
    <row r="29613" hidden="1" x14ac:dyDescent="0.25"/>
    <row r="29614" hidden="1" x14ac:dyDescent="0.25"/>
    <row r="29615" hidden="1" x14ac:dyDescent="0.25"/>
    <row r="29616" hidden="1" x14ac:dyDescent="0.25"/>
    <row r="29617" hidden="1" x14ac:dyDescent="0.25"/>
    <row r="29618" hidden="1" x14ac:dyDescent="0.25"/>
    <row r="29619" hidden="1" x14ac:dyDescent="0.25"/>
    <row r="29620" hidden="1" x14ac:dyDescent="0.25"/>
    <row r="29621" hidden="1" x14ac:dyDescent="0.25"/>
    <row r="29622" hidden="1" x14ac:dyDescent="0.25"/>
    <row r="29623" hidden="1" x14ac:dyDescent="0.25"/>
    <row r="29624" hidden="1" x14ac:dyDescent="0.25"/>
    <row r="29625" hidden="1" x14ac:dyDescent="0.25"/>
    <row r="29626" hidden="1" x14ac:dyDescent="0.25"/>
    <row r="29627" hidden="1" x14ac:dyDescent="0.25"/>
    <row r="29628" hidden="1" x14ac:dyDescent="0.25"/>
    <row r="29629" hidden="1" x14ac:dyDescent="0.25"/>
    <row r="29630" hidden="1" x14ac:dyDescent="0.25"/>
    <row r="29631" hidden="1" x14ac:dyDescent="0.25"/>
    <row r="29632" hidden="1" x14ac:dyDescent="0.25"/>
    <row r="29633" hidden="1" x14ac:dyDescent="0.25"/>
    <row r="29634" hidden="1" x14ac:dyDescent="0.25"/>
    <row r="29635" hidden="1" x14ac:dyDescent="0.25"/>
    <row r="29636" hidden="1" x14ac:dyDescent="0.25"/>
    <row r="29637" hidden="1" x14ac:dyDescent="0.25"/>
    <row r="29638" hidden="1" x14ac:dyDescent="0.25"/>
    <row r="29639" hidden="1" x14ac:dyDescent="0.25"/>
    <row r="29640" hidden="1" x14ac:dyDescent="0.25"/>
    <row r="29641" hidden="1" x14ac:dyDescent="0.25"/>
    <row r="29642" hidden="1" x14ac:dyDescent="0.25"/>
    <row r="29643" hidden="1" x14ac:dyDescent="0.25"/>
    <row r="29644" hidden="1" x14ac:dyDescent="0.25"/>
    <row r="29645" hidden="1" x14ac:dyDescent="0.25"/>
    <row r="29646" hidden="1" x14ac:dyDescent="0.25"/>
    <row r="29647" hidden="1" x14ac:dyDescent="0.25"/>
    <row r="29648" hidden="1" x14ac:dyDescent="0.25"/>
    <row r="29649" hidden="1" x14ac:dyDescent="0.25"/>
    <row r="29650" hidden="1" x14ac:dyDescent="0.25"/>
    <row r="29651" hidden="1" x14ac:dyDescent="0.25"/>
    <row r="29652" hidden="1" x14ac:dyDescent="0.25"/>
    <row r="29653" hidden="1" x14ac:dyDescent="0.25"/>
    <row r="29654" hidden="1" x14ac:dyDescent="0.25"/>
    <row r="29655" hidden="1" x14ac:dyDescent="0.25"/>
    <row r="29656" hidden="1" x14ac:dyDescent="0.25"/>
    <row r="29657" hidden="1" x14ac:dyDescent="0.25"/>
    <row r="29658" hidden="1" x14ac:dyDescent="0.25"/>
    <row r="29659" hidden="1" x14ac:dyDescent="0.25"/>
    <row r="29660" hidden="1" x14ac:dyDescent="0.25"/>
    <row r="29661" hidden="1" x14ac:dyDescent="0.25"/>
    <row r="29662" hidden="1" x14ac:dyDescent="0.25"/>
    <row r="29663" hidden="1" x14ac:dyDescent="0.25"/>
    <row r="29664" hidden="1" x14ac:dyDescent="0.25"/>
    <row r="29665" hidden="1" x14ac:dyDescent="0.25"/>
    <row r="29666" hidden="1" x14ac:dyDescent="0.25"/>
    <row r="29667" hidden="1" x14ac:dyDescent="0.25"/>
    <row r="29668" hidden="1" x14ac:dyDescent="0.25"/>
    <row r="29669" hidden="1" x14ac:dyDescent="0.25"/>
    <row r="29670" hidden="1" x14ac:dyDescent="0.25"/>
    <row r="29671" hidden="1" x14ac:dyDescent="0.25"/>
    <row r="29672" hidden="1" x14ac:dyDescent="0.25"/>
    <row r="29673" hidden="1" x14ac:dyDescent="0.25"/>
    <row r="29674" hidden="1" x14ac:dyDescent="0.25"/>
    <row r="29675" hidden="1" x14ac:dyDescent="0.25"/>
    <row r="29676" hidden="1" x14ac:dyDescent="0.25"/>
    <row r="29677" hidden="1" x14ac:dyDescent="0.25"/>
    <row r="29678" hidden="1" x14ac:dyDescent="0.25"/>
    <row r="29679" hidden="1" x14ac:dyDescent="0.25"/>
    <row r="29680" hidden="1" x14ac:dyDescent="0.25"/>
    <row r="29681" hidden="1" x14ac:dyDescent="0.25"/>
    <row r="29682" hidden="1" x14ac:dyDescent="0.25"/>
    <row r="29683" hidden="1" x14ac:dyDescent="0.25"/>
    <row r="29684" hidden="1" x14ac:dyDescent="0.25"/>
    <row r="29685" hidden="1" x14ac:dyDescent="0.25"/>
    <row r="29686" hidden="1" x14ac:dyDescent="0.25"/>
    <row r="29687" hidden="1" x14ac:dyDescent="0.25"/>
    <row r="29688" hidden="1" x14ac:dyDescent="0.25"/>
    <row r="29689" hidden="1" x14ac:dyDescent="0.25"/>
    <row r="29690" hidden="1" x14ac:dyDescent="0.25"/>
    <row r="29691" hidden="1" x14ac:dyDescent="0.25"/>
    <row r="29692" hidden="1" x14ac:dyDescent="0.25"/>
    <row r="29693" hidden="1" x14ac:dyDescent="0.25"/>
    <row r="29694" hidden="1" x14ac:dyDescent="0.25"/>
    <row r="29695" hidden="1" x14ac:dyDescent="0.25"/>
    <row r="29696" hidden="1" x14ac:dyDescent="0.25"/>
    <row r="29697" hidden="1" x14ac:dyDescent="0.25"/>
    <row r="29698" hidden="1" x14ac:dyDescent="0.25"/>
    <row r="29699" hidden="1" x14ac:dyDescent="0.25"/>
    <row r="29700" hidden="1" x14ac:dyDescent="0.25"/>
    <row r="29701" hidden="1" x14ac:dyDescent="0.25"/>
    <row r="29702" hidden="1" x14ac:dyDescent="0.25"/>
    <row r="29703" hidden="1" x14ac:dyDescent="0.25"/>
    <row r="29704" hidden="1" x14ac:dyDescent="0.25"/>
    <row r="29705" hidden="1" x14ac:dyDescent="0.25"/>
    <row r="29706" hidden="1" x14ac:dyDescent="0.25"/>
    <row r="29707" hidden="1" x14ac:dyDescent="0.25"/>
    <row r="29708" hidden="1" x14ac:dyDescent="0.25"/>
    <row r="29709" hidden="1" x14ac:dyDescent="0.25"/>
    <row r="29710" hidden="1" x14ac:dyDescent="0.25"/>
    <row r="29711" hidden="1" x14ac:dyDescent="0.25"/>
    <row r="29712" hidden="1" x14ac:dyDescent="0.25"/>
    <row r="29713" hidden="1" x14ac:dyDescent="0.25"/>
    <row r="29714" hidden="1" x14ac:dyDescent="0.25"/>
    <row r="29715" hidden="1" x14ac:dyDescent="0.25"/>
    <row r="29716" hidden="1" x14ac:dyDescent="0.25"/>
    <row r="29717" hidden="1" x14ac:dyDescent="0.25"/>
    <row r="29718" hidden="1" x14ac:dyDescent="0.25"/>
    <row r="29719" hidden="1" x14ac:dyDescent="0.25"/>
    <row r="29720" hidden="1" x14ac:dyDescent="0.25"/>
    <row r="29721" hidden="1" x14ac:dyDescent="0.25"/>
    <row r="29722" hidden="1" x14ac:dyDescent="0.25"/>
    <row r="29723" hidden="1" x14ac:dyDescent="0.25"/>
    <row r="29724" hidden="1" x14ac:dyDescent="0.25"/>
    <row r="29725" hidden="1" x14ac:dyDescent="0.25"/>
    <row r="29726" hidden="1" x14ac:dyDescent="0.25"/>
    <row r="29727" hidden="1" x14ac:dyDescent="0.25"/>
    <row r="29728" hidden="1" x14ac:dyDescent="0.25"/>
    <row r="29729" hidden="1" x14ac:dyDescent="0.25"/>
    <row r="29730" hidden="1" x14ac:dyDescent="0.25"/>
    <row r="29731" hidden="1" x14ac:dyDescent="0.25"/>
    <row r="29732" hidden="1" x14ac:dyDescent="0.25"/>
    <row r="29733" hidden="1" x14ac:dyDescent="0.25"/>
    <row r="29734" hidden="1" x14ac:dyDescent="0.25"/>
    <row r="29735" hidden="1" x14ac:dyDescent="0.25"/>
    <row r="29736" hidden="1" x14ac:dyDescent="0.25"/>
    <row r="29737" hidden="1" x14ac:dyDescent="0.25"/>
    <row r="29738" hidden="1" x14ac:dyDescent="0.25"/>
    <row r="29739" hidden="1" x14ac:dyDescent="0.25"/>
    <row r="29740" hidden="1" x14ac:dyDescent="0.25"/>
    <row r="29741" hidden="1" x14ac:dyDescent="0.25"/>
    <row r="29742" hidden="1" x14ac:dyDescent="0.25"/>
    <row r="29743" hidden="1" x14ac:dyDescent="0.25"/>
    <row r="29744" hidden="1" x14ac:dyDescent="0.25"/>
    <row r="29745" hidden="1" x14ac:dyDescent="0.25"/>
    <row r="29746" hidden="1" x14ac:dyDescent="0.25"/>
    <row r="29747" hidden="1" x14ac:dyDescent="0.25"/>
    <row r="29748" hidden="1" x14ac:dyDescent="0.25"/>
    <row r="29749" hidden="1" x14ac:dyDescent="0.25"/>
    <row r="29750" hidden="1" x14ac:dyDescent="0.25"/>
    <row r="29751" hidden="1" x14ac:dyDescent="0.25"/>
    <row r="29752" hidden="1" x14ac:dyDescent="0.25"/>
    <row r="29753" hidden="1" x14ac:dyDescent="0.25"/>
    <row r="29754" hidden="1" x14ac:dyDescent="0.25"/>
    <row r="29755" hidden="1" x14ac:dyDescent="0.25"/>
    <row r="29756" hidden="1" x14ac:dyDescent="0.25"/>
    <row r="29757" hidden="1" x14ac:dyDescent="0.25"/>
    <row r="29758" hidden="1" x14ac:dyDescent="0.25"/>
    <row r="29759" hidden="1" x14ac:dyDescent="0.25"/>
    <row r="29760" hidden="1" x14ac:dyDescent="0.25"/>
    <row r="29761" hidden="1" x14ac:dyDescent="0.25"/>
    <row r="29762" hidden="1" x14ac:dyDescent="0.25"/>
    <row r="29763" hidden="1" x14ac:dyDescent="0.25"/>
    <row r="29764" hidden="1" x14ac:dyDescent="0.25"/>
    <row r="29765" hidden="1" x14ac:dyDescent="0.25"/>
    <row r="29766" hidden="1" x14ac:dyDescent="0.25"/>
    <row r="29767" hidden="1" x14ac:dyDescent="0.25"/>
    <row r="29768" hidden="1" x14ac:dyDescent="0.25"/>
    <row r="29769" hidden="1" x14ac:dyDescent="0.25"/>
    <row r="29770" hidden="1" x14ac:dyDescent="0.25"/>
    <row r="29771" hidden="1" x14ac:dyDescent="0.25"/>
    <row r="29772" hidden="1" x14ac:dyDescent="0.25"/>
    <row r="29773" hidden="1" x14ac:dyDescent="0.25"/>
    <row r="29774" hidden="1" x14ac:dyDescent="0.25"/>
    <row r="29775" hidden="1" x14ac:dyDescent="0.25"/>
    <row r="29776" hidden="1" x14ac:dyDescent="0.25"/>
    <row r="29777" hidden="1" x14ac:dyDescent="0.25"/>
    <row r="29778" hidden="1" x14ac:dyDescent="0.25"/>
    <row r="29779" hidden="1" x14ac:dyDescent="0.25"/>
    <row r="29780" hidden="1" x14ac:dyDescent="0.25"/>
    <row r="29781" hidden="1" x14ac:dyDescent="0.25"/>
    <row r="29782" hidden="1" x14ac:dyDescent="0.25"/>
    <row r="29783" hidden="1" x14ac:dyDescent="0.25"/>
    <row r="29784" hidden="1" x14ac:dyDescent="0.25"/>
    <row r="29785" hidden="1" x14ac:dyDescent="0.25"/>
    <row r="29786" hidden="1" x14ac:dyDescent="0.25"/>
    <row r="29787" hidden="1" x14ac:dyDescent="0.25"/>
    <row r="29788" hidden="1" x14ac:dyDescent="0.25"/>
    <row r="29789" hidden="1" x14ac:dyDescent="0.25"/>
    <row r="29790" hidden="1" x14ac:dyDescent="0.25"/>
    <row r="29791" hidden="1" x14ac:dyDescent="0.25"/>
    <row r="29792" hidden="1" x14ac:dyDescent="0.25"/>
    <row r="29793" hidden="1" x14ac:dyDescent="0.25"/>
    <row r="29794" hidden="1" x14ac:dyDescent="0.25"/>
    <row r="29795" hidden="1" x14ac:dyDescent="0.25"/>
    <row r="29796" hidden="1" x14ac:dyDescent="0.25"/>
    <row r="29797" hidden="1" x14ac:dyDescent="0.25"/>
    <row r="29798" hidden="1" x14ac:dyDescent="0.25"/>
    <row r="29799" hidden="1" x14ac:dyDescent="0.25"/>
    <row r="29800" hidden="1" x14ac:dyDescent="0.25"/>
    <row r="29801" hidden="1" x14ac:dyDescent="0.25"/>
    <row r="29802" hidden="1" x14ac:dyDescent="0.25"/>
    <row r="29803" hidden="1" x14ac:dyDescent="0.25"/>
    <row r="29804" hidden="1" x14ac:dyDescent="0.25"/>
    <row r="29805" hidden="1" x14ac:dyDescent="0.25"/>
    <row r="29806" hidden="1" x14ac:dyDescent="0.25"/>
    <row r="29807" hidden="1" x14ac:dyDescent="0.25"/>
    <row r="29808" hidden="1" x14ac:dyDescent="0.25"/>
    <row r="29809" hidden="1" x14ac:dyDescent="0.25"/>
    <row r="29810" hidden="1" x14ac:dyDescent="0.25"/>
    <row r="29811" hidden="1" x14ac:dyDescent="0.25"/>
    <row r="29812" hidden="1" x14ac:dyDescent="0.25"/>
    <row r="29813" hidden="1" x14ac:dyDescent="0.25"/>
    <row r="29814" hidden="1" x14ac:dyDescent="0.25"/>
    <row r="29815" hidden="1" x14ac:dyDescent="0.25"/>
    <row r="29816" hidden="1" x14ac:dyDescent="0.25"/>
    <row r="29817" hidden="1" x14ac:dyDescent="0.25"/>
    <row r="29818" hidden="1" x14ac:dyDescent="0.25"/>
    <row r="29819" hidden="1" x14ac:dyDescent="0.25"/>
    <row r="29820" hidden="1" x14ac:dyDescent="0.25"/>
    <row r="29821" hidden="1" x14ac:dyDescent="0.25"/>
    <row r="29822" hidden="1" x14ac:dyDescent="0.25"/>
    <row r="29823" hidden="1" x14ac:dyDescent="0.25"/>
    <row r="29824" hidden="1" x14ac:dyDescent="0.25"/>
    <row r="29825" hidden="1" x14ac:dyDescent="0.25"/>
    <row r="29826" hidden="1" x14ac:dyDescent="0.25"/>
    <row r="29827" hidden="1" x14ac:dyDescent="0.25"/>
    <row r="29828" hidden="1" x14ac:dyDescent="0.25"/>
    <row r="29829" hidden="1" x14ac:dyDescent="0.25"/>
    <row r="29830" hidden="1" x14ac:dyDescent="0.25"/>
    <row r="29831" hidden="1" x14ac:dyDescent="0.25"/>
    <row r="29832" hidden="1" x14ac:dyDescent="0.25"/>
    <row r="29833" hidden="1" x14ac:dyDescent="0.25"/>
    <row r="29834" hidden="1" x14ac:dyDescent="0.25"/>
    <row r="29835" hidden="1" x14ac:dyDescent="0.25"/>
    <row r="29836" hidden="1" x14ac:dyDescent="0.25"/>
    <row r="29837" hidden="1" x14ac:dyDescent="0.25"/>
    <row r="29838" hidden="1" x14ac:dyDescent="0.25"/>
    <row r="29839" hidden="1" x14ac:dyDescent="0.25"/>
    <row r="29840" hidden="1" x14ac:dyDescent="0.25"/>
    <row r="29841" hidden="1" x14ac:dyDescent="0.25"/>
    <row r="29842" hidden="1" x14ac:dyDescent="0.25"/>
    <row r="29843" hidden="1" x14ac:dyDescent="0.25"/>
    <row r="29844" hidden="1" x14ac:dyDescent="0.25"/>
    <row r="29845" hidden="1" x14ac:dyDescent="0.25"/>
    <row r="29846" hidden="1" x14ac:dyDescent="0.25"/>
    <row r="29847" hidden="1" x14ac:dyDescent="0.25"/>
    <row r="29848" hidden="1" x14ac:dyDescent="0.25"/>
    <row r="29849" hidden="1" x14ac:dyDescent="0.25"/>
    <row r="29850" hidden="1" x14ac:dyDescent="0.25"/>
    <row r="29851" hidden="1" x14ac:dyDescent="0.25"/>
    <row r="29852" hidden="1" x14ac:dyDescent="0.25"/>
    <row r="29853" hidden="1" x14ac:dyDescent="0.25"/>
    <row r="29854" hidden="1" x14ac:dyDescent="0.25"/>
    <row r="29855" hidden="1" x14ac:dyDescent="0.25"/>
    <row r="29856" hidden="1" x14ac:dyDescent="0.25"/>
    <row r="29857" hidden="1" x14ac:dyDescent="0.25"/>
    <row r="29858" hidden="1" x14ac:dyDescent="0.25"/>
    <row r="29859" hidden="1" x14ac:dyDescent="0.25"/>
    <row r="29860" hidden="1" x14ac:dyDescent="0.25"/>
    <row r="29861" hidden="1" x14ac:dyDescent="0.25"/>
    <row r="29862" hidden="1" x14ac:dyDescent="0.25"/>
    <row r="29863" hidden="1" x14ac:dyDescent="0.25"/>
    <row r="29864" hidden="1" x14ac:dyDescent="0.25"/>
    <row r="29865" hidden="1" x14ac:dyDescent="0.25"/>
    <row r="29866" hidden="1" x14ac:dyDescent="0.25"/>
    <row r="29867" hidden="1" x14ac:dyDescent="0.25"/>
    <row r="29868" hidden="1" x14ac:dyDescent="0.25"/>
    <row r="29869" hidden="1" x14ac:dyDescent="0.25"/>
    <row r="29870" hidden="1" x14ac:dyDescent="0.25"/>
    <row r="29871" hidden="1" x14ac:dyDescent="0.25"/>
    <row r="29872" hidden="1" x14ac:dyDescent="0.25"/>
    <row r="29873" hidden="1" x14ac:dyDescent="0.25"/>
    <row r="29874" hidden="1" x14ac:dyDescent="0.25"/>
    <row r="29875" hidden="1" x14ac:dyDescent="0.25"/>
    <row r="29876" hidden="1" x14ac:dyDescent="0.25"/>
    <row r="29877" hidden="1" x14ac:dyDescent="0.25"/>
    <row r="29878" hidden="1" x14ac:dyDescent="0.25"/>
    <row r="29879" hidden="1" x14ac:dyDescent="0.25"/>
    <row r="29880" hidden="1" x14ac:dyDescent="0.25"/>
    <row r="29881" hidden="1" x14ac:dyDescent="0.25"/>
    <row r="29882" hidden="1" x14ac:dyDescent="0.25"/>
    <row r="29883" hidden="1" x14ac:dyDescent="0.25"/>
    <row r="29884" hidden="1" x14ac:dyDescent="0.25"/>
    <row r="29885" hidden="1" x14ac:dyDescent="0.25"/>
    <row r="29886" hidden="1" x14ac:dyDescent="0.25"/>
    <row r="29887" hidden="1" x14ac:dyDescent="0.25"/>
    <row r="29888" hidden="1" x14ac:dyDescent="0.25"/>
    <row r="29889" hidden="1" x14ac:dyDescent="0.25"/>
    <row r="29890" hidden="1" x14ac:dyDescent="0.25"/>
    <row r="29891" hidden="1" x14ac:dyDescent="0.25"/>
    <row r="29892" hidden="1" x14ac:dyDescent="0.25"/>
    <row r="29893" hidden="1" x14ac:dyDescent="0.25"/>
    <row r="29894" hidden="1" x14ac:dyDescent="0.25"/>
    <row r="29895" hidden="1" x14ac:dyDescent="0.25"/>
    <row r="29896" hidden="1" x14ac:dyDescent="0.25"/>
    <row r="29897" hidden="1" x14ac:dyDescent="0.25"/>
    <row r="29898" hidden="1" x14ac:dyDescent="0.25"/>
    <row r="29899" hidden="1" x14ac:dyDescent="0.25"/>
    <row r="29900" hidden="1" x14ac:dyDescent="0.25"/>
    <row r="29901" hidden="1" x14ac:dyDescent="0.25"/>
    <row r="29902" hidden="1" x14ac:dyDescent="0.25"/>
    <row r="29903" hidden="1" x14ac:dyDescent="0.25"/>
    <row r="29904" hidden="1" x14ac:dyDescent="0.25"/>
    <row r="29905" hidden="1" x14ac:dyDescent="0.25"/>
    <row r="29906" hidden="1" x14ac:dyDescent="0.25"/>
    <row r="29907" hidden="1" x14ac:dyDescent="0.25"/>
    <row r="29908" hidden="1" x14ac:dyDescent="0.25"/>
    <row r="29909" hidden="1" x14ac:dyDescent="0.25"/>
    <row r="29910" hidden="1" x14ac:dyDescent="0.25"/>
    <row r="29911" hidden="1" x14ac:dyDescent="0.25"/>
    <row r="29912" hidden="1" x14ac:dyDescent="0.25"/>
    <row r="29913" hidden="1" x14ac:dyDescent="0.25"/>
    <row r="29914" hidden="1" x14ac:dyDescent="0.25"/>
    <row r="29915" hidden="1" x14ac:dyDescent="0.25"/>
    <row r="29916" hidden="1" x14ac:dyDescent="0.25"/>
    <row r="29917" hidden="1" x14ac:dyDescent="0.25"/>
    <row r="29918" hidden="1" x14ac:dyDescent="0.25"/>
    <row r="29919" hidden="1" x14ac:dyDescent="0.25"/>
    <row r="29920" hidden="1" x14ac:dyDescent="0.25"/>
    <row r="29921" hidden="1" x14ac:dyDescent="0.25"/>
    <row r="29922" hidden="1" x14ac:dyDescent="0.25"/>
    <row r="29923" hidden="1" x14ac:dyDescent="0.25"/>
    <row r="29924" hidden="1" x14ac:dyDescent="0.25"/>
    <row r="29925" hidden="1" x14ac:dyDescent="0.25"/>
    <row r="29926" hidden="1" x14ac:dyDescent="0.25"/>
    <row r="29927" hidden="1" x14ac:dyDescent="0.25"/>
    <row r="29928" hidden="1" x14ac:dyDescent="0.25"/>
    <row r="29929" hidden="1" x14ac:dyDescent="0.25"/>
    <row r="29930" hidden="1" x14ac:dyDescent="0.25"/>
    <row r="29931" hidden="1" x14ac:dyDescent="0.25"/>
    <row r="29932" hidden="1" x14ac:dyDescent="0.25"/>
    <row r="29933" hidden="1" x14ac:dyDescent="0.25"/>
    <row r="29934" hidden="1" x14ac:dyDescent="0.25"/>
    <row r="29935" hidden="1" x14ac:dyDescent="0.25"/>
    <row r="29936" hidden="1" x14ac:dyDescent="0.25"/>
    <row r="29937" hidden="1" x14ac:dyDescent="0.25"/>
    <row r="29938" hidden="1" x14ac:dyDescent="0.25"/>
    <row r="29939" hidden="1" x14ac:dyDescent="0.25"/>
    <row r="29940" hidden="1" x14ac:dyDescent="0.25"/>
    <row r="29941" hidden="1" x14ac:dyDescent="0.25"/>
    <row r="29942" hidden="1" x14ac:dyDescent="0.25"/>
    <row r="29943" hidden="1" x14ac:dyDescent="0.25"/>
    <row r="29944" hidden="1" x14ac:dyDescent="0.25"/>
    <row r="29945" hidden="1" x14ac:dyDescent="0.25"/>
    <row r="29946" hidden="1" x14ac:dyDescent="0.25"/>
    <row r="29947" hidden="1" x14ac:dyDescent="0.25"/>
    <row r="29948" hidden="1" x14ac:dyDescent="0.25"/>
    <row r="29949" hidden="1" x14ac:dyDescent="0.25"/>
    <row r="29950" hidden="1" x14ac:dyDescent="0.25"/>
    <row r="29951" hidden="1" x14ac:dyDescent="0.25"/>
    <row r="29952" hidden="1" x14ac:dyDescent="0.25"/>
    <row r="29953" hidden="1" x14ac:dyDescent="0.25"/>
    <row r="29954" hidden="1" x14ac:dyDescent="0.25"/>
    <row r="29955" hidden="1" x14ac:dyDescent="0.25"/>
    <row r="29956" hidden="1" x14ac:dyDescent="0.25"/>
    <row r="29957" hidden="1" x14ac:dyDescent="0.25"/>
    <row r="29958" hidden="1" x14ac:dyDescent="0.25"/>
    <row r="29959" hidden="1" x14ac:dyDescent="0.25"/>
    <row r="29960" hidden="1" x14ac:dyDescent="0.25"/>
    <row r="29961" hidden="1" x14ac:dyDescent="0.25"/>
    <row r="29962" hidden="1" x14ac:dyDescent="0.25"/>
    <row r="29963" hidden="1" x14ac:dyDescent="0.25"/>
    <row r="29964" hidden="1" x14ac:dyDescent="0.25"/>
    <row r="29965" hidden="1" x14ac:dyDescent="0.25"/>
    <row r="29966" hidden="1" x14ac:dyDescent="0.25"/>
    <row r="29967" hidden="1" x14ac:dyDescent="0.25"/>
    <row r="29968" hidden="1" x14ac:dyDescent="0.25"/>
    <row r="29969" hidden="1" x14ac:dyDescent="0.25"/>
    <row r="29970" hidden="1" x14ac:dyDescent="0.25"/>
    <row r="29971" hidden="1" x14ac:dyDescent="0.25"/>
    <row r="29972" hidden="1" x14ac:dyDescent="0.25"/>
    <row r="29973" hidden="1" x14ac:dyDescent="0.25"/>
    <row r="29974" hidden="1" x14ac:dyDescent="0.25"/>
    <row r="29975" hidden="1" x14ac:dyDescent="0.25"/>
    <row r="29976" hidden="1" x14ac:dyDescent="0.25"/>
    <row r="29977" hidden="1" x14ac:dyDescent="0.25"/>
    <row r="29978" hidden="1" x14ac:dyDescent="0.25"/>
    <row r="29979" hidden="1" x14ac:dyDescent="0.25"/>
    <row r="29980" hidden="1" x14ac:dyDescent="0.25"/>
    <row r="29981" hidden="1" x14ac:dyDescent="0.25"/>
    <row r="29982" hidden="1" x14ac:dyDescent="0.25"/>
    <row r="29983" hidden="1" x14ac:dyDescent="0.25"/>
    <row r="29984" hidden="1" x14ac:dyDescent="0.25"/>
    <row r="29985" hidden="1" x14ac:dyDescent="0.25"/>
    <row r="29986" hidden="1" x14ac:dyDescent="0.25"/>
    <row r="29987" hidden="1" x14ac:dyDescent="0.25"/>
    <row r="29988" hidden="1" x14ac:dyDescent="0.25"/>
    <row r="29989" hidden="1" x14ac:dyDescent="0.25"/>
    <row r="29990" hidden="1" x14ac:dyDescent="0.25"/>
    <row r="29991" hidden="1" x14ac:dyDescent="0.25"/>
    <row r="29992" hidden="1" x14ac:dyDescent="0.25"/>
    <row r="29993" hidden="1" x14ac:dyDescent="0.25"/>
    <row r="29994" hidden="1" x14ac:dyDescent="0.25"/>
    <row r="29995" hidden="1" x14ac:dyDescent="0.25"/>
    <row r="29996" hidden="1" x14ac:dyDescent="0.25"/>
    <row r="29997" hidden="1" x14ac:dyDescent="0.25"/>
    <row r="29998" hidden="1" x14ac:dyDescent="0.25"/>
    <row r="29999" hidden="1" x14ac:dyDescent="0.25"/>
    <row r="30000" hidden="1" x14ac:dyDescent="0.25"/>
    <row r="30001" hidden="1" x14ac:dyDescent="0.25"/>
    <row r="30002" hidden="1" x14ac:dyDescent="0.25"/>
    <row r="30003" hidden="1" x14ac:dyDescent="0.25"/>
    <row r="30004" hidden="1" x14ac:dyDescent="0.25"/>
    <row r="30005" hidden="1" x14ac:dyDescent="0.25"/>
    <row r="30006" hidden="1" x14ac:dyDescent="0.25"/>
    <row r="30007" hidden="1" x14ac:dyDescent="0.25"/>
    <row r="30008" hidden="1" x14ac:dyDescent="0.25"/>
    <row r="30009" hidden="1" x14ac:dyDescent="0.25"/>
    <row r="30010" hidden="1" x14ac:dyDescent="0.25"/>
    <row r="30011" hidden="1" x14ac:dyDescent="0.25"/>
    <row r="30012" hidden="1" x14ac:dyDescent="0.25"/>
    <row r="30013" hidden="1" x14ac:dyDescent="0.25"/>
    <row r="30014" hidden="1" x14ac:dyDescent="0.25"/>
    <row r="30015" hidden="1" x14ac:dyDescent="0.25"/>
    <row r="30016" hidden="1" x14ac:dyDescent="0.25"/>
    <row r="30017" hidden="1" x14ac:dyDescent="0.25"/>
    <row r="30018" hidden="1" x14ac:dyDescent="0.25"/>
    <row r="30019" hidden="1" x14ac:dyDescent="0.25"/>
    <row r="30020" hidden="1" x14ac:dyDescent="0.25"/>
    <row r="30021" hidden="1" x14ac:dyDescent="0.25"/>
    <row r="30022" hidden="1" x14ac:dyDescent="0.25"/>
    <row r="30023" hidden="1" x14ac:dyDescent="0.25"/>
    <row r="30024" hidden="1" x14ac:dyDescent="0.25"/>
    <row r="30025" hidden="1" x14ac:dyDescent="0.25"/>
    <row r="30026" hidden="1" x14ac:dyDescent="0.25"/>
    <row r="30027" hidden="1" x14ac:dyDescent="0.25"/>
    <row r="30028" hidden="1" x14ac:dyDescent="0.25"/>
    <row r="30029" hidden="1" x14ac:dyDescent="0.25"/>
    <row r="30030" hidden="1" x14ac:dyDescent="0.25"/>
    <row r="30031" hidden="1" x14ac:dyDescent="0.25"/>
    <row r="30032" hidden="1" x14ac:dyDescent="0.25"/>
    <row r="30033" hidden="1" x14ac:dyDescent="0.25"/>
    <row r="30034" hidden="1" x14ac:dyDescent="0.25"/>
    <row r="30035" hidden="1" x14ac:dyDescent="0.25"/>
    <row r="30036" hidden="1" x14ac:dyDescent="0.25"/>
    <row r="30037" hidden="1" x14ac:dyDescent="0.25"/>
    <row r="30038" hidden="1" x14ac:dyDescent="0.25"/>
    <row r="30039" hidden="1" x14ac:dyDescent="0.25"/>
    <row r="30040" hidden="1" x14ac:dyDescent="0.25"/>
    <row r="30041" hidden="1" x14ac:dyDescent="0.25"/>
    <row r="30042" hidden="1" x14ac:dyDescent="0.25"/>
    <row r="30043" hidden="1" x14ac:dyDescent="0.25"/>
    <row r="30044" hidden="1" x14ac:dyDescent="0.25"/>
    <row r="30045" hidden="1" x14ac:dyDescent="0.25"/>
    <row r="30046" hidden="1" x14ac:dyDescent="0.25"/>
    <row r="30047" hidden="1" x14ac:dyDescent="0.25"/>
    <row r="30048" hidden="1" x14ac:dyDescent="0.25"/>
    <row r="30049" hidden="1" x14ac:dyDescent="0.25"/>
    <row r="30050" hidden="1" x14ac:dyDescent="0.25"/>
    <row r="30051" hidden="1" x14ac:dyDescent="0.25"/>
    <row r="30052" hidden="1" x14ac:dyDescent="0.25"/>
    <row r="30053" hidden="1" x14ac:dyDescent="0.25"/>
    <row r="30054" hidden="1" x14ac:dyDescent="0.25"/>
    <row r="30055" hidden="1" x14ac:dyDescent="0.25"/>
    <row r="30056" hidden="1" x14ac:dyDescent="0.25"/>
    <row r="30057" hidden="1" x14ac:dyDescent="0.25"/>
    <row r="30058" hidden="1" x14ac:dyDescent="0.25"/>
    <row r="30059" hidden="1" x14ac:dyDescent="0.25"/>
    <row r="30060" hidden="1" x14ac:dyDescent="0.25"/>
    <row r="30061" hidden="1" x14ac:dyDescent="0.25"/>
    <row r="30062" hidden="1" x14ac:dyDescent="0.25"/>
    <row r="30063" hidden="1" x14ac:dyDescent="0.25"/>
    <row r="30064" hidden="1" x14ac:dyDescent="0.25"/>
    <row r="30065" hidden="1" x14ac:dyDescent="0.25"/>
    <row r="30066" hidden="1" x14ac:dyDescent="0.25"/>
    <row r="30067" hidden="1" x14ac:dyDescent="0.25"/>
    <row r="30068" hidden="1" x14ac:dyDescent="0.25"/>
    <row r="30069" hidden="1" x14ac:dyDescent="0.25"/>
    <row r="30070" hidden="1" x14ac:dyDescent="0.25"/>
    <row r="30071" hidden="1" x14ac:dyDescent="0.25"/>
    <row r="30072" hidden="1" x14ac:dyDescent="0.25"/>
    <row r="30073" hidden="1" x14ac:dyDescent="0.25"/>
    <row r="30074" hidden="1" x14ac:dyDescent="0.25"/>
    <row r="30075" hidden="1" x14ac:dyDescent="0.25"/>
    <row r="30076" hidden="1" x14ac:dyDescent="0.25"/>
    <row r="30077" hidden="1" x14ac:dyDescent="0.25"/>
    <row r="30078" hidden="1" x14ac:dyDescent="0.25"/>
    <row r="30079" hidden="1" x14ac:dyDescent="0.25"/>
    <row r="30080" hidden="1" x14ac:dyDescent="0.25"/>
    <row r="30081" hidden="1" x14ac:dyDescent="0.25"/>
    <row r="30082" hidden="1" x14ac:dyDescent="0.25"/>
    <row r="30083" hidden="1" x14ac:dyDescent="0.25"/>
    <row r="30084" hidden="1" x14ac:dyDescent="0.25"/>
    <row r="30085" hidden="1" x14ac:dyDescent="0.25"/>
    <row r="30086" hidden="1" x14ac:dyDescent="0.25"/>
    <row r="30087" hidden="1" x14ac:dyDescent="0.25"/>
    <row r="30088" hidden="1" x14ac:dyDescent="0.25"/>
    <row r="30089" hidden="1" x14ac:dyDescent="0.25"/>
    <row r="30090" hidden="1" x14ac:dyDescent="0.25"/>
    <row r="30091" hidden="1" x14ac:dyDescent="0.25"/>
    <row r="30092" hidden="1" x14ac:dyDescent="0.25"/>
    <row r="30093" hidden="1" x14ac:dyDescent="0.25"/>
    <row r="30094" hidden="1" x14ac:dyDescent="0.25"/>
    <row r="30095" hidden="1" x14ac:dyDescent="0.25"/>
    <row r="30096" hidden="1" x14ac:dyDescent="0.25"/>
    <row r="30097" hidden="1" x14ac:dyDescent="0.25"/>
    <row r="30098" hidden="1" x14ac:dyDescent="0.25"/>
    <row r="30099" hidden="1" x14ac:dyDescent="0.25"/>
    <row r="30100" hidden="1" x14ac:dyDescent="0.25"/>
    <row r="30101" hidden="1" x14ac:dyDescent="0.25"/>
    <row r="30102" hidden="1" x14ac:dyDescent="0.25"/>
    <row r="30103" hidden="1" x14ac:dyDescent="0.25"/>
    <row r="30104" hidden="1" x14ac:dyDescent="0.25"/>
    <row r="30105" hidden="1" x14ac:dyDescent="0.25"/>
    <row r="30106" hidden="1" x14ac:dyDescent="0.25"/>
    <row r="30107" hidden="1" x14ac:dyDescent="0.25"/>
    <row r="30108" hidden="1" x14ac:dyDescent="0.25"/>
    <row r="30109" hidden="1" x14ac:dyDescent="0.25"/>
    <row r="30110" hidden="1" x14ac:dyDescent="0.25"/>
    <row r="30111" hidden="1" x14ac:dyDescent="0.25"/>
    <row r="30112" hidden="1" x14ac:dyDescent="0.25"/>
    <row r="30113" hidden="1" x14ac:dyDescent="0.25"/>
    <row r="30114" hidden="1" x14ac:dyDescent="0.25"/>
    <row r="30115" hidden="1" x14ac:dyDescent="0.25"/>
    <row r="30116" hidden="1" x14ac:dyDescent="0.25"/>
    <row r="30117" hidden="1" x14ac:dyDescent="0.25"/>
    <row r="30118" hidden="1" x14ac:dyDescent="0.25"/>
    <row r="30119" hidden="1" x14ac:dyDescent="0.25"/>
    <row r="30120" hidden="1" x14ac:dyDescent="0.25"/>
    <row r="30121" hidden="1" x14ac:dyDescent="0.25"/>
    <row r="30122" hidden="1" x14ac:dyDescent="0.25"/>
    <row r="30123" hidden="1" x14ac:dyDescent="0.25"/>
    <row r="30124" hidden="1" x14ac:dyDescent="0.25"/>
    <row r="30125" hidden="1" x14ac:dyDescent="0.25"/>
    <row r="30126" hidden="1" x14ac:dyDescent="0.25"/>
    <row r="30127" hidden="1" x14ac:dyDescent="0.25"/>
    <row r="30128" hidden="1" x14ac:dyDescent="0.25"/>
    <row r="30129" hidden="1" x14ac:dyDescent="0.25"/>
    <row r="30130" hidden="1" x14ac:dyDescent="0.25"/>
    <row r="30131" hidden="1" x14ac:dyDescent="0.25"/>
    <row r="30132" hidden="1" x14ac:dyDescent="0.25"/>
    <row r="30133" hidden="1" x14ac:dyDescent="0.25"/>
    <row r="30134" hidden="1" x14ac:dyDescent="0.25"/>
    <row r="30135" hidden="1" x14ac:dyDescent="0.25"/>
    <row r="30136" hidden="1" x14ac:dyDescent="0.25"/>
    <row r="30137" hidden="1" x14ac:dyDescent="0.25"/>
    <row r="30138" hidden="1" x14ac:dyDescent="0.25"/>
    <row r="30139" hidden="1" x14ac:dyDescent="0.25"/>
    <row r="30140" hidden="1" x14ac:dyDescent="0.25"/>
    <row r="30141" hidden="1" x14ac:dyDescent="0.25"/>
    <row r="30142" hidden="1" x14ac:dyDescent="0.25"/>
    <row r="30143" hidden="1" x14ac:dyDescent="0.25"/>
    <row r="30144" hidden="1" x14ac:dyDescent="0.25"/>
    <row r="30145" hidden="1" x14ac:dyDescent="0.25"/>
    <row r="30146" hidden="1" x14ac:dyDescent="0.25"/>
    <row r="30147" hidden="1" x14ac:dyDescent="0.25"/>
    <row r="30148" hidden="1" x14ac:dyDescent="0.25"/>
    <row r="30149" hidden="1" x14ac:dyDescent="0.25"/>
    <row r="30150" hidden="1" x14ac:dyDescent="0.25"/>
    <row r="30151" hidden="1" x14ac:dyDescent="0.25"/>
    <row r="30152" hidden="1" x14ac:dyDescent="0.25"/>
    <row r="30153" hidden="1" x14ac:dyDescent="0.25"/>
    <row r="30154" hidden="1" x14ac:dyDescent="0.25"/>
    <row r="30155" hidden="1" x14ac:dyDescent="0.25"/>
    <row r="30156" hidden="1" x14ac:dyDescent="0.25"/>
    <row r="30157" hidden="1" x14ac:dyDescent="0.25"/>
    <row r="30158" hidden="1" x14ac:dyDescent="0.25"/>
    <row r="30159" hidden="1" x14ac:dyDescent="0.25"/>
    <row r="30160" hidden="1" x14ac:dyDescent="0.25"/>
    <row r="30161" hidden="1" x14ac:dyDescent="0.25"/>
    <row r="30162" hidden="1" x14ac:dyDescent="0.25"/>
    <row r="30163" hidden="1" x14ac:dyDescent="0.25"/>
    <row r="30164" hidden="1" x14ac:dyDescent="0.25"/>
    <row r="30165" hidden="1" x14ac:dyDescent="0.25"/>
    <row r="30166" hidden="1" x14ac:dyDescent="0.25"/>
    <row r="30167" hidden="1" x14ac:dyDescent="0.25"/>
    <row r="30168" hidden="1" x14ac:dyDescent="0.25"/>
    <row r="30169" hidden="1" x14ac:dyDescent="0.25"/>
    <row r="30170" hidden="1" x14ac:dyDescent="0.25"/>
    <row r="30171" hidden="1" x14ac:dyDescent="0.25"/>
    <row r="30172" hidden="1" x14ac:dyDescent="0.25"/>
    <row r="30173" hidden="1" x14ac:dyDescent="0.25"/>
    <row r="30174" hidden="1" x14ac:dyDescent="0.25"/>
    <row r="30175" hidden="1" x14ac:dyDescent="0.25"/>
    <row r="30176" hidden="1" x14ac:dyDescent="0.25"/>
    <row r="30177" hidden="1" x14ac:dyDescent="0.25"/>
    <row r="30178" hidden="1" x14ac:dyDescent="0.25"/>
    <row r="30179" hidden="1" x14ac:dyDescent="0.25"/>
    <row r="30180" hidden="1" x14ac:dyDescent="0.25"/>
    <row r="30181" hidden="1" x14ac:dyDescent="0.25"/>
    <row r="30182" hidden="1" x14ac:dyDescent="0.25"/>
    <row r="30183" hidden="1" x14ac:dyDescent="0.25"/>
    <row r="30184" hidden="1" x14ac:dyDescent="0.25"/>
    <row r="30185" hidden="1" x14ac:dyDescent="0.25"/>
    <row r="30186" hidden="1" x14ac:dyDescent="0.25"/>
    <row r="30187" hidden="1" x14ac:dyDescent="0.25"/>
    <row r="30188" hidden="1" x14ac:dyDescent="0.25"/>
    <row r="30189" hidden="1" x14ac:dyDescent="0.25"/>
    <row r="30190" hidden="1" x14ac:dyDescent="0.25"/>
    <row r="30191" hidden="1" x14ac:dyDescent="0.25"/>
    <row r="30192" hidden="1" x14ac:dyDescent="0.25"/>
    <row r="30193" hidden="1" x14ac:dyDescent="0.25"/>
    <row r="30194" hidden="1" x14ac:dyDescent="0.25"/>
    <row r="30195" hidden="1" x14ac:dyDescent="0.25"/>
    <row r="30196" hidden="1" x14ac:dyDescent="0.25"/>
    <row r="30197" hidden="1" x14ac:dyDescent="0.25"/>
    <row r="30198" hidden="1" x14ac:dyDescent="0.25"/>
    <row r="30199" hidden="1" x14ac:dyDescent="0.25"/>
    <row r="30200" hidden="1" x14ac:dyDescent="0.25"/>
    <row r="30201" hidden="1" x14ac:dyDescent="0.25"/>
    <row r="30202" hidden="1" x14ac:dyDescent="0.25"/>
    <row r="30203" hidden="1" x14ac:dyDescent="0.25"/>
    <row r="30204" hidden="1" x14ac:dyDescent="0.25"/>
    <row r="30205" hidden="1" x14ac:dyDescent="0.25"/>
    <row r="30206" hidden="1" x14ac:dyDescent="0.25"/>
    <row r="30207" hidden="1" x14ac:dyDescent="0.25"/>
    <row r="30208" hidden="1" x14ac:dyDescent="0.25"/>
    <row r="30209" hidden="1" x14ac:dyDescent="0.25"/>
    <row r="30210" hidden="1" x14ac:dyDescent="0.25"/>
    <row r="30211" hidden="1" x14ac:dyDescent="0.25"/>
    <row r="30212" hidden="1" x14ac:dyDescent="0.25"/>
    <row r="30213" hidden="1" x14ac:dyDescent="0.25"/>
    <row r="30214" hidden="1" x14ac:dyDescent="0.25"/>
    <row r="30215" hidden="1" x14ac:dyDescent="0.25"/>
    <row r="30216" hidden="1" x14ac:dyDescent="0.25"/>
    <row r="30217" hidden="1" x14ac:dyDescent="0.25"/>
    <row r="30218" hidden="1" x14ac:dyDescent="0.25"/>
    <row r="30219" hidden="1" x14ac:dyDescent="0.25"/>
    <row r="30220" hidden="1" x14ac:dyDescent="0.25"/>
    <row r="30221" hidden="1" x14ac:dyDescent="0.25"/>
    <row r="30222" hidden="1" x14ac:dyDescent="0.25"/>
    <row r="30223" hidden="1" x14ac:dyDescent="0.25"/>
    <row r="30224" hidden="1" x14ac:dyDescent="0.25"/>
    <row r="30225" hidden="1" x14ac:dyDescent="0.25"/>
    <row r="30226" hidden="1" x14ac:dyDescent="0.25"/>
    <row r="30227" hidden="1" x14ac:dyDescent="0.25"/>
    <row r="30228" hidden="1" x14ac:dyDescent="0.25"/>
    <row r="30229" hidden="1" x14ac:dyDescent="0.25"/>
    <row r="30230" hidden="1" x14ac:dyDescent="0.25"/>
    <row r="30231" hidden="1" x14ac:dyDescent="0.25"/>
    <row r="30232" hidden="1" x14ac:dyDescent="0.25"/>
    <row r="30233" hidden="1" x14ac:dyDescent="0.25"/>
    <row r="30234" hidden="1" x14ac:dyDescent="0.25"/>
    <row r="30235" hidden="1" x14ac:dyDescent="0.25"/>
    <row r="30236" hidden="1" x14ac:dyDescent="0.25"/>
    <row r="30237" hidden="1" x14ac:dyDescent="0.25"/>
    <row r="30238" hidden="1" x14ac:dyDescent="0.25"/>
    <row r="30239" hidden="1" x14ac:dyDescent="0.25"/>
    <row r="30240" hidden="1" x14ac:dyDescent="0.25"/>
    <row r="30241" hidden="1" x14ac:dyDescent="0.25"/>
    <row r="30242" hidden="1" x14ac:dyDescent="0.25"/>
    <row r="30243" hidden="1" x14ac:dyDescent="0.25"/>
    <row r="30244" hidden="1" x14ac:dyDescent="0.25"/>
    <row r="30245" hidden="1" x14ac:dyDescent="0.25"/>
    <row r="30246" hidden="1" x14ac:dyDescent="0.25"/>
    <row r="30247" hidden="1" x14ac:dyDescent="0.25"/>
    <row r="30248" hidden="1" x14ac:dyDescent="0.25"/>
    <row r="30249" hidden="1" x14ac:dyDescent="0.25"/>
    <row r="30250" hidden="1" x14ac:dyDescent="0.25"/>
    <row r="30251" hidden="1" x14ac:dyDescent="0.25"/>
    <row r="30252" hidden="1" x14ac:dyDescent="0.25"/>
    <row r="30253" hidden="1" x14ac:dyDescent="0.25"/>
    <row r="30254" hidden="1" x14ac:dyDescent="0.25"/>
    <row r="30255" hidden="1" x14ac:dyDescent="0.25"/>
    <row r="30256" hidden="1" x14ac:dyDescent="0.25"/>
    <row r="30257" hidden="1" x14ac:dyDescent="0.25"/>
    <row r="30258" hidden="1" x14ac:dyDescent="0.25"/>
    <row r="30259" hidden="1" x14ac:dyDescent="0.25"/>
    <row r="30260" hidden="1" x14ac:dyDescent="0.25"/>
    <row r="30261" hidden="1" x14ac:dyDescent="0.25"/>
    <row r="30262" hidden="1" x14ac:dyDescent="0.25"/>
    <row r="30263" hidden="1" x14ac:dyDescent="0.25"/>
    <row r="30264" hidden="1" x14ac:dyDescent="0.25"/>
    <row r="30265" hidden="1" x14ac:dyDescent="0.25"/>
    <row r="30266" hidden="1" x14ac:dyDescent="0.25"/>
    <row r="30267" hidden="1" x14ac:dyDescent="0.25"/>
    <row r="30268" hidden="1" x14ac:dyDescent="0.25"/>
    <row r="30269" hidden="1" x14ac:dyDescent="0.25"/>
    <row r="30270" hidden="1" x14ac:dyDescent="0.25"/>
    <row r="30271" hidden="1" x14ac:dyDescent="0.25"/>
    <row r="30272" hidden="1" x14ac:dyDescent="0.25"/>
    <row r="30273" hidden="1" x14ac:dyDescent="0.25"/>
    <row r="30274" hidden="1" x14ac:dyDescent="0.25"/>
    <row r="30275" hidden="1" x14ac:dyDescent="0.25"/>
    <row r="30276" hidden="1" x14ac:dyDescent="0.25"/>
    <row r="30277" hidden="1" x14ac:dyDescent="0.25"/>
    <row r="30278" hidden="1" x14ac:dyDescent="0.25"/>
    <row r="30279" hidden="1" x14ac:dyDescent="0.25"/>
    <row r="30280" hidden="1" x14ac:dyDescent="0.25"/>
    <row r="30281" hidden="1" x14ac:dyDescent="0.25"/>
    <row r="30282" hidden="1" x14ac:dyDescent="0.25"/>
    <row r="30283" hidden="1" x14ac:dyDescent="0.25"/>
    <row r="30284" hidden="1" x14ac:dyDescent="0.25"/>
    <row r="30285" hidden="1" x14ac:dyDescent="0.25"/>
    <row r="30286" hidden="1" x14ac:dyDescent="0.25"/>
    <row r="30287" hidden="1" x14ac:dyDescent="0.25"/>
    <row r="30288" hidden="1" x14ac:dyDescent="0.25"/>
    <row r="30289" hidden="1" x14ac:dyDescent="0.25"/>
    <row r="30290" hidden="1" x14ac:dyDescent="0.25"/>
    <row r="30291" hidden="1" x14ac:dyDescent="0.25"/>
    <row r="30292" hidden="1" x14ac:dyDescent="0.25"/>
    <row r="30293" hidden="1" x14ac:dyDescent="0.25"/>
    <row r="30294" hidden="1" x14ac:dyDescent="0.25"/>
    <row r="30295" hidden="1" x14ac:dyDescent="0.25"/>
    <row r="30296" hidden="1" x14ac:dyDescent="0.25"/>
    <row r="30297" hidden="1" x14ac:dyDescent="0.25"/>
    <row r="30298" hidden="1" x14ac:dyDescent="0.25"/>
    <row r="30299" hidden="1" x14ac:dyDescent="0.25"/>
    <row r="30300" hidden="1" x14ac:dyDescent="0.25"/>
    <row r="30301" hidden="1" x14ac:dyDescent="0.25"/>
    <row r="30302" hidden="1" x14ac:dyDescent="0.25"/>
    <row r="30303" hidden="1" x14ac:dyDescent="0.25"/>
    <row r="30304" hidden="1" x14ac:dyDescent="0.25"/>
    <row r="30305" hidden="1" x14ac:dyDescent="0.25"/>
    <row r="30306" hidden="1" x14ac:dyDescent="0.25"/>
    <row r="30307" hidden="1" x14ac:dyDescent="0.25"/>
    <row r="30308" hidden="1" x14ac:dyDescent="0.25"/>
    <row r="30309" hidden="1" x14ac:dyDescent="0.25"/>
    <row r="30310" hidden="1" x14ac:dyDescent="0.25"/>
    <row r="30311" hidden="1" x14ac:dyDescent="0.25"/>
    <row r="30312" hidden="1" x14ac:dyDescent="0.25"/>
    <row r="30313" hidden="1" x14ac:dyDescent="0.25"/>
    <row r="30314" hidden="1" x14ac:dyDescent="0.25"/>
    <row r="30315" hidden="1" x14ac:dyDescent="0.25"/>
    <row r="30316" hidden="1" x14ac:dyDescent="0.25"/>
    <row r="30317" hidden="1" x14ac:dyDescent="0.25"/>
    <row r="30318" hidden="1" x14ac:dyDescent="0.25"/>
    <row r="30319" hidden="1" x14ac:dyDescent="0.25"/>
    <row r="30320" hidden="1" x14ac:dyDescent="0.25"/>
    <row r="30321" hidden="1" x14ac:dyDescent="0.25"/>
    <row r="30322" hidden="1" x14ac:dyDescent="0.25"/>
    <row r="30323" hidden="1" x14ac:dyDescent="0.25"/>
    <row r="30324" hidden="1" x14ac:dyDescent="0.25"/>
    <row r="30325" hidden="1" x14ac:dyDescent="0.25"/>
    <row r="30326" hidden="1" x14ac:dyDescent="0.25"/>
    <row r="30327" hidden="1" x14ac:dyDescent="0.25"/>
    <row r="30328" hidden="1" x14ac:dyDescent="0.25"/>
    <row r="30329" hidden="1" x14ac:dyDescent="0.25"/>
    <row r="30330" hidden="1" x14ac:dyDescent="0.25"/>
    <row r="30331" hidden="1" x14ac:dyDescent="0.25"/>
    <row r="30332" hidden="1" x14ac:dyDescent="0.25"/>
    <row r="30333" hidden="1" x14ac:dyDescent="0.25"/>
    <row r="30334" hidden="1" x14ac:dyDescent="0.25"/>
    <row r="30335" hidden="1" x14ac:dyDescent="0.25"/>
    <row r="30336" hidden="1" x14ac:dyDescent="0.25"/>
    <row r="30337" hidden="1" x14ac:dyDescent="0.25"/>
    <row r="30338" hidden="1" x14ac:dyDescent="0.25"/>
    <row r="30339" hidden="1" x14ac:dyDescent="0.25"/>
    <row r="30340" hidden="1" x14ac:dyDescent="0.25"/>
    <row r="30341" hidden="1" x14ac:dyDescent="0.25"/>
    <row r="30342" hidden="1" x14ac:dyDescent="0.25"/>
    <row r="30343" hidden="1" x14ac:dyDescent="0.25"/>
    <row r="30344" hidden="1" x14ac:dyDescent="0.25"/>
    <row r="30345" hidden="1" x14ac:dyDescent="0.25"/>
    <row r="30346" hidden="1" x14ac:dyDescent="0.25"/>
    <row r="30347" hidden="1" x14ac:dyDescent="0.25"/>
    <row r="30348" hidden="1" x14ac:dyDescent="0.25"/>
    <row r="30349" hidden="1" x14ac:dyDescent="0.25"/>
    <row r="30350" hidden="1" x14ac:dyDescent="0.25"/>
    <row r="30351" hidden="1" x14ac:dyDescent="0.25"/>
    <row r="30352" hidden="1" x14ac:dyDescent="0.25"/>
    <row r="30353" hidden="1" x14ac:dyDescent="0.25"/>
    <row r="30354" hidden="1" x14ac:dyDescent="0.25"/>
    <row r="30355" hidden="1" x14ac:dyDescent="0.25"/>
    <row r="30356" hidden="1" x14ac:dyDescent="0.25"/>
    <row r="30357" hidden="1" x14ac:dyDescent="0.25"/>
    <row r="30358" hidden="1" x14ac:dyDescent="0.25"/>
    <row r="30359" hidden="1" x14ac:dyDescent="0.25"/>
    <row r="30360" hidden="1" x14ac:dyDescent="0.25"/>
    <row r="30361" hidden="1" x14ac:dyDescent="0.25"/>
    <row r="30362" hidden="1" x14ac:dyDescent="0.25"/>
    <row r="30363" hidden="1" x14ac:dyDescent="0.25"/>
    <row r="30364" hidden="1" x14ac:dyDescent="0.25"/>
    <row r="30365" hidden="1" x14ac:dyDescent="0.25"/>
    <row r="30366" hidden="1" x14ac:dyDescent="0.25"/>
    <row r="30367" hidden="1" x14ac:dyDescent="0.25"/>
    <row r="30368" hidden="1" x14ac:dyDescent="0.25"/>
    <row r="30369" hidden="1" x14ac:dyDescent="0.25"/>
    <row r="30370" hidden="1" x14ac:dyDescent="0.25"/>
    <row r="30371" hidden="1" x14ac:dyDescent="0.25"/>
    <row r="30372" hidden="1" x14ac:dyDescent="0.25"/>
    <row r="30373" hidden="1" x14ac:dyDescent="0.25"/>
    <row r="30374" hidden="1" x14ac:dyDescent="0.25"/>
    <row r="30375" hidden="1" x14ac:dyDescent="0.25"/>
    <row r="30376" hidden="1" x14ac:dyDescent="0.25"/>
    <row r="30377" hidden="1" x14ac:dyDescent="0.25"/>
    <row r="30378" hidden="1" x14ac:dyDescent="0.25"/>
    <row r="30379" hidden="1" x14ac:dyDescent="0.25"/>
    <row r="30380" hidden="1" x14ac:dyDescent="0.25"/>
    <row r="30381" hidden="1" x14ac:dyDescent="0.25"/>
    <row r="30382" hidden="1" x14ac:dyDescent="0.25"/>
    <row r="30383" hidden="1" x14ac:dyDescent="0.25"/>
    <row r="30384" hidden="1" x14ac:dyDescent="0.25"/>
    <row r="30385" hidden="1" x14ac:dyDescent="0.25"/>
    <row r="30386" hidden="1" x14ac:dyDescent="0.25"/>
    <row r="30387" hidden="1" x14ac:dyDescent="0.25"/>
    <row r="30388" hidden="1" x14ac:dyDescent="0.25"/>
    <row r="30389" hidden="1" x14ac:dyDescent="0.25"/>
    <row r="30390" hidden="1" x14ac:dyDescent="0.25"/>
    <row r="30391" hidden="1" x14ac:dyDescent="0.25"/>
    <row r="30392" hidden="1" x14ac:dyDescent="0.25"/>
    <row r="30393" hidden="1" x14ac:dyDescent="0.25"/>
    <row r="30394" hidden="1" x14ac:dyDescent="0.25"/>
    <row r="30395" hidden="1" x14ac:dyDescent="0.25"/>
    <row r="30396" hidden="1" x14ac:dyDescent="0.25"/>
    <row r="30397" hidden="1" x14ac:dyDescent="0.25"/>
    <row r="30398" hidden="1" x14ac:dyDescent="0.25"/>
    <row r="30399" hidden="1" x14ac:dyDescent="0.25"/>
    <row r="30400" hidden="1" x14ac:dyDescent="0.25"/>
    <row r="30401" hidden="1" x14ac:dyDescent="0.25"/>
    <row r="30402" hidden="1" x14ac:dyDescent="0.25"/>
    <row r="30403" hidden="1" x14ac:dyDescent="0.25"/>
    <row r="30404" hidden="1" x14ac:dyDescent="0.25"/>
    <row r="30405" hidden="1" x14ac:dyDescent="0.25"/>
    <row r="30406" hidden="1" x14ac:dyDescent="0.25"/>
    <row r="30407" hidden="1" x14ac:dyDescent="0.25"/>
    <row r="30408" hidden="1" x14ac:dyDescent="0.25"/>
    <row r="30409" hidden="1" x14ac:dyDescent="0.25"/>
    <row r="30410" hidden="1" x14ac:dyDescent="0.25"/>
    <row r="30411" hidden="1" x14ac:dyDescent="0.25"/>
    <row r="30412" hidden="1" x14ac:dyDescent="0.25"/>
    <row r="30413" hidden="1" x14ac:dyDescent="0.25"/>
    <row r="30414" hidden="1" x14ac:dyDescent="0.25"/>
    <row r="30415" hidden="1" x14ac:dyDescent="0.25"/>
    <row r="30416" hidden="1" x14ac:dyDescent="0.25"/>
    <row r="30417" hidden="1" x14ac:dyDescent="0.25"/>
    <row r="30418" hidden="1" x14ac:dyDescent="0.25"/>
    <row r="30419" hidden="1" x14ac:dyDescent="0.25"/>
    <row r="30420" hidden="1" x14ac:dyDescent="0.25"/>
    <row r="30421" hidden="1" x14ac:dyDescent="0.25"/>
    <row r="30422" hidden="1" x14ac:dyDescent="0.25"/>
    <row r="30423" hidden="1" x14ac:dyDescent="0.25"/>
    <row r="30424" hidden="1" x14ac:dyDescent="0.25"/>
    <row r="30425" hidden="1" x14ac:dyDescent="0.25"/>
    <row r="30426" hidden="1" x14ac:dyDescent="0.25"/>
    <row r="30427" hidden="1" x14ac:dyDescent="0.25"/>
    <row r="30428" hidden="1" x14ac:dyDescent="0.25"/>
    <row r="30429" hidden="1" x14ac:dyDescent="0.25"/>
    <row r="30430" hidden="1" x14ac:dyDescent="0.25"/>
    <row r="30431" hidden="1" x14ac:dyDescent="0.25"/>
    <row r="30432" hidden="1" x14ac:dyDescent="0.25"/>
    <row r="30433" hidden="1" x14ac:dyDescent="0.25"/>
    <row r="30434" hidden="1" x14ac:dyDescent="0.25"/>
    <row r="30435" hidden="1" x14ac:dyDescent="0.25"/>
    <row r="30436" hidden="1" x14ac:dyDescent="0.25"/>
    <row r="30437" hidden="1" x14ac:dyDescent="0.25"/>
    <row r="30438" hidden="1" x14ac:dyDescent="0.25"/>
    <row r="30439" hidden="1" x14ac:dyDescent="0.25"/>
    <row r="30440" hidden="1" x14ac:dyDescent="0.25"/>
    <row r="30441" hidden="1" x14ac:dyDescent="0.25"/>
    <row r="30442" hidden="1" x14ac:dyDescent="0.25"/>
    <row r="30443" hidden="1" x14ac:dyDescent="0.25"/>
    <row r="30444" hidden="1" x14ac:dyDescent="0.25"/>
    <row r="30445" hidden="1" x14ac:dyDescent="0.25"/>
    <row r="30446" hidden="1" x14ac:dyDescent="0.25"/>
    <row r="30447" hidden="1" x14ac:dyDescent="0.25"/>
    <row r="30448" hidden="1" x14ac:dyDescent="0.25"/>
    <row r="30449" hidden="1" x14ac:dyDescent="0.25"/>
    <row r="30450" hidden="1" x14ac:dyDescent="0.25"/>
    <row r="30451" hidden="1" x14ac:dyDescent="0.25"/>
    <row r="30452" hidden="1" x14ac:dyDescent="0.25"/>
    <row r="30453" hidden="1" x14ac:dyDescent="0.25"/>
    <row r="30454" hidden="1" x14ac:dyDescent="0.25"/>
    <row r="30455" hidden="1" x14ac:dyDescent="0.25"/>
    <row r="30456" hidden="1" x14ac:dyDescent="0.25"/>
    <row r="30457" hidden="1" x14ac:dyDescent="0.25"/>
    <row r="30458" hidden="1" x14ac:dyDescent="0.25"/>
    <row r="30459" hidden="1" x14ac:dyDescent="0.25"/>
    <row r="30460" hidden="1" x14ac:dyDescent="0.25"/>
    <row r="30461" hidden="1" x14ac:dyDescent="0.25"/>
    <row r="30462" hidden="1" x14ac:dyDescent="0.25"/>
    <row r="30463" hidden="1" x14ac:dyDescent="0.25"/>
    <row r="30464" hidden="1" x14ac:dyDescent="0.25"/>
    <row r="30465" hidden="1" x14ac:dyDescent="0.25"/>
    <row r="30466" hidden="1" x14ac:dyDescent="0.25"/>
    <row r="30467" hidden="1" x14ac:dyDescent="0.25"/>
    <row r="30468" hidden="1" x14ac:dyDescent="0.25"/>
    <row r="30469" hidden="1" x14ac:dyDescent="0.25"/>
    <row r="30470" hidden="1" x14ac:dyDescent="0.25"/>
    <row r="30471" hidden="1" x14ac:dyDescent="0.25"/>
    <row r="30472" hidden="1" x14ac:dyDescent="0.25"/>
    <row r="30473" hidden="1" x14ac:dyDescent="0.25"/>
    <row r="30474" hidden="1" x14ac:dyDescent="0.25"/>
    <row r="30475" hidden="1" x14ac:dyDescent="0.25"/>
    <row r="30476" hidden="1" x14ac:dyDescent="0.25"/>
    <row r="30477" hidden="1" x14ac:dyDescent="0.25"/>
    <row r="30478" hidden="1" x14ac:dyDescent="0.25"/>
    <row r="30479" hidden="1" x14ac:dyDescent="0.25"/>
    <row r="30480" hidden="1" x14ac:dyDescent="0.25"/>
    <row r="30481" hidden="1" x14ac:dyDescent="0.25"/>
    <row r="30482" hidden="1" x14ac:dyDescent="0.25"/>
    <row r="30483" hidden="1" x14ac:dyDescent="0.25"/>
    <row r="30484" hidden="1" x14ac:dyDescent="0.25"/>
    <row r="30485" hidden="1" x14ac:dyDescent="0.25"/>
    <row r="30486" hidden="1" x14ac:dyDescent="0.25"/>
    <row r="30487" hidden="1" x14ac:dyDescent="0.25"/>
    <row r="30488" hidden="1" x14ac:dyDescent="0.25"/>
    <row r="30489" hidden="1" x14ac:dyDescent="0.25"/>
    <row r="30490" hidden="1" x14ac:dyDescent="0.25"/>
    <row r="30491" hidden="1" x14ac:dyDescent="0.25"/>
    <row r="30492" hidden="1" x14ac:dyDescent="0.25"/>
    <row r="30493" hidden="1" x14ac:dyDescent="0.25"/>
    <row r="30494" hidden="1" x14ac:dyDescent="0.25"/>
    <row r="30495" hidden="1" x14ac:dyDescent="0.25"/>
    <row r="30496" hidden="1" x14ac:dyDescent="0.25"/>
    <row r="30497" hidden="1" x14ac:dyDescent="0.25"/>
    <row r="30498" hidden="1" x14ac:dyDescent="0.25"/>
    <row r="30499" hidden="1" x14ac:dyDescent="0.25"/>
    <row r="30500" hidden="1" x14ac:dyDescent="0.25"/>
    <row r="30501" hidden="1" x14ac:dyDescent="0.25"/>
    <row r="30502" hidden="1" x14ac:dyDescent="0.25"/>
    <row r="30503" hidden="1" x14ac:dyDescent="0.25"/>
    <row r="30504" hidden="1" x14ac:dyDescent="0.25"/>
    <row r="30505" hidden="1" x14ac:dyDescent="0.25"/>
    <row r="30506" hidden="1" x14ac:dyDescent="0.25"/>
    <row r="30507" hidden="1" x14ac:dyDescent="0.25"/>
    <row r="30508" hidden="1" x14ac:dyDescent="0.25"/>
    <row r="30509" hidden="1" x14ac:dyDescent="0.25"/>
    <row r="30510" hidden="1" x14ac:dyDescent="0.25"/>
    <row r="30511" hidden="1" x14ac:dyDescent="0.25"/>
    <row r="30512" hidden="1" x14ac:dyDescent="0.25"/>
    <row r="30513" hidden="1" x14ac:dyDescent="0.25"/>
    <row r="30514" hidden="1" x14ac:dyDescent="0.25"/>
    <row r="30515" hidden="1" x14ac:dyDescent="0.25"/>
    <row r="30516" hidden="1" x14ac:dyDescent="0.25"/>
    <row r="30517" hidden="1" x14ac:dyDescent="0.25"/>
    <row r="30518" hidden="1" x14ac:dyDescent="0.25"/>
    <row r="30519" hidden="1" x14ac:dyDescent="0.25"/>
    <row r="30520" hidden="1" x14ac:dyDescent="0.25"/>
    <row r="30521" hidden="1" x14ac:dyDescent="0.25"/>
    <row r="30522" hidden="1" x14ac:dyDescent="0.25"/>
    <row r="30523" hidden="1" x14ac:dyDescent="0.25"/>
    <row r="30524" hidden="1" x14ac:dyDescent="0.25"/>
    <row r="30525" hidden="1" x14ac:dyDescent="0.25"/>
    <row r="30526" hidden="1" x14ac:dyDescent="0.25"/>
    <row r="30527" hidden="1" x14ac:dyDescent="0.25"/>
    <row r="30528" hidden="1" x14ac:dyDescent="0.25"/>
    <row r="30529" hidden="1" x14ac:dyDescent="0.25"/>
    <row r="30530" hidden="1" x14ac:dyDescent="0.25"/>
    <row r="30531" hidden="1" x14ac:dyDescent="0.25"/>
    <row r="30532" hidden="1" x14ac:dyDescent="0.25"/>
    <row r="30533" hidden="1" x14ac:dyDescent="0.25"/>
    <row r="30534" hidden="1" x14ac:dyDescent="0.25"/>
    <row r="30535" hidden="1" x14ac:dyDescent="0.25"/>
    <row r="30536" hidden="1" x14ac:dyDescent="0.25"/>
    <row r="30537" hidden="1" x14ac:dyDescent="0.25"/>
    <row r="30538" hidden="1" x14ac:dyDescent="0.25"/>
    <row r="30539" hidden="1" x14ac:dyDescent="0.25"/>
    <row r="30540" hidden="1" x14ac:dyDescent="0.25"/>
    <row r="30541" hidden="1" x14ac:dyDescent="0.25"/>
    <row r="30542" hidden="1" x14ac:dyDescent="0.25"/>
    <row r="30543" hidden="1" x14ac:dyDescent="0.25"/>
    <row r="30544" hidden="1" x14ac:dyDescent="0.25"/>
    <row r="30545" hidden="1" x14ac:dyDescent="0.25"/>
    <row r="30546" hidden="1" x14ac:dyDescent="0.25"/>
    <row r="30547" hidden="1" x14ac:dyDescent="0.25"/>
    <row r="30548" hidden="1" x14ac:dyDescent="0.25"/>
    <row r="30549" hidden="1" x14ac:dyDescent="0.25"/>
    <row r="30550" hidden="1" x14ac:dyDescent="0.25"/>
    <row r="30551" hidden="1" x14ac:dyDescent="0.25"/>
    <row r="30552" hidden="1" x14ac:dyDescent="0.25"/>
    <row r="30553" hidden="1" x14ac:dyDescent="0.25"/>
    <row r="30554" hidden="1" x14ac:dyDescent="0.25"/>
    <row r="30555" hidden="1" x14ac:dyDescent="0.25"/>
    <row r="30556" hidden="1" x14ac:dyDescent="0.25"/>
    <row r="30557" hidden="1" x14ac:dyDescent="0.25"/>
    <row r="30558" hidden="1" x14ac:dyDescent="0.25"/>
    <row r="30559" hidden="1" x14ac:dyDescent="0.25"/>
    <row r="30560" hidden="1" x14ac:dyDescent="0.25"/>
    <row r="30561" hidden="1" x14ac:dyDescent="0.25"/>
    <row r="30562" hidden="1" x14ac:dyDescent="0.25"/>
    <row r="30563" hidden="1" x14ac:dyDescent="0.25"/>
    <row r="30564" hidden="1" x14ac:dyDescent="0.25"/>
    <row r="30565" hidden="1" x14ac:dyDescent="0.25"/>
    <row r="30566" hidden="1" x14ac:dyDescent="0.25"/>
    <row r="30567" hidden="1" x14ac:dyDescent="0.25"/>
    <row r="30568" hidden="1" x14ac:dyDescent="0.25"/>
    <row r="30569" hidden="1" x14ac:dyDescent="0.25"/>
    <row r="30570" hidden="1" x14ac:dyDescent="0.25"/>
    <row r="30571" hidden="1" x14ac:dyDescent="0.25"/>
    <row r="30572" hidden="1" x14ac:dyDescent="0.25"/>
    <row r="30573" hidden="1" x14ac:dyDescent="0.25"/>
    <row r="30574" hidden="1" x14ac:dyDescent="0.25"/>
    <row r="30575" hidden="1" x14ac:dyDescent="0.25"/>
    <row r="30576" hidden="1" x14ac:dyDescent="0.25"/>
    <row r="30577" hidden="1" x14ac:dyDescent="0.25"/>
    <row r="30578" hidden="1" x14ac:dyDescent="0.25"/>
    <row r="30579" hidden="1" x14ac:dyDescent="0.25"/>
    <row r="30580" hidden="1" x14ac:dyDescent="0.25"/>
    <row r="30581" hidden="1" x14ac:dyDescent="0.25"/>
    <row r="30582" hidden="1" x14ac:dyDescent="0.25"/>
    <row r="30583" hidden="1" x14ac:dyDescent="0.25"/>
    <row r="30584" hidden="1" x14ac:dyDescent="0.25"/>
    <row r="30585" hidden="1" x14ac:dyDescent="0.25"/>
    <row r="30586" hidden="1" x14ac:dyDescent="0.25"/>
    <row r="30587" hidden="1" x14ac:dyDescent="0.25"/>
    <row r="30588" hidden="1" x14ac:dyDescent="0.25"/>
    <row r="30589" hidden="1" x14ac:dyDescent="0.25"/>
    <row r="30590" hidden="1" x14ac:dyDescent="0.25"/>
    <row r="30591" hidden="1" x14ac:dyDescent="0.25"/>
    <row r="30592" hidden="1" x14ac:dyDescent="0.25"/>
    <row r="30593" hidden="1" x14ac:dyDescent="0.25"/>
    <row r="30594" hidden="1" x14ac:dyDescent="0.25"/>
    <row r="30595" hidden="1" x14ac:dyDescent="0.25"/>
    <row r="30596" hidden="1" x14ac:dyDescent="0.25"/>
    <row r="30597" hidden="1" x14ac:dyDescent="0.25"/>
    <row r="30598" hidden="1" x14ac:dyDescent="0.25"/>
    <row r="30599" hidden="1" x14ac:dyDescent="0.25"/>
    <row r="30600" hidden="1" x14ac:dyDescent="0.25"/>
    <row r="30601" hidden="1" x14ac:dyDescent="0.25"/>
    <row r="30602" hidden="1" x14ac:dyDescent="0.25"/>
    <row r="30603" hidden="1" x14ac:dyDescent="0.25"/>
    <row r="30604" hidden="1" x14ac:dyDescent="0.25"/>
    <row r="30605" hidden="1" x14ac:dyDescent="0.25"/>
    <row r="30606" hidden="1" x14ac:dyDescent="0.25"/>
    <row r="30607" hidden="1" x14ac:dyDescent="0.25"/>
    <row r="30608" hidden="1" x14ac:dyDescent="0.25"/>
    <row r="30609" hidden="1" x14ac:dyDescent="0.25"/>
    <row r="30610" hidden="1" x14ac:dyDescent="0.25"/>
    <row r="30611" hidden="1" x14ac:dyDescent="0.25"/>
    <row r="30612" hidden="1" x14ac:dyDescent="0.25"/>
    <row r="30613" hidden="1" x14ac:dyDescent="0.25"/>
    <row r="30614" hidden="1" x14ac:dyDescent="0.25"/>
    <row r="30615" hidden="1" x14ac:dyDescent="0.25"/>
    <row r="30616" hidden="1" x14ac:dyDescent="0.25"/>
    <row r="30617" hidden="1" x14ac:dyDescent="0.25"/>
    <row r="30618" hidden="1" x14ac:dyDescent="0.25"/>
    <row r="30619" hidden="1" x14ac:dyDescent="0.25"/>
    <row r="30620" hidden="1" x14ac:dyDescent="0.25"/>
    <row r="30621" hidden="1" x14ac:dyDescent="0.25"/>
    <row r="30622" hidden="1" x14ac:dyDescent="0.25"/>
    <row r="30623" hidden="1" x14ac:dyDescent="0.25"/>
    <row r="30624" hidden="1" x14ac:dyDescent="0.25"/>
    <row r="30625" hidden="1" x14ac:dyDescent="0.25"/>
    <row r="30626" hidden="1" x14ac:dyDescent="0.25"/>
    <row r="30627" hidden="1" x14ac:dyDescent="0.25"/>
    <row r="30628" hidden="1" x14ac:dyDescent="0.25"/>
    <row r="30629" hidden="1" x14ac:dyDescent="0.25"/>
    <row r="30630" hidden="1" x14ac:dyDescent="0.25"/>
    <row r="30631" hidden="1" x14ac:dyDescent="0.25"/>
    <row r="30632" hidden="1" x14ac:dyDescent="0.25"/>
    <row r="30633" hidden="1" x14ac:dyDescent="0.25"/>
    <row r="30634" hidden="1" x14ac:dyDescent="0.25"/>
    <row r="30635" hidden="1" x14ac:dyDescent="0.25"/>
    <row r="30636" hidden="1" x14ac:dyDescent="0.25"/>
    <row r="30637" hidden="1" x14ac:dyDescent="0.25"/>
    <row r="30638" hidden="1" x14ac:dyDescent="0.25"/>
    <row r="30639" hidden="1" x14ac:dyDescent="0.25"/>
    <row r="30640" hidden="1" x14ac:dyDescent="0.25"/>
    <row r="30641" hidden="1" x14ac:dyDescent="0.25"/>
    <row r="30642" hidden="1" x14ac:dyDescent="0.25"/>
    <row r="30643" hidden="1" x14ac:dyDescent="0.25"/>
    <row r="30644" hidden="1" x14ac:dyDescent="0.25"/>
    <row r="30645" hidden="1" x14ac:dyDescent="0.25"/>
    <row r="30646" hidden="1" x14ac:dyDescent="0.25"/>
    <row r="30647" hidden="1" x14ac:dyDescent="0.25"/>
    <row r="30648" hidden="1" x14ac:dyDescent="0.25"/>
    <row r="30649" hidden="1" x14ac:dyDescent="0.25"/>
    <row r="30650" hidden="1" x14ac:dyDescent="0.25"/>
    <row r="30651" hidden="1" x14ac:dyDescent="0.25"/>
    <row r="30652" hidden="1" x14ac:dyDescent="0.25"/>
    <row r="30653" hidden="1" x14ac:dyDescent="0.25"/>
    <row r="30654" hidden="1" x14ac:dyDescent="0.25"/>
    <row r="30655" hidden="1" x14ac:dyDescent="0.25"/>
    <row r="30656" hidden="1" x14ac:dyDescent="0.25"/>
    <row r="30657" hidden="1" x14ac:dyDescent="0.25"/>
    <row r="30658" hidden="1" x14ac:dyDescent="0.25"/>
    <row r="30659" hidden="1" x14ac:dyDescent="0.25"/>
    <row r="30660" hidden="1" x14ac:dyDescent="0.25"/>
    <row r="30661" hidden="1" x14ac:dyDescent="0.25"/>
    <row r="30662" hidden="1" x14ac:dyDescent="0.25"/>
    <row r="30663" hidden="1" x14ac:dyDescent="0.25"/>
    <row r="30664" hidden="1" x14ac:dyDescent="0.25"/>
    <row r="30665" hidden="1" x14ac:dyDescent="0.25"/>
    <row r="30666" hidden="1" x14ac:dyDescent="0.25"/>
    <row r="30667" hidden="1" x14ac:dyDescent="0.25"/>
    <row r="30668" hidden="1" x14ac:dyDescent="0.25"/>
    <row r="30669" hidden="1" x14ac:dyDescent="0.25"/>
    <row r="30670" hidden="1" x14ac:dyDescent="0.25"/>
    <row r="30671" hidden="1" x14ac:dyDescent="0.25"/>
    <row r="30672" hidden="1" x14ac:dyDescent="0.25"/>
    <row r="30673" hidden="1" x14ac:dyDescent="0.25"/>
    <row r="30674" hidden="1" x14ac:dyDescent="0.25"/>
    <row r="30675" hidden="1" x14ac:dyDescent="0.25"/>
    <row r="30676" hidden="1" x14ac:dyDescent="0.25"/>
    <row r="30677" hidden="1" x14ac:dyDescent="0.25"/>
    <row r="30678" hidden="1" x14ac:dyDescent="0.25"/>
    <row r="30679" hidden="1" x14ac:dyDescent="0.25"/>
    <row r="30680" hidden="1" x14ac:dyDescent="0.25"/>
    <row r="30681" hidden="1" x14ac:dyDescent="0.25"/>
    <row r="30682" hidden="1" x14ac:dyDescent="0.25"/>
    <row r="30683" hidden="1" x14ac:dyDescent="0.25"/>
    <row r="30684" hidden="1" x14ac:dyDescent="0.25"/>
    <row r="30685" hidden="1" x14ac:dyDescent="0.25"/>
    <row r="30686" hidden="1" x14ac:dyDescent="0.25"/>
    <row r="30687" hidden="1" x14ac:dyDescent="0.25"/>
    <row r="30688" hidden="1" x14ac:dyDescent="0.25"/>
    <row r="30689" hidden="1" x14ac:dyDescent="0.25"/>
    <row r="30690" hidden="1" x14ac:dyDescent="0.25"/>
    <row r="30691" hidden="1" x14ac:dyDescent="0.25"/>
    <row r="30692" hidden="1" x14ac:dyDescent="0.25"/>
    <row r="30693" hidden="1" x14ac:dyDescent="0.25"/>
    <row r="30694" hidden="1" x14ac:dyDescent="0.25"/>
    <row r="30695" hidden="1" x14ac:dyDescent="0.25"/>
    <row r="30696" hidden="1" x14ac:dyDescent="0.25"/>
    <row r="30697" hidden="1" x14ac:dyDescent="0.25"/>
    <row r="30698" hidden="1" x14ac:dyDescent="0.25"/>
    <row r="30699" hidden="1" x14ac:dyDescent="0.25"/>
    <row r="30700" hidden="1" x14ac:dyDescent="0.25"/>
    <row r="30701" hidden="1" x14ac:dyDescent="0.25"/>
    <row r="30702" hidden="1" x14ac:dyDescent="0.25"/>
    <row r="30703" hidden="1" x14ac:dyDescent="0.25"/>
    <row r="30704" hidden="1" x14ac:dyDescent="0.25"/>
    <row r="30705" hidden="1" x14ac:dyDescent="0.25"/>
    <row r="30706" hidden="1" x14ac:dyDescent="0.25"/>
    <row r="30707" hidden="1" x14ac:dyDescent="0.25"/>
    <row r="30708" hidden="1" x14ac:dyDescent="0.25"/>
    <row r="30709" hidden="1" x14ac:dyDescent="0.25"/>
    <row r="30710" hidden="1" x14ac:dyDescent="0.25"/>
    <row r="30711" hidden="1" x14ac:dyDescent="0.25"/>
    <row r="30712" hidden="1" x14ac:dyDescent="0.25"/>
    <row r="30713" hidden="1" x14ac:dyDescent="0.25"/>
    <row r="30714" hidden="1" x14ac:dyDescent="0.25"/>
    <row r="30715" hidden="1" x14ac:dyDescent="0.25"/>
    <row r="30716" hidden="1" x14ac:dyDescent="0.25"/>
    <row r="30717" hidden="1" x14ac:dyDescent="0.25"/>
    <row r="30718" hidden="1" x14ac:dyDescent="0.25"/>
    <row r="30719" hidden="1" x14ac:dyDescent="0.25"/>
    <row r="30720" hidden="1" x14ac:dyDescent="0.25"/>
    <row r="30721" hidden="1" x14ac:dyDescent="0.25"/>
    <row r="30722" hidden="1" x14ac:dyDescent="0.25"/>
    <row r="30723" hidden="1" x14ac:dyDescent="0.25"/>
    <row r="30724" hidden="1" x14ac:dyDescent="0.25"/>
    <row r="30725" hidden="1" x14ac:dyDescent="0.25"/>
    <row r="30726" hidden="1" x14ac:dyDescent="0.25"/>
    <row r="30727" hidden="1" x14ac:dyDescent="0.25"/>
    <row r="30728" hidden="1" x14ac:dyDescent="0.25"/>
    <row r="30729" hidden="1" x14ac:dyDescent="0.25"/>
    <row r="30730" hidden="1" x14ac:dyDescent="0.25"/>
    <row r="30731" hidden="1" x14ac:dyDescent="0.25"/>
    <row r="30732" hidden="1" x14ac:dyDescent="0.25"/>
    <row r="30733" hidden="1" x14ac:dyDescent="0.25"/>
    <row r="30734" hidden="1" x14ac:dyDescent="0.25"/>
    <row r="30735" hidden="1" x14ac:dyDescent="0.25"/>
    <row r="30736" hidden="1" x14ac:dyDescent="0.25"/>
    <row r="30737" hidden="1" x14ac:dyDescent="0.25"/>
    <row r="30738" hidden="1" x14ac:dyDescent="0.25"/>
    <row r="30739" hidden="1" x14ac:dyDescent="0.25"/>
    <row r="30740" hidden="1" x14ac:dyDescent="0.25"/>
    <row r="30741" hidden="1" x14ac:dyDescent="0.25"/>
    <row r="30742" hidden="1" x14ac:dyDescent="0.25"/>
    <row r="30743" hidden="1" x14ac:dyDescent="0.25"/>
    <row r="30744" hidden="1" x14ac:dyDescent="0.25"/>
    <row r="30745" hidden="1" x14ac:dyDescent="0.25"/>
    <row r="30746" hidden="1" x14ac:dyDescent="0.25"/>
    <row r="30747" hidden="1" x14ac:dyDescent="0.25"/>
    <row r="30748" hidden="1" x14ac:dyDescent="0.25"/>
    <row r="30749" hidden="1" x14ac:dyDescent="0.25"/>
    <row r="30750" hidden="1" x14ac:dyDescent="0.25"/>
    <row r="30751" hidden="1" x14ac:dyDescent="0.25"/>
    <row r="30752" hidden="1" x14ac:dyDescent="0.25"/>
    <row r="30753" hidden="1" x14ac:dyDescent="0.25"/>
    <row r="30754" hidden="1" x14ac:dyDescent="0.25"/>
    <row r="30755" hidden="1" x14ac:dyDescent="0.25"/>
    <row r="30756" hidden="1" x14ac:dyDescent="0.25"/>
    <row r="30757" hidden="1" x14ac:dyDescent="0.25"/>
    <row r="30758" hidden="1" x14ac:dyDescent="0.25"/>
    <row r="30759" hidden="1" x14ac:dyDescent="0.25"/>
    <row r="30760" hidden="1" x14ac:dyDescent="0.25"/>
    <row r="30761" hidden="1" x14ac:dyDescent="0.25"/>
    <row r="30762" hidden="1" x14ac:dyDescent="0.25"/>
    <row r="30763" hidden="1" x14ac:dyDescent="0.25"/>
    <row r="30764" hidden="1" x14ac:dyDescent="0.25"/>
    <row r="30765" hidden="1" x14ac:dyDescent="0.25"/>
    <row r="30766" hidden="1" x14ac:dyDescent="0.25"/>
    <row r="30767" hidden="1" x14ac:dyDescent="0.25"/>
    <row r="30768" hidden="1" x14ac:dyDescent="0.25"/>
    <row r="30769" hidden="1" x14ac:dyDescent="0.25"/>
    <row r="30770" hidden="1" x14ac:dyDescent="0.25"/>
    <row r="30771" hidden="1" x14ac:dyDescent="0.25"/>
    <row r="30772" hidden="1" x14ac:dyDescent="0.25"/>
    <row r="30773" hidden="1" x14ac:dyDescent="0.25"/>
    <row r="30774" hidden="1" x14ac:dyDescent="0.25"/>
    <row r="30775" hidden="1" x14ac:dyDescent="0.25"/>
    <row r="30776" hidden="1" x14ac:dyDescent="0.25"/>
    <row r="30777" hidden="1" x14ac:dyDescent="0.25"/>
    <row r="30778" hidden="1" x14ac:dyDescent="0.25"/>
    <row r="30779" hidden="1" x14ac:dyDescent="0.25"/>
    <row r="30780" hidden="1" x14ac:dyDescent="0.25"/>
    <row r="30781" hidden="1" x14ac:dyDescent="0.25"/>
    <row r="30782" hidden="1" x14ac:dyDescent="0.25"/>
    <row r="30783" hidden="1" x14ac:dyDescent="0.25"/>
    <row r="30784" hidden="1" x14ac:dyDescent="0.25"/>
    <row r="30785" hidden="1" x14ac:dyDescent="0.25"/>
    <row r="30786" hidden="1" x14ac:dyDescent="0.25"/>
    <row r="30787" hidden="1" x14ac:dyDescent="0.25"/>
    <row r="30788" hidden="1" x14ac:dyDescent="0.25"/>
    <row r="30789" hidden="1" x14ac:dyDescent="0.25"/>
    <row r="30790" hidden="1" x14ac:dyDescent="0.25"/>
    <row r="30791" hidden="1" x14ac:dyDescent="0.25"/>
    <row r="30792" hidden="1" x14ac:dyDescent="0.25"/>
    <row r="30793" hidden="1" x14ac:dyDescent="0.25"/>
    <row r="30794" hidden="1" x14ac:dyDescent="0.25"/>
    <row r="30795" hidden="1" x14ac:dyDescent="0.25"/>
    <row r="30796" hidden="1" x14ac:dyDescent="0.25"/>
    <row r="30797" hidden="1" x14ac:dyDescent="0.25"/>
    <row r="30798" hidden="1" x14ac:dyDescent="0.25"/>
    <row r="30799" hidden="1" x14ac:dyDescent="0.25"/>
    <row r="30800" hidden="1" x14ac:dyDescent="0.25"/>
    <row r="30801" hidden="1" x14ac:dyDescent="0.25"/>
    <row r="30802" hidden="1" x14ac:dyDescent="0.25"/>
    <row r="30803" hidden="1" x14ac:dyDescent="0.25"/>
    <row r="30804" hidden="1" x14ac:dyDescent="0.25"/>
    <row r="30805" hidden="1" x14ac:dyDescent="0.25"/>
    <row r="30806" hidden="1" x14ac:dyDescent="0.25"/>
    <row r="30807" hidden="1" x14ac:dyDescent="0.25"/>
    <row r="30808" hidden="1" x14ac:dyDescent="0.25"/>
    <row r="30809" hidden="1" x14ac:dyDescent="0.25"/>
    <row r="30810" hidden="1" x14ac:dyDescent="0.25"/>
    <row r="30811" hidden="1" x14ac:dyDescent="0.25"/>
    <row r="30812" hidden="1" x14ac:dyDescent="0.25"/>
    <row r="30813" hidden="1" x14ac:dyDescent="0.25"/>
    <row r="30814" hidden="1" x14ac:dyDescent="0.25"/>
    <row r="30815" hidden="1" x14ac:dyDescent="0.25"/>
    <row r="30816" hidden="1" x14ac:dyDescent="0.25"/>
    <row r="30817" hidden="1" x14ac:dyDescent="0.25"/>
    <row r="30818" hidden="1" x14ac:dyDescent="0.25"/>
    <row r="30819" hidden="1" x14ac:dyDescent="0.25"/>
    <row r="30820" hidden="1" x14ac:dyDescent="0.25"/>
    <row r="30821" hidden="1" x14ac:dyDescent="0.25"/>
    <row r="30822" hidden="1" x14ac:dyDescent="0.25"/>
    <row r="30823" hidden="1" x14ac:dyDescent="0.25"/>
    <row r="30824" hidden="1" x14ac:dyDescent="0.25"/>
    <row r="30825" hidden="1" x14ac:dyDescent="0.25"/>
    <row r="30826" hidden="1" x14ac:dyDescent="0.25"/>
    <row r="30827" hidden="1" x14ac:dyDescent="0.25"/>
    <row r="30828" hidden="1" x14ac:dyDescent="0.25"/>
    <row r="30829" hidden="1" x14ac:dyDescent="0.25"/>
    <row r="30830" hidden="1" x14ac:dyDescent="0.25"/>
    <row r="30831" hidden="1" x14ac:dyDescent="0.25"/>
    <row r="30832" hidden="1" x14ac:dyDescent="0.25"/>
    <row r="30833" hidden="1" x14ac:dyDescent="0.25"/>
    <row r="30834" hidden="1" x14ac:dyDescent="0.25"/>
    <row r="30835" hidden="1" x14ac:dyDescent="0.25"/>
    <row r="30836" hidden="1" x14ac:dyDescent="0.25"/>
    <row r="30837" hidden="1" x14ac:dyDescent="0.25"/>
    <row r="30838" hidden="1" x14ac:dyDescent="0.25"/>
    <row r="30839" hidden="1" x14ac:dyDescent="0.25"/>
    <row r="30840" hidden="1" x14ac:dyDescent="0.25"/>
    <row r="30841" hidden="1" x14ac:dyDescent="0.25"/>
    <row r="30842" hidden="1" x14ac:dyDescent="0.25"/>
    <row r="30843" hidden="1" x14ac:dyDescent="0.25"/>
    <row r="30844" hidden="1" x14ac:dyDescent="0.25"/>
    <row r="30845" hidden="1" x14ac:dyDescent="0.25"/>
    <row r="30846" hidden="1" x14ac:dyDescent="0.25"/>
    <row r="30847" hidden="1" x14ac:dyDescent="0.25"/>
    <row r="30848" hidden="1" x14ac:dyDescent="0.25"/>
    <row r="30849" hidden="1" x14ac:dyDescent="0.25"/>
    <row r="30850" hidden="1" x14ac:dyDescent="0.25"/>
    <row r="30851" hidden="1" x14ac:dyDescent="0.25"/>
    <row r="30852" hidden="1" x14ac:dyDescent="0.25"/>
    <row r="30853" hidden="1" x14ac:dyDescent="0.25"/>
    <row r="30854" hidden="1" x14ac:dyDescent="0.25"/>
    <row r="30855" hidden="1" x14ac:dyDescent="0.25"/>
    <row r="30856" hidden="1" x14ac:dyDescent="0.25"/>
    <row r="30857" hidden="1" x14ac:dyDescent="0.25"/>
    <row r="30858" hidden="1" x14ac:dyDescent="0.25"/>
    <row r="30859" hidden="1" x14ac:dyDescent="0.25"/>
    <row r="30860" hidden="1" x14ac:dyDescent="0.25"/>
    <row r="30861" hidden="1" x14ac:dyDescent="0.25"/>
    <row r="30862" hidden="1" x14ac:dyDescent="0.25"/>
    <row r="30863" hidden="1" x14ac:dyDescent="0.25"/>
    <row r="30864" hidden="1" x14ac:dyDescent="0.25"/>
    <row r="30865" hidden="1" x14ac:dyDescent="0.25"/>
    <row r="30866" hidden="1" x14ac:dyDescent="0.25"/>
    <row r="30867" hidden="1" x14ac:dyDescent="0.25"/>
    <row r="30868" hidden="1" x14ac:dyDescent="0.25"/>
    <row r="30869" hidden="1" x14ac:dyDescent="0.25"/>
    <row r="30870" hidden="1" x14ac:dyDescent="0.25"/>
    <row r="30871" hidden="1" x14ac:dyDescent="0.25"/>
    <row r="30872" hidden="1" x14ac:dyDescent="0.25"/>
    <row r="30873" hidden="1" x14ac:dyDescent="0.25"/>
    <row r="30874" hidden="1" x14ac:dyDescent="0.25"/>
    <row r="30875" hidden="1" x14ac:dyDescent="0.25"/>
    <row r="30876" hidden="1" x14ac:dyDescent="0.25"/>
    <row r="30877" hidden="1" x14ac:dyDescent="0.25"/>
    <row r="30878" hidden="1" x14ac:dyDescent="0.25"/>
    <row r="30879" hidden="1" x14ac:dyDescent="0.25"/>
    <row r="30880" hidden="1" x14ac:dyDescent="0.25"/>
    <row r="30881" hidden="1" x14ac:dyDescent="0.25"/>
    <row r="30882" hidden="1" x14ac:dyDescent="0.25"/>
    <row r="30883" hidden="1" x14ac:dyDescent="0.25"/>
    <row r="30884" hidden="1" x14ac:dyDescent="0.25"/>
    <row r="30885" hidden="1" x14ac:dyDescent="0.25"/>
    <row r="30886" hidden="1" x14ac:dyDescent="0.25"/>
    <row r="30887" hidden="1" x14ac:dyDescent="0.25"/>
    <row r="30888" hidden="1" x14ac:dyDescent="0.25"/>
    <row r="30889" hidden="1" x14ac:dyDescent="0.25"/>
    <row r="30890" hidden="1" x14ac:dyDescent="0.25"/>
    <row r="30891" hidden="1" x14ac:dyDescent="0.25"/>
    <row r="30892" hidden="1" x14ac:dyDescent="0.25"/>
    <row r="30893" hidden="1" x14ac:dyDescent="0.25"/>
    <row r="30894" hidden="1" x14ac:dyDescent="0.25"/>
    <row r="30895" hidden="1" x14ac:dyDescent="0.25"/>
    <row r="30896" hidden="1" x14ac:dyDescent="0.25"/>
    <row r="30897" hidden="1" x14ac:dyDescent="0.25"/>
    <row r="30898" hidden="1" x14ac:dyDescent="0.25"/>
    <row r="30899" hidden="1" x14ac:dyDescent="0.25"/>
    <row r="30900" hidden="1" x14ac:dyDescent="0.25"/>
    <row r="30901" hidden="1" x14ac:dyDescent="0.25"/>
    <row r="30902" hidden="1" x14ac:dyDescent="0.25"/>
    <row r="30903" hidden="1" x14ac:dyDescent="0.25"/>
    <row r="30904" hidden="1" x14ac:dyDescent="0.25"/>
    <row r="30905" hidden="1" x14ac:dyDescent="0.25"/>
    <row r="30906" hidden="1" x14ac:dyDescent="0.25"/>
    <row r="30907" hidden="1" x14ac:dyDescent="0.25"/>
    <row r="30908" hidden="1" x14ac:dyDescent="0.25"/>
    <row r="30909" hidden="1" x14ac:dyDescent="0.25"/>
    <row r="30910" hidden="1" x14ac:dyDescent="0.25"/>
    <row r="30911" hidden="1" x14ac:dyDescent="0.25"/>
    <row r="30912" hidden="1" x14ac:dyDescent="0.25"/>
    <row r="30913" hidden="1" x14ac:dyDescent="0.25"/>
    <row r="30914" hidden="1" x14ac:dyDescent="0.25"/>
    <row r="30915" hidden="1" x14ac:dyDescent="0.25"/>
    <row r="30916" hidden="1" x14ac:dyDescent="0.25"/>
    <row r="30917" hidden="1" x14ac:dyDescent="0.25"/>
    <row r="30918" hidden="1" x14ac:dyDescent="0.25"/>
    <row r="30919" hidden="1" x14ac:dyDescent="0.25"/>
    <row r="30920" hidden="1" x14ac:dyDescent="0.25"/>
    <row r="30921" hidden="1" x14ac:dyDescent="0.25"/>
    <row r="30922" hidden="1" x14ac:dyDescent="0.25"/>
    <row r="30923" hidden="1" x14ac:dyDescent="0.25"/>
    <row r="30924" hidden="1" x14ac:dyDescent="0.25"/>
    <row r="30925" hidden="1" x14ac:dyDescent="0.25"/>
    <row r="30926" hidden="1" x14ac:dyDescent="0.25"/>
    <row r="30927" hidden="1" x14ac:dyDescent="0.25"/>
    <row r="30928" hidden="1" x14ac:dyDescent="0.25"/>
    <row r="30929" hidden="1" x14ac:dyDescent="0.25"/>
    <row r="30930" hidden="1" x14ac:dyDescent="0.25"/>
    <row r="30931" hidden="1" x14ac:dyDescent="0.25"/>
    <row r="30932" hidden="1" x14ac:dyDescent="0.25"/>
    <row r="30933" hidden="1" x14ac:dyDescent="0.25"/>
    <row r="30934" hidden="1" x14ac:dyDescent="0.25"/>
    <row r="30935" hidden="1" x14ac:dyDescent="0.25"/>
    <row r="30936" hidden="1" x14ac:dyDescent="0.25"/>
    <row r="30937" hidden="1" x14ac:dyDescent="0.25"/>
    <row r="30938" hidden="1" x14ac:dyDescent="0.25"/>
    <row r="30939" hidden="1" x14ac:dyDescent="0.25"/>
    <row r="30940" hidden="1" x14ac:dyDescent="0.25"/>
    <row r="30941" hidden="1" x14ac:dyDescent="0.25"/>
    <row r="30942" hidden="1" x14ac:dyDescent="0.25"/>
    <row r="30943" hidden="1" x14ac:dyDescent="0.25"/>
    <row r="30944" hidden="1" x14ac:dyDescent="0.25"/>
    <row r="30945" hidden="1" x14ac:dyDescent="0.25"/>
    <row r="30946" hidden="1" x14ac:dyDescent="0.25"/>
    <row r="30947" hidden="1" x14ac:dyDescent="0.25"/>
    <row r="30948" hidden="1" x14ac:dyDescent="0.25"/>
    <row r="30949" hidden="1" x14ac:dyDescent="0.25"/>
    <row r="30950" hidden="1" x14ac:dyDescent="0.25"/>
    <row r="30951" hidden="1" x14ac:dyDescent="0.25"/>
    <row r="30952" hidden="1" x14ac:dyDescent="0.25"/>
    <row r="30953" hidden="1" x14ac:dyDescent="0.25"/>
    <row r="30954" hidden="1" x14ac:dyDescent="0.25"/>
    <row r="30955" hidden="1" x14ac:dyDescent="0.25"/>
    <row r="30956" hidden="1" x14ac:dyDescent="0.25"/>
    <row r="30957" hidden="1" x14ac:dyDescent="0.25"/>
    <row r="30958" hidden="1" x14ac:dyDescent="0.25"/>
    <row r="30959" hidden="1" x14ac:dyDescent="0.25"/>
    <row r="30960" hidden="1" x14ac:dyDescent="0.25"/>
    <row r="30961" hidden="1" x14ac:dyDescent="0.25"/>
    <row r="30962" hidden="1" x14ac:dyDescent="0.25"/>
    <row r="30963" hidden="1" x14ac:dyDescent="0.25"/>
    <row r="30964" hidden="1" x14ac:dyDescent="0.25"/>
    <row r="30965" hidden="1" x14ac:dyDescent="0.25"/>
    <row r="30966" hidden="1" x14ac:dyDescent="0.25"/>
    <row r="30967" hidden="1" x14ac:dyDescent="0.25"/>
    <row r="30968" hidden="1" x14ac:dyDescent="0.25"/>
    <row r="30969" hidden="1" x14ac:dyDescent="0.25"/>
    <row r="30970" hidden="1" x14ac:dyDescent="0.25"/>
    <row r="30971" hidden="1" x14ac:dyDescent="0.25"/>
    <row r="30972" hidden="1" x14ac:dyDescent="0.25"/>
    <row r="30973" hidden="1" x14ac:dyDescent="0.25"/>
    <row r="30974" hidden="1" x14ac:dyDescent="0.25"/>
    <row r="30975" hidden="1" x14ac:dyDescent="0.25"/>
    <row r="30976" hidden="1" x14ac:dyDescent="0.25"/>
    <row r="30977" hidden="1" x14ac:dyDescent="0.25"/>
    <row r="30978" hidden="1" x14ac:dyDescent="0.25"/>
    <row r="30979" hidden="1" x14ac:dyDescent="0.25"/>
    <row r="30980" hidden="1" x14ac:dyDescent="0.25"/>
    <row r="30981" hidden="1" x14ac:dyDescent="0.25"/>
    <row r="30982" hidden="1" x14ac:dyDescent="0.25"/>
    <row r="30983" hidden="1" x14ac:dyDescent="0.25"/>
    <row r="30984" hidden="1" x14ac:dyDescent="0.25"/>
    <row r="30985" hidden="1" x14ac:dyDescent="0.25"/>
    <row r="30986" hidden="1" x14ac:dyDescent="0.25"/>
    <row r="30987" hidden="1" x14ac:dyDescent="0.25"/>
    <row r="30988" hidden="1" x14ac:dyDescent="0.25"/>
    <row r="30989" hidden="1" x14ac:dyDescent="0.25"/>
    <row r="30990" hidden="1" x14ac:dyDescent="0.25"/>
    <row r="30991" hidden="1" x14ac:dyDescent="0.25"/>
    <row r="30992" hidden="1" x14ac:dyDescent="0.25"/>
    <row r="30993" hidden="1" x14ac:dyDescent="0.25"/>
    <row r="30994" hidden="1" x14ac:dyDescent="0.25"/>
    <row r="30995" hidden="1" x14ac:dyDescent="0.25"/>
    <row r="30996" hidden="1" x14ac:dyDescent="0.25"/>
    <row r="30997" hidden="1" x14ac:dyDescent="0.25"/>
    <row r="30998" hidden="1" x14ac:dyDescent="0.25"/>
    <row r="30999" hidden="1" x14ac:dyDescent="0.25"/>
    <row r="31000" hidden="1" x14ac:dyDescent="0.25"/>
    <row r="31001" hidden="1" x14ac:dyDescent="0.25"/>
    <row r="31002" hidden="1" x14ac:dyDescent="0.25"/>
    <row r="31003" hidden="1" x14ac:dyDescent="0.25"/>
    <row r="31004" hidden="1" x14ac:dyDescent="0.25"/>
    <row r="31005" hidden="1" x14ac:dyDescent="0.25"/>
    <row r="31006" hidden="1" x14ac:dyDescent="0.25"/>
    <row r="31007" hidden="1" x14ac:dyDescent="0.25"/>
    <row r="31008" hidden="1" x14ac:dyDescent="0.25"/>
    <row r="31009" hidden="1" x14ac:dyDescent="0.25"/>
    <row r="31010" hidden="1" x14ac:dyDescent="0.25"/>
    <row r="31011" hidden="1" x14ac:dyDescent="0.25"/>
    <row r="31012" hidden="1" x14ac:dyDescent="0.25"/>
    <row r="31013" hidden="1" x14ac:dyDescent="0.25"/>
    <row r="31014" hidden="1" x14ac:dyDescent="0.25"/>
    <row r="31015" hidden="1" x14ac:dyDescent="0.25"/>
    <row r="31016" hidden="1" x14ac:dyDescent="0.25"/>
    <row r="31017" hidden="1" x14ac:dyDescent="0.25"/>
    <row r="31018" hidden="1" x14ac:dyDescent="0.25"/>
    <row r="31019" hidden="1" x14ac:dyDescent="0.25"/>
    <row r="31020" hidden="1" x14ac:dyDescent="0.25"/>
    <row r="31021" hidden="1" x14ac:dyDescent="0.25"/>
    <row r="31022" hidden="1" x14ac:dyDescent="0.25"/>
    <row r="31023" hidden="1" x14ac:dyDescent="0.25"/>
    <row r="31024" hidden="1" x14ac:dyDescent="0.25"/>
    <row r="31025" hidden="1" x14ac:dyDescent="0.25"/>
    <row r="31026" hidden="1" x14ac:dyDescent="0.25"/>
    <row r="31027" hidden="1" x14ac:dyDescent="0.25"/>
    <row r="31028" hidden="1" x14ac:dyDescent="0.25"/>
    <row r="31029" hidden="1" x14ac:dyDescent="0.25"/>
    <row r="31030" hidden="1" x14ac:dyDescent="0.25"/>
    <row r="31031" hidden="1" x14ac:dyDescent="0.25"/>
    <row r="31032" hidden="1" x14ac:dyDescent="0.25"/>
    <row r="31033" hidden="1" x14ac:dyDescent="0.25"/>
    <row r="31034" hidden="1" x14ac:dyDescent="0.25"/>
    <row r="31035" hidden="1" x14ac:dyDescent="0.25"/>
    <row r="31036" hidden="1" x14ac:dyDescent="0.25"/>
    <row r="31037" hidden="1" x14ac:dyDescent="0.25"/>
    <row r="31038" hidden="1" x14ac:dyDescent="0.25"/>
    <row r="31039" hidden="1" x14ac:dyDescent="0.25"/>
    <row r="31040" hidden="1" x14ac:dyDescent="0.25"/>
    <row r="31041" hidden="1" x14ac:dyDescent="0.25"/>
    <row r="31042" hidden="1" x14ac:dyDescent="0.25"/>
    <row r="31043" hidden="1" x14ac:dyDescent="0.25"/>
    <row r="31044" hidden="1" x14ac:dyDescent="0.25"/>
    <row r="31045" hidden="1" x14ac:dyDescent="0.25"/>
    <row r="31046" hidden="1" x14ac:dyDescent="0.25"/>
    <row r="31047" hidden="1" x14ac:dyDescent="0.25"/>
    <row r="31048" hidden="1" x14ac:dyDescent="0.25"/>
    <row r="31049" hidden="1" x14ac:dyDescent="0.25"/>
    <row r="31050" hidden="1" x14ac:dyDescent="0.25"/>
    <row r="31051" hidden="1" x14ac:dyDescent="0.25"/>
    <row r="31052" hidden="1" x14ac:dyDescent="0.25"/>
    <row r="31053" hidden="1" x14ac:dyDescent="0.25"/>
    <row r="31054" hidden="1" x14ac:dyDescent="0.25"/>
    <row r="31055" hidden="1" x14ac:dyDescent="0.25"/>
    <row r="31056" hidden="1" x14ac:dyDescent="0.25"/>
    <row r="31057" hidden="1" x14ac:dyDescent="0.25"/>
    <row r="31058" hidden="1" x14ac:dyDescent="0.25"/>
    <row r="31059" hidden="1" x14ac:dyDescent="0.25"/>
    <row r="31060" hidden="1" x14ac:dyDescent="0.25"/>
    <row r="31061" hidden="1" x14ac:dyDescent="0.25"/>
    <row r="31062" hidden="1" x14ac:dyDescent="0.25"/>
    <row r="31063" hidden="1" x14ac:dyDescent="0.25"/>
    <row r="31064" hidden="1" x14ac:dyDescent="0.25"/>
    <row r="31065" hidden="1" x14ac:dyDescent="0.25"/>
    <row r="31066" hidden="1" x14ac:dyDescent="0.25"/>
    <row r="31067" hidden="1" x14ac:dyDescent="0.25"/>
    <row r="31068" hidden="1" x14ac:dyDescent="0.25"/>
    <row r="31069" hidden="1" x14ac:dyDescent="0.25"/>
    <row r="31070" hidden="1" x14ac:dyDescent="0.25"/>
    <row r="31071" hidden="1" x14ac:dyDescent="0.25"/>
    <row r="31072" hidden="1" x14ac:dyDescent="0.25"/>
    <row r="31073" hidden="1" x14ac:dyDescent="0.25"/>
    <row r="31074" hidden="1" x14ac:dyDescent="0.25"/>
    <row r="31075" hidden="1" x14ac:dyDescent="0.25"/>
    <row r="31076" hidden="1" x14ac:dyDescent="0.25"/>
    <row r="31077" hidden="1" x14ac:dyDescent="0.25"/>
    <row r="31078" hidden="1" x14ac:dyDescent="0.25"/>
    <row r="31079" hidden="1" x14ac:dyDescent="0.25"/>
    <row r="31080" hidden="1" x14ac:dyDescent="0.25"/>
    <row r="31081" hidden="1" x14ac:dyDescent="0.25"/>
    <row r="31082" hidden="1" x14ac:dyDescent="0.25"/>
    <row r="31083" hidden="1" x14ac:dyDescent="0.25"/>
    <row r="31084" hidden="1" x14ac:dyDescent="0.25"/>
    <row r="31085" hidden="1" x14ac:dyDescent="0.25"/>
    <row r="31086" hidden="1" x14ac:dyDescent="0.25"/>
    <row r="31087" hidden="1" x14ac:dyDescent="0.25"/>
    <row r="31088" hidden="1" x14ac:dyDescent="0.25"/>
    <row r="31089" hidden="1" x14ac:dyDescent="0.25"/>
    <row r="31090" hidden="1" x14ac:dyDescent="0.25"/>
    <row r="31091" hidden="1" x14ac:dyDescent="0.25"/>
    <row r="31092" hidden="1" x14ac:dyDescent="0.25"/>
    <row r="31093" hidden="1" x14ac:dyDescent="0.25"/>
    <row r="31094" hidden="1" x14ac:dyDescent="0.25"/>
    <row r="31095" hidden="1" x14ac:dyDescent="0.25"/>
    <row r="31096" hidden="1" x14ac:dyDescent="0.25"/>
    <row r="31097" hidden="1" x14ac:dyDescent="0.25"/>
    <row r="31098" hidden="1" x14ac:dyDescent="0.25"/>
    <row r="31099" hidden="1" x14ac:dyDescent="0.25"/>
    <row r="31100" hidden="1" x14ac:dyDescent="0.25"/>
    <row r="31101" hidden="1" x14ac:dyDescent="0.25"/>
    <row r="31102" hidden="1" x14ac:dyDescent="0.25"/>
    <row r="31103" hidden="1" x14ac:dyDescent="0.25"/>
    <row r="31104" hidden="1" x14ac:dyDescent="0.25"/>
    <row r="31105" hidden="1" x14ac:dyDescent="0.25"/>
    <row r="31106" hidden="1" x14ac:dyDescent="0.25"/>
    <row r="31107" hidden="1" x14ac:dyDescent="0.25"/>
    <row r="31108" hidden="1" x14ac:dyDescent="0.25"/>
    <row r="31109" hidden="1" x14ac:dyDescent="0.25"/>
    <row r="31110" hidden="1" x14ac:dyDescent="0.25"/>
    <row r="31111" hidden="1" x14ac:dyDescent="0.25"/>
    <row r="31112" hidden="1" x14ac:dyDescent="0.25"/>
    <row r="31113" hidden="1" x14ac:dyDescent="0.25"/>
    <row r="31114" hidden="1" x14ac:dyDescent="0.25"/>
    <row r="31115" hidden="1" x14ac:dyDescent="0.25"/>
    <row r="31116" hidden="1" x14ac:dyDescent="0.25"/>
    <row r="31117" hidden="1" x14ac:dyDescent="0.25"/>
    <row r="31118" hidden="1" x14ac:dyDescent="0.25"/>
    <row r="31119" hidden="1" x14ac:dyDescent="0.25"/>
    <row r="31120" hidden="1" x14ac:dyDescent="0.25"/>
    <row r="31121" hidden="1" x14ac:dyDescent="0.25"/>
    <row r="31122" hidden="1" x14ac:dyDescent="0.25"/>
    <row r="31123" hidden="1" x14ac:dyDescent="0.25"/>
    <row r="31124" hidden="1" x14ac:dyDescent="0.25"/>
    <row r="31125" hidden="1" x14ac:dyDescent="0.25"/>
    <row r="31126" hidden="1" x14ac:dyDescent="0.25"/>
    <row r="31127" hidden="1" x14ac:dyDescent="0.25"/>
    <row r="31128" hidden="1" x14ac:dyDescent="0.25"/>
    <row r="31129" hidden="1" x14ac:dyDescent="0.25"/>
    <row r="31130" hidden="1" x14ac:dyDescent="0.25"/>
    <row r="31131" hidden="1" x14ac:dyDescent="0.25"/>
    <row r="31132" hidden="1" x14ac:dyDescent="0.25"/>
    <row r="31133" hidden="1" x14ac:dyDescent="0.25"/>
    <row r="31134" hidden="1" x14ac:dyDescent="0.25"/>
    <row r="31135" hidden="1" x14ac:dyDescent="0.25"/>
    <row r="31136" hidden="1" x14ac:dyDescent="0.25"/>
    <row r="31137" hidden="1" x14ac:dyDescent="0.25"/>
    <row r="31138" hidden="1" x14ac:dyDescent="0.25"/>
    <row r="31139" hidden="1" x14ac:dyDescent="0.25"/>
    <row r="31140" hidden="1" x14ac:dyDescent="0.25"/>
    <row r="31141" hidden="1" x14ac:dyDescent="0.25"/>
    <row r="31142" hidden="1" x14ac:dyDescent="0.25"/>
    <row r="31143" hidden="1" x14ac:dyDescent="0.25"/>
    <row r="31144" hidden="1" x14ac:dyDescent="0.25"/>
    <row r="31145" hidden="1" x14ac:dyDescent="0.25"/>
    <row r="31146" hidden="1" x14ac:dyDescent="0.25"/>
    <row r="31147" hidden="1" x14ac:dyDescent="0.25"/>
    <row r="31148" hidden="1" x14ac:dyDescent="0.25"/>
    <row r="31149" hidden="1" x14ac:dyDescent="0.25"/>
    <row r="31150" hidden="1" x14ac:dyDescent="0.25"/>
    <row r="31151" hidden="1" x14ac:dyDescent="0.25"/>
    <row r="31152" hidden="1" x14ac:dyDescent="0.25"/>
    <row r="31153" hidden="1" x14ac:dyDescent="0.25"/>
    <row r="31154" hidden="1" x14ac:dyDescent="0.25"/>
    <row r="31155" hidden="1" x14ac:dyDescent="0.25"/>
    <row r="31156" hidden="1" x14ac:dyDescent="0.25"/>
    <row r="31157" hidden="1" x14ac:dyDescent="0.25"/>
    <row r="31158" hidden="1" x14ac:dyDescent="0.25"/>
    <row r="31159" hidden="1" x14ac:dyDescent="0.25"/>
    <row r="31160" hidden="1" x14ac:dyDescent="0.25"/>
    <row r="31161" hidden="1" x14ac:dyDescent="0.25"/>
    <row r="31162" hidden="1" x14ac:dyDescent="0.25"/>
    <row r="31163" hidden="1" x14ac:dyDescent="0.25"/>
    <row r="31164" hidden="1" x14ac:dyDescent="0.25"/>
    <row r="31165" hidden="1" x14ac:dyDescent="0.25"/>
    <row r="31166" hidden="1" x14ac:dyDescent="0.25"/>
    <row r="31167" hidden="1" x14ac:dyDescent="0.25"/>
    <row r="31168" hidden="1" x14ac:dyDescent="0.25"/>
    <row r="31169" hidden="1" x14ac:dyDescent="0.25"/>
    <row r="31170" hidden="1" x14ac:dyDescent="0.25"/>
    <row r="31171" hidden="1" x14ac:dyDescent="0.25"/>
    <row r="31172" hidden="1" x14ac:dyDescent="0.25"/>
    <row r="31173" hidden="1" x14ac:dyDescent="0.25"/>
    <row r="31174" hidden="1" x14ac:dyDescent="0.25"/>
    <row r="31175" hidden="1" x14ac:dyDescent="0.25"/>
    <row r="31176" hidden="1" x14ac:dyDescent="0.25"/>
    <row r="31177" hidden="1" x14ac:dyDescent="0.25"/>
    <row r="31178" hidden="1" x14ac:dyDescent="0.25"/>
    <row r="31179" hidden="1" x14ac:dyDescent="0.25"/>
    <row r="31180" hidden="1" x14ac:dyDescent="0.25"/>
    <row r="31181" hidden="1" x14ac:dyDescent="0.25"/>
    <row r="31182" hidden="1" x14ac:dyDescent="0.25"/>
    <row r="31183" hidden="1" x14ac:dyDescent="0.25"/>
    <row r="31184" hidden="1" x14ac:dyDescent="0.25"/>
    <row r="31185" hidden="1" x14ac:dyDescent="0.25"/>
    <row r="31186" hidden="1" x14ac:dyDescent="0.25"/>
    <row r="31187" hidden="1" x14ac:dyDescent="0.25"/>
    <row r="31188" hidden="1" x14ac:dyDescent="0.25"/>
    <row r="31189" hidden="1" x14ac:dyDescent="0.25"/>
    <row r="31190" hidden="1" x14ac:dyDescent="0.25"/>
    <row r="31191" hidden="1" x14ac:dyDescent="0.25"/>
    <row r="31192" hidden="1" x14ac:dyDescent="0.25"/>
    <row r="31193" hidden="1" x14ac:dyDescent="0.25"/>
    <row r="31194" hidden="1" x14ac:dyDescent="0.25"/>
    <row r="31195" hidden="1" x14ac:dyDescent="0.25"/>
    <row r="31196" hidden="1" x14ac:dyDescent="0.25"/>
    <row r="31197" hidden="1" x14ac:dyDescent="0.25"/>
    <row r="31198" hidden="1" x14ac:dyDescent="0.25"/>
    <row r="31199" hidden="1" x14ac:dyDescent="0.25"/>
    <row r="31200" hidden="1" x14ac:dyDescent="0.25"/>
    <row r="31201" hidden="1" x14ac:dyDescent="0.25"/>
    <row r="31202" hidden="1" x14ac:dyDescent="0.25"/>
    <row r="31203" hidden="1" x14ac:dyDescent="0.25"/>
    <row r="31204" hidden="1" x14ac:dyDescent="0.25"/>
    <row r="31205" hidden="1" x14ac:dyDescent="0.25"/>
    <row r="31206" hidden="1" x14ac:dyDescent="0.25"/>
    <row r="31207" hidden="1" x14ac:dyDescent="0.25"/>
    <row r="31208" hidden="1" x14ac:dyDescent="0.25"/>
    <row r="31209" hidden="1" x14ac:dyDescent="0.25"/>
    <row r="31210" hidden="1" x14ac:dyDescent="0.25"/>
    <row r="31211" hidden="1" x14ac:dyDescent="0.25"/>
    <row r="31212" hidden="1" x14ac:dyDescent="0.25"/>
    <row r="31213" hidden="1" x14ac:dyDescent="0.25"/>
    <row r="31214" hidden="1" x14ac:dyDescent="0.25"/>
    <row r="31215" hidden="1" x14ac:dyDescent="0.25"/>
    <row r="31216" hidden="1" x14ac:dyDescent="0.25"/>
    <row r="31217" hidden="1" x14ac:dyDescent="0.25"/>
    <row r="31218" hidden="1" x14ac:dyDescent="0.25"/>
    <row r="31219" hidden="1" x14ac:dyDescent="0.25"/>
    <row r="31220" hidden="1" x14ac:dyDescent="0.25"/>
    <row r="31221" hidden="1" x14ac:dyDescent="0.25"/>
    <row r="31222" hidden="1" x14ac:dyDescent="0.25"/>
    <row r="31223" hidden="1" x14ac:dyDescent="0.25"/>
    <row r="31224" hidden="1" x14ac:dyDescent="0.25"/>
    <row r="31225" hidden="1" x14ac:dyDescent="0.25"/>
    <row r="31226" hidden="1" x14ac:dyDescent="0.25"/>
    <row r="31227" hidden="1" x14ac:dyDescent="0.25"/>
    <row r="31228" hidden="1" x14ac:dyDescent="0.25"/>
    <row r="31229" hidden="1" x14ac:dyDescent="0.25"/>
    <row r="31230" hidden="1" x14ac:dyDescent="0.25"/>
    <row r="31231" hidden="1" x14ac:dyDescent="0.25"/>
    <row r="31232" hidden="1" x14ac:dyDescent="0.25"/>
    <row r="31233" hidden="1" x14ac:dyDescent="0.25"/>
    <row r="31234" hidden="1" x14ac:dyDescent="0.25"/>
    <row r="31235" hidden="1" x14ac:dyDescent="0.25"/>
    <row r="31236" hidden="1" x14ac:dyDescent="0.25"/>
    <row r="31237" hidden="1" x14ac:dyDescent="0.25"/>
    <row r="31238" hidden="1" x14ac:dyDescent="0.25"/>
    <row r="31239" hidden="1" x14ac:dyDescent="0.25"/>
    <row r="31240" hidden="1" x14ac:dyDescent="0.25"/>
    <row r="31241" hidden="1" x14ac:dyDescent="0.25"/>
    <row r="31242" hidden="1" x14ac:dyDescent="0.25"/>
    <row r="31243" hidden="1" x14ac:dyDescent="0.25"/>
    <row r="31244" hidden="1" x14ac:dyDescent="0.25"/>
    <row r="31245" hidden="1" x14ac:dyDescent="0.25"/>
    <row r="31246" hidden="1" x14ac:dyDescent="0.25"/>
    <row r="31247" hidden="1" x14ac:dyDescent="0.25"/>
    <row r="31248" hidden="1" x14ac:dyDescent="0.25"/>
    <row r="31249" hidden="1" x14ac:dyDescent="0.25"/>
    <row r="31250" hidden="1" x14ac:dyDescent="0.25"/>
    <row r="31251" hidden="1" x14ac:dyDescent="0.25"/>
    <row r="31252" hidden="1" x14ac:dyDescent="0.25"/>
    <row r="31253" hidden="1" x14ac:dyDescent="0.25"/>
    <row r="31254" hidden="1" x14ac:dyDescent="0.25"/>
    <row r="31255" hidden="1" x14ac:dyDescent="0.25"/>
    <row r="31256" hidden="1" x14ac:dyDescent="0.25"/>
    <row r="31257" hidden="1" x14ac:dyDescent="0.25"/>
    <row r="31258" hidden="1" x14ac:dyDescent="0.25"/>
    <row r="31259" hidden="1" x14ac:dyDescent="0.25"/>
    <row r="31260" hidden="1" x14ac:dyDescent="0.25"/>
    <row r="31261" hidden="1" x14ac:dyDescent="0.25"/>
    <row r="31262" hidden="1" x14ac:dyDescent="0.25"/>
    <row r="31263" hidden="1" x14ac:dyDescent="0.25"/>
    <row r="31264" hidden="1" x14ac:dyDescent="0.25"/>
    <row r="31265" hidden="1" x14ac:dyDescent="0.25"/>
    <row r="31266" hidden="1" x14ac:dyDescent="0.25"/>
    <row r="31267" hidden="1" x14ac:dyDescent="0.25"/>
    <row r="31268" hidden="1" x14ac:dyDescent="0.25"/>
    <row r="31269" hidden="1" x14ac:dyDescent="0.25"/>
    <row r="31270" hidden="1" x14ac:dyDescent="0.25"/>
    <row r="31271" hidden="1" x14ac:dyDescent="0.25"/>
    <row r="31272" hidden="1" x14ac:dyDescent="0.25"/>
    <row r="31273" hidden="1" x14ac:dyDescent="0.25"/>
    <row r="31274" hidden="1" x14ac:dyDescent="0.25"/>
    <row r="31275" hidden="1" x14ac:dyDescent="0.25"/>
    <row r="31276" hidden="1" x14ac:dyDescent="0.25"/>
    <row r="31277" hidden="1" x14ac:dyDescent="0.25"/>
    <row r="31278" hidden="1" x14ac:dyDescent="0.25"/>
    <row r="31279" hidden="1" x14ac:dyDescent="0.25"/>
    <row r="31280" hidden="1" x14ac:dyDescent="0.25"/>
    <row r="31281" hidden="1" x14ac:dyDescent="0.25"/>
    <row r="31282" hidden="1" x14ac:dyDescent="0.25"/>
    <row r="31283" hidden="1" x14ac:dyDescent="0.25"/>
    <row r="31284" hidden="1" x14ac:dyDescent="0.25"/>
    <row r="31285" hidden="1" x14ac:dyDescent="0.25"/>
    <row r="31286" hidden="1" x14ac:dyDescent="0.25"/>
    <row r="31287" hidden="1" x14ac:dyDescent="0.25"/>
    <row r="31288" hidden="1" x14ac:dyDescent="0.25"/>
    <row r="31289" hidden="1" x14ac:dyDescent="0.25"/>
    <row r="31290" hidden="1" x14ac:dyDescent="0.25"/>
    <row r="31291" hidden="1" x14ac:dyDescent="0.25"/>
    <row r="31292" hidden="1" x14ac:dyDescent="0.25"/>
    <row r="31293" hidden="1" x14ac:dyDescent="0.25"/>
    <row r="31294" hidden="1" x14ac:dyDescent="0.25"/>
    <row r="31295" hidden="1" x14ac:dyDescent="0.25"/>
    <row r="31296" hidden="1" x14ac:dyDescent="0.25"/>
    <row r="31297" hidden="1" x14ac:dyDescent="0.25"/>
    <row r="31298" hidden="1" x14ac:dyDescent="0.25"/>
    <row r="31299" hidden="1" x14ac:dyDescent="0.25"/>
    <row r="31300" hidden="1" x14ac:dyDescent="0.25"/>
    <row r="31301" hidden="1" x14ac:dyDescent="0.25"/>
    <row r="31302" hidden="1" x14ac:dyDescent="0.25"/>
    <row r="31303" hidden="1" x14ac:dyDescent="0.25"/>
    <row r="31304" hidden="1" x14ac:dyDescent="0.25"/>
    <row r="31305" hidden="1" x14ac:dyDescent="0.25"/>
    <row r="31306" hidden="1" x14ac:dyDescent="0.25"/>
    <row r="31307" hidden="1" x14ac:dyDescent="0.25"/>
    <row r="31308" hidden="1" x14ac:dyDescent="0.25"/>
    <row r="31309" hidden="1" x14ac:dyDescent="0.25"/>
    <row r="31310" hidden="1" x14ac:dyDescent="0.25"/>
    <row r="31311" hidden="1" x14ac:dyDescent="0.25"/>
    <row r="31312" hidden="1" x14ac:dyDescent="0.25"/>
    <row r="31313" hidden="1" x14ac:dyDescent="0.25"/>
    <row r="31314" hidden="1" x14ac:dyDescent="0.25"/>
    <row r="31315" hidden="1" x14ac:dyDescent="0.25"/>
    <row r="31316" hidden="1" x14ac:dyDescent="0.25"/>
    <row r="31317" hidden="1" x14ac:dyDescent="0.25"/>
    <row r="31318" hidden="1" x14ac:dyDescent="0.25"/>
    <row r="31319" hidden="1" x14ac:dyDescent="0.25"/>
    <row r="31320" hidden="1" x14ac:dyDescent="0.25"/>
    <row r="31321" hidden="1" x14ac:dyDescent="0.25"/>
    <row r="31322" hidden="1" x14ac:dyDescent="0.25"/>
    <row r="31323" hidden="1" x14ac:dyDescent="0.25"/>
    <row r="31324" hidden="1" x14ac:dyDescent="0.25"/>
    <row r="31325" hidden="1" x14ac:dyDescent="0.25"/>
    <row r="31326" hidden="1" x14ac:dyDescent="0.25"/>
    <row r="31327" hidden="1" x14ac:dyDescent="0.25"/>
    <row r="31328" hidden="1" x14ac:dyDescent="0.25"/>
    <row r="31329" hidden="1" x14ac:dyDescent="0.25"/>
    <row r="31330" hidden="1" x14ac:dyDescent="0.25"/>
    <row r="31331" hidden="1" x14ac:dyDescent="0.25"/>
    <row r="31332" hidden="1" x14ac:dyDescent="0.25"/>
    <row r="31333" hidden="1" x14ac:dyDescent="0.25"/>
    <row r="31334" hidden="1" x14ac:dyDescent="0.25"/>
    <row r="31335" hidden="1" x14ac:dyDescent="0.25"/>
    <row r="31336" hidden="1" x14ac:dyDescent="0.25"/>
    <row r="31337" hidden="1" x14ac:dyDescent="0.25"/>
    <row r="31338" hidden="1" x14ac:dyDescent="0.25"/>
    <row r="31339" hidden="1" x14ac:dyDescent="0.25"/>
    <row r="31340" hidden="1" x14ac:dyDescent="0.25"/>
    <row r="31341" hidden="1" x14ac:dyDescent="0.25"/>
    <row r="31342" hidden="1" x14ac:dyDescent="0.25"/>
    <row r="31343" hidden="1" x14ac:dyDescent="0.25"/>
    <row r="31344" hidden="1" x14ac:dyDescent="0.25"/>
    <row r="31345" hidden="1" x14ac:dyDescent="0.25"/>
    <row r="31346" hidden="1" x14ac:dyDescent="0.25"/>
    <row r="31347" hidden="1" x14ac:dyDescent="0.25"/>
    <row r="31348" hidden="1" x14ac:dyDescent="0.25"/>
    <row r="31349" hidden="1" x14ac:dyDescent="0.25"/>
    <row r="31350" hidden="1" x14ac:dyDescent="0.25"/>
    <row r="31351" hidden="1" x14ac:dyDescent="0.25"/>
    <row r="31352" hidden="1" x14ac:dyDescent="0.25"/>
    <row r="31353" hidden="1" x14ac:dyDescent="0.25"/>
    <row r="31354" hidden="1" x14ac:dyDescent="0.25"/>
    <row r="31355" hidden="1" x14ac:dyDescent="0.25"/>
    <row r="31356" hidden="1" x14ac:dyDescent="0.25"/>
    <row r="31357" hidden="1" x14ac:dyDescent="0.25"/>
    <row r="31358" hidden="1" x14ac:dyDescent="0.25"/>
    <row r="31359" hidden="1" x14ac:dyDescent="0.25"/>
    <row r="31360" hidden="1" x14ac:dyDescent="0.25"/>
    <row r="31361" hidden="1" x14ac:dyDescent="0.25"/>
    <row r="31362" hidden="1" x14ac:dyDescent="0.25"/>
    <row r="31363" hidden="1" x14ac:dyDescent="0.25"/>
    <row r="31364" hidden="1" x14ac:dyDescent="0.25"/>
    <row r="31365" hidden="1" x14ac:dyDescent="0.25"/>
    <row r="31366" hidden="1" x14ac:dyDescent="0.25"/>
    <row r="31367" hidden="1" x14ac:dyDescent="0.25"/>
    <row r="31368" hidden="1" x14ac:dyDescent="0.25"/>
    <row r="31369" hidden="1" x14ac:dyDescent="0.25"/>
    <row r="31370" hidden="1" x14ac:dyDescent="0.25"/>
    <row r="31371" hidden="1" x14ac:dyDescent="0.25"/>
    <row r="31372" hidden="1" x14ac:dyDescent="0.25"/>
    <row r="31373" hidden="1" x14ac:dyDescent="0.25"/>
    <row r="31374" hidden="1" x14ac:dyDescent="0.25"/>
    <row r="31375" hidden="1" x14ac:dyDescent="0.25"/>
    <row r="31376" hidden="1" x14ac:dyDescent="0.25"/>
    <row r="31377" hidden="1" x14ac:dyDescent="0.25"/>
    <row r="31378" hidden="1" x14ac:dyDescent="0.25"/>
    <row r="31379" hidden="1" x14ac:dyDescent="0.25"/>
    <row r="31380" hidden="1" x14ac:dyDescent="0.25"/>
    <row r="31381" hidden="1" x14ac:dyDescent="0.25"/>
    <row r="31382" hidden="1" x14ac:dyDescent="0.25"/>
    <row r="31383" hidden="1" x14ac:dyDescent="0.25"/>
    <row r="31384" hidden="1" x14ac:dyDescent="0.25"/>
    <row r="31385" hidden="1" x14ac:dyDescent="0.25"/>
    <row r="31386" hidden="1" x14ac:dyDescent="0.25"/>
    <row r="31387" hidden="1" x14ac:dyDescent="0.25"/>
    <row r="31388" hidden="1" x14ac:dyDescent="0.25"/>
    <row r="31389" hidden="1" x14ac:dyDescent="0.25"/>
    <row r="31390" hidden="1" x14ac:dyDescent="0.25"/>
    <row r="31391" hidden="1" x14ac:dyDescent="0.25"/>
    <row r="31392" hidden="1" x14ac:dyDescent="0.25"/>
    <row r="31393" hidden="1" x14ac:dyDescent="0.25"/>
    <row r="31394" hidden="1" x14ac:dyDescent="0.25"/>
    <row r="31395" hidden="1" x14ac:dyDescent="0.25"/>
    <row r="31396" hidden="1" x14ac:dyDescent="0.25"/>
    <row r="31397" hidden="1" x14ac:dyDescent="0.25"/>
    <row r="31398" hidden="1" x14ac:dyDescent="0.25"/>
    <row r="31399" hidden="1" x14ac:dyDescent="0.25"/>
    <row r="31400" hidden="1" x14ac:dyDescent="0.25"/>
    <row r="31401" hidden="1" x14ac:dyDescent="0.25"/>
    <row r="31402" hidden="1" x14ac:dyDescent="0.25"/>
    <row r="31403" hidden="1" x14ac:dyDescent="0.25"/>
    <row r="31404" hidden="1" x14ac:dyDescent="0.25"/>
    <row r="31405" hidden="1" x14ac:dyDescent="0.25"/>
    <row r="31406" hidden="1" x14ac:dyDescent="0.25"/>
    <row r="31407" hidden="1" x14ac:dyDescent="0.25"/>
    <row r="31408" hidden="1" x14ac:dyDescent="0.25"/>
    <row r="31409" hidden="1" x14ac:dyDescent="0.25"/>
    <row r="31410" hidden="1" x14ac:dyDescent="0.25"/>
    <row r="31411" hidden="1" x14ac:dyDescent="0.25"/>
    <row r="31412" hidden="1" x14ac:dyDescent="0.25"/>
    <row r="31413" hidden="1" x14ac:dyDescent="0.25"/>
    <row r="31414" hidden="1" x14ac:dyDescent="0.25"/>
    <row r="31415" hidden="1" x14ac:dyDescent="0.25"/>
    <row r="31416" hidden="1" x14ac:dyDescent="0.25"/>
    <row r="31417" hidden="1" x14ac:dyDescent="0.25"/>
    <row r="31418" hidden="1" x14ac:dyDescent="0.25"/>
    <row r="31419" hidden="1" x14ac:dyDescent="0.25"/>
    <row r="31420" hidden="1" x14ac:dyDescent="0.25"/>
    <row r="31421" hidden="1" x14ac:dyDescent="0.25"/>
    <row r="31422" hidden="1" x14ac:dyDescent="0.25"/>
    <row r="31423" hidden="1" x14ac:dyDescent="0.25"/>
    <row r="31424" hidden="1" x14ac:dyDescent="0.25"/>
    <row r="31425" hidden="1" x14ac:dyDescent="0.25"/>
    <row r="31426" hidden="1" x14ac:dyDescent="0.25"/>
    <row r="31427" hidden="1" x14ac:dyDescent="0.25"/>
    <row r="31428" hidden="1" x14ac:dyDescent="0.25"/>
    <row r="31429" hidden="1" x14ac:dyDescent="0.25"/>
    <row r="31430" hidden="1" x14ac:dyDescent="0.25"/>
    <row r="31431" hidden="1" x14ac:dyDescent="0.25"/>
    <row r="31432" hidden="1" x14ac:dyDescent="0.25"/>
    <row r="31433" hidden="1" x14ac:dyDescent="0.25"/>
    <row r="31434" hidden="1" x14ac:dyDescent="0.25"/>
    <row r="31435" hidden="1" x14ac:dyDescent="0.25"/>
    <row r="31436" hidden="1" x14ac:dyDescent="0.25"/>
    <row r="31437" hidden="1" x14ac:dyDescent="0.25"/>
    <row r="31438" hidden="1" x14ac:dyDescent="0.25"/>
    <row r="31439" hidden="1" x14ac:dyDescent="0.25"/>
    <row r="31440" hidden="1" x14ac:dyDescent="0.25"/>
    <row r="31441" hidden="1" x14ac:dyDescent="0.25"/>
    <row r="31442" hidden="1" x14ac:dyDescent="0.25"/>
    <row r="31443" hidden="1" x14ac:dyDescent="0.25"/>
    <row r="31444" hidden="1" x14ac:dyDescent="0.25"/>
    <row r="31445" hidden="1" x14ac:dyDescent="0.25"/>
    <row r="31446" hidden="1" x14ac:dyDescent="0.25"/>
    <row r="31447" hidden="1" x14ac:dyDescent="0.25"/>
    <row r="31448" hidden="1" x14ac:dyDescent="0.25"/>
    <row r="31449" hidden="1" x14ac:dyDescent="0.25"/>
    <row r="31450" hidden="1" x14ac:dyDescent="0.25"/>
    <row r="31451" hidden="1" x14ac:dyDescent="0.25"/>
    <row r="31452" hidden="1" x14ac:dyDescent="0.25"/>
    <row r="31453" hidden="1" x14ac:dyDescent="0.25"/>
    <row r="31454" hidden="1" x14ac:dyDescent="0.25"/>
    <row r="31455" hidden="1" x14ac:dyDescent="0.25"/>
    <row r="31456" hidden="1" x14ac:dyDescent="0.25"/>
    <row r="31457" hidden="1" x14ac:dyDescent="0.25"/>
    <row r="31458" hidden="1" x14ac:dyDescent="0.25"/>
    <row r="31459" hidden="1" x14ac:dyDescent="0.25"/>
    <row r="31460" hidden="1" x14ac:dyDescent="0.25"/>
    <row r="31461" hidden="1" x14ac:dyDescent="0.25"/>
    <row r="31462" hidden="1" x14ac:dyDescent="0.25"/>
    <row r="31463" hidden="1" x14ac:dyDescent="0.25"/>
    <row r="31464" hidden="1" x14ac:dyDescent="0.25"/>
    <row r="31465" hidden="1" x14ac:dyDescent="0.25"/>
    <row r="31466" hidden="1" x14ac:dyDescent="0.25"/>
    <row r="31467" hidden="1" x14ac:dyDescent="0.25"/>
    <row r="31468" hidden="1" x14ac:dyDescent="0.25"/>
    <row r="31469" hidden="1" x14ac:dyDescent="0.25"/>
    <row r="31470" hidden="1" x14ac:dyDescent="0.25"/>
    <row r="31471" hidden="1" x14ac:dyDescent="0.25"/>
    <row r="31472" hidden="1" x14ac:dyDescent="0.25"/>
    <row r="31473" hidden="1" x14ac:dyDescent="0.25"/>
    <row r="31474" hidden="1" x14ac:dyDescent="0.25"/>
    <row r="31475" hidden="1" x14ac:dyDescent="0.25"/>
    <row r="31476" hidden="1" x14ac:dyDescent="0.25"/>
    <row r="31477" hidden="1" x14ac:dyDescent="0.25"/>
    <row r="31478" hidden="1" x14ac:dyDescent="0.25"/>
    <row r="31479" hidden="1" x14ac:dyDescent="0.25"/>
    <row r="31480" hidden="1" x14ac:dyDescent="0.25"/>
    <row r="31481" hidden="1" x14ac:dyDescent="0.25"/>
    <row r="31482" hidden="1" x14ac:dyDescent="0.25"/>
    <row r="31483" hidden="1" x14ac:dyDescent="0.25"/>
    <row r="31484" hidden="1" x14ac:dyDescent="0.25"/>
    <row r="31485" hidden="1" x14ac:dyDescent="0.25"/>
    <row r="31486" hidden="1" x14ac:dyDescent="0.25"/>
    <row r="31487" hidden="1" x14ac:dyDescent="0.25"/>
    <row r="31488" hidden="1" x14ac:dyDescent="0.25"/>
    <row r="31489" hidden="1" x14ac:dyDescent="0.25"/>
    <row r="31490" hidden="1" x14ac:dyDescent="0.25"/>
    <row r="31491" hidden="1" x14ac:dyDescent="0.25"/>
    <row r="31492" hidden="1" x14ac:dyDescent="0.25"/>
    <row r="31493" hidden="1" x14ac:dyDescent="0.25"/>
    <row r="31494" hidden="1" x14ac:dyDescent="0.25"/>
    <row r="31495" hidden="1" x14ac:dyDescent="0.25"/>
    <row r="31496" hidden="1" x14ac:dyDescent="0.25"/>
    <row r="31497" hidden="1" x14ac:dyDescent="0.25"/>
    <row r="31498" hidden="1" x14ac:dyDescent="0.25"/>
    <row r="31499" hidden="1" x14ac:dyDescent="0.25"/>
    <row r="31500" hidden="1" x14ac:dyDescent="0.25"/>
    <row r="31501" hidden="1" x14ac:dyDescent="0.25"/>
    <row r="31502" hidden="1" x14ac:dyDescent="0.25"/>
    <row r="31503" hidden="1" x14ac:dyDescent="0.25"/>
    <row r="31504" hidden="1" x14ac:dyDescent="0.25"/>
    <row r="31505" hidden="1" x14ac:dyDescent="0.25"/>
    <row r="31506" hidden="1" x14ac:dyDescent="0.25"/>
    <row r="31507" hidden="1" x14ac:dyDescent="0.25"/>
    <row r="31508" hidden="1" x14ac:dyDescent="0.25"/>
    <row r="31509" hidden="1" x14ac:dyDescent="0.25"/>
    <row r="31510" hidden="1" x14ac:dyDescent="0.25"/>
    <row r="31511" hidden="1" x14ac:dyDescent="0.25"/>
    <row r="31512" hidden="1" x14ac:dyDescent="0.25"/>
    <row r="31513" hidden="1" x14ac:dyDescent="0.25"/>
    <row r="31514" hidden="1" x14ac:dyDescent="0.25"/>
    <row r="31515" hidden="1" x14ac:dyDescent="0.25"/>
    <row r="31516" hidden="1" x14ac:dyDescent="0.25"/>
    <row r="31517" hidden="1" x14ac:dyDescent="0.25"/>
    <row r="31518" hidden="1" x14ac:dyDescent="0.25"/>
    <row r="31519" hidden="1" x14ac:dyDescent="0.25"/>
    <row r="31520" hidden="1" x14ac:dyDescent="0.25"/>
    <row r="31521" hidden="1" x14ac:dyDescent="0.25"/>
    <row r="31522" hidden="1" x14ac:dyDescent="0.25"/>
    <row r="31523" hidden="1" x14ac:dyDescent="0.25"/>
    <row r="31524" hidden="1" x14ac:dyDescent="0.25"/>
    <row r="31525" hidden="1" x14ac:dyDescent="0.25"/>
    <row r="31526" hidden="1" x14ac:dyDescent="0.25"/>
    <row r="31527" hidden="1" x14ac:dyDescent="0.25"/>
    <row r="31528" hidden="1" x14ac:dyDescent="0.25"/>
    <row r="31529" hidden="1" x14ac:dyDescent="0.25"/>
    <row r="31530" hidden="1" x14ac:dyDescent="0.25"/>
    <row r="31531" hidden="1" x14ac:dyDescent="0.25"/>
    <row r="31532" hidden="1" x14ac:dyDescent="0.25"/>
    <row r="31533" hidden="1" x14ac:dyDescent="0.25"/>
    <row r="31534" hidden="1" x14ac:dyDescent="0.25"/>
    <row r="31535" hidden="1" x14ac:dyDescent="0.25"/>
    <row r="31536" hidden="1" x14ac:dyDescent="0.25"/>
    <row r="31537" hidden="1" x14ac:dyDescent="0.25"/>
    <row r="31538" hidden="1" x14ac:dyDescent="0.25"/>
    <row r="31539" hidden="1" x14ac:dyDescent="0.25"/>
    <row r="31540" hidden="1" x14ac:dyDescent="0.25"/>
    <row r="31541" hidden="1" x14ac:dyDescent="0.25"/>
    <row r="31542" hidden="1" x14ac:dyDescent="0.25"/>
    <row r="31543" hidden="1" x14ac:dyDescent="0.25"/>
    <row r="31544" hidden="1" x14ac:dyDescent="0.25"/>
    <row r="31545" hidden="1" x14ac:dyDescent="0.25"/>
    <row r="31546" hidden="1" x14ac:dyDescent="0.25"/>
    <row r="31547" hidden="1" x14ac:dyDescent="0.25"/>
    <row r="31548" hidden="1" x14ac:dyDescent="0.25"/>
    <row r="31549" hidden="1" x14ac:dyDescent="0.25"/>
    <row r="31550" hidden="1" x14ac:dyDescent="0.25"/>
    <row r="31551" hidden="1" x14ac:dyDescent="0.25"/>
    <row r="31552" hidden="1" x14ac:dyDescent="0.25"/>
    <row r="31553" hidden="1" x14ac:dyDescent="0.25"/>
    <row r="31554" hidden="1" x14ac:dyDescent="0.25"/>
    <row r="31555" hidden="1" x14ac:dyDescent="0.25"/>
    <row r="31556" hidden="1" x14ac:dyDescent="0.25"/>
    <row r="31557" hidden="1" x14ac:dyDescent="0.25"/>
    <row r="31558" hidden="1" x14ac:dyDescent="0.25"/>
    <row r="31559" hidden="1" x14ac:dyDescent="0.25"/>
    <row r="31560" hidden="1" x14ac:dyDescent="0.25"/>
    <row r="31561" hidden="1" x14ac:dyDescent="0.25"/>
    <row r="31562" hidden="1" x14ac:dyDescent="0.25"/>
    <row r="31563" hidden="1" x14ac:dyDescent="0.25"/>
    <row r="31564" hidden="1" x14ac:dyDescent="0.25"/>
    <row r="31565" hidden="1" x14ac:dyDescent="0.25"/>
    <row r="31566" hidden="1" x14ac:dyDescent="0.25"/>
    <row r="31567" hidden="1" x14ac:dyDescent="0.25"/>
    <row r="31568" hidden="1" x14ac:dyDescent="0.25"/>
    <row r="31569" hidden="1" x14ac:dyDescent="0.25"/>
    <row r="31570" hidden="1" x14ac:dyDescent="0.25"/>
    <row r="31571" hidden="1" x14ac:dyDescent="0.25"/>
    <row r="31572" hidden="1" x14ac:dyDescent="0.25"/>
    <row r="31573" hidden="1" x14ac:dyDescent="0.25"/>
    <row r="31574" hidden="1" x14ac:dyDescent="0.25"/>
    <row r="31575" hidden="1" x14ac:dyDescent="0.25"/>
    <row r="31576" hidden="1" x14ac:dyDescent="0.25"/>
    <row r="31577" hidden="1" x14ac:dyDescent="0.25"/>
    <row r="31578" hidden="1" x14ac:dyDescent="0.25"/>
    <row r="31579" hidden="1" x14ac:dyDescent="0.25"/>
    <row r="31580" hidden="1" x14ac:dyDescent="0.25"/>
    <row r="31581" hidden="1" x14ac:dyDescent="0.25"/>
    <row r="31582" hidden="1" x14ac:dyDescent="0.25"/>
    <row r="31583" hidden="1" x14ac:dyDescent="0.25"/>
    <row r="31584" hidden="1" x14ac:dyDescent="0.25"/>
    <row r="31585" hidden="1" x14ac:dyDescent="0.25"/>
    <row r="31586" hidden="1" x14ac:dyDescent="0.25"/>
    <row r="31587" hidden="1" x14ac:dyDescent="0.25"/>
    <row r="31588" hidden="1" x14ac:dyDescent="0.25"/>
    <row r="31589" hidden="1" x14ac:dyDescent="0.25"/>
    <row r="31590" hidden="1" x14ac:dyDescent="0.25"/>
    <row r="31591" hidden="1" x14ac:dyDescent="0.25"/>
    <row r="31592" hidden="1" x14ac:dyDescent="0.25"/>
    <row r="31593" hidden="1" x14ac:dyDescent="0.25"/>
    <row r="31594" hidden="1" x14ac:dyDescent="0.25"/>
    <row r="31595" hidden="1" x14ac:dyDescent="0.25"/>
    <row r="31596" hidden="1" x14ac:dyDescent="0.25"/>
    <row r="31597" hidden="1" x14ac:dyDescent="0.25"/>
    <row r="31598" hidden="1" x14ac:dyDescent="0.25"/>
    <row r="31599" hidden="1" x14ac:dyDescent="0.25"/>
    <row r="31600" hidden="1" x14ac:dyDescent="0.25"/>
    <row r="31601" hidden="1" x14ac:dyDescent="0.25"/>
    <row r="31602" hidden="1" x14ac:dyDescent="0.25"/>
    <row r="31603" hidden="1" x14ac:dyDescent="0.25"/>
    <row r="31604" hidden="1" x14ac:dyDescent="0.25"/>
    <row r="31605" hidden="1" x14ac:dyDescent="0.25"/>
    <row r="31606" hidden="1" x14ac:dyDescent="0.25"/>
    <row r="31607" hidden="1" x14ac:dyDescent="0.25"/>
    <row r="31608" hidden="1" x14ac:dyDescent="0.25"/>
    <row r="31609" hidden="1" x14ac:dyDescent="0.25"/>
    <row r="31610" hidden="1" x14ac:dyDescent="0.25"/>
    <row r="31611" hidden="1" x14ac:dyDescent="0.25"/>
    <row r="31612" hidden="1" x14ac:dyDescent="0.25"/>
    <row r="31613" hidden="1" x14ac:dyDescent="0.25"/>
    <row r="31614" hidden="1" x14ac:dyDescent="0.25"/>
    <row r="31615" hidden="1" x14ac:dyDescent="0.25"/>
    <row r="31616" hidden="1" x14ac:dyDescent="0.25"/>
    <row r="31617" hidden="1" x14ac:dyDescent="0.25"/>
    <row r="31618" hidden="1" x14ac:dyDescent="0.25"/>
    <row r="31619" hidden="1" x14ac:dyDescent="0.25"/>
    <row r="31620" hidden="1" x14ac:dyDescent="0.25"/>
    <row r="31621" hidden="1" x14ac:dyDescent="0.25"/>
    <row r="31622" hidden="1" x14ac:dyDescent="0.25"/>
    <row r="31623" hidden="1" x14ac:dyDescent="0.25"/>
    <row r="31624" hidden="1" x14ac:dyDescent="0.25"/>
    <row r="31625" hidden="1" x14ac:dyDescent="0.25"/>
    <row r="31626" hidden="1" x14ac:dyDescent="0.25"/>
    <row r="31627" hidden="1" x14ac:dyDescent="0.25"/>
    <row r="31628" hidden="1" x14ac:dyDescent="0.25"/>
    <row r="31629" hidden="1" x14ac:dyDescent="0.25"/>
    <row r="31630" hidden="1" x14ac:dyDescent="0.25"/>
    <row r="31631" hidden="1" x14ac:dyDescent="0.25"/>
    <row r="31632" hidden="1" x14ac:dyDescent="0.25"/>
    <row r="31633" hidden="1" x14ac:dyDescent="0.25"/>
    <row r="31634" hidden="1" x14ac:dyDescent="0.25"/>
    <row r="31635" hidden="1" x14ac:dyDescent="0.25"/>
    <row r="31636" hidden="1" x14ac:dyDescent="0.25"/>
    <row r="31637" hidden="1" x14ac:dyDescent="0.25"/>
    <row r="31638" hidden="1" x14ac:dyDescent="0.25"/>
    <row r="31639" hidden="1" x14ac:dyDescent="0.25"/>
    <row r="31640" hidden="1" x14ac:dyDescent="0.25"/>
    <row r="31641" hidden="1" x14ac:dyDescent="0.25"/>
    <row r="31642" hidden="1" x14ac:dyDescent="0.25"/>
    <row r="31643" hidden="1" x14ac:dyDescent="0.25"/>
    <row r="31644" hidden="1" x14ac:dyDescent="0.25"/>
    <row r="31645" hidden="1" x14ac:dyDescent="0.25"/>
    <row r="31646" hidden="1" x14ac:dyDescent="0.25"/>
    <row r="31647" hidden="1" x14ac:dyDescent="0.25"/>
    <row r="31648" hidden="1" x14ac:dyDescent="0.25"/>
    <row r="31649" hidden="1" x14ac:dyDescent="0.25"/>
    <row r="31650" hidden="1" x14ac:dyDescent="0.25"/>
    <row r="31651" hidden="1" x14ac:dyDescent="0.25"/>
    <row r="31652" hidden="1" x14ac:dyDescent="0.25"/>
    <row r="31653" hidden="1" x14ac:dyDescent="0.25"/>
    <row r="31654" hidden="1" x14ac:dyDescent="0.25"/>
    <row r="31655" hidden="1" x14ac:dyDescent="0.25"/>
    <row r="31656" hidden="1" x14ac:dyDescent="0.25"/>
    <row r="31657" hidden="1" x14ac:dyDescent="0.25"/>
    <row r="31658" hidden="1" x14ac:dyDescent="0.25"/>
    <row r="31659" hidden="1" x14ac:dyDescent="0.25"/>
    <row r="31660" hidden="1" x14ac:dyDescent="0.25"/>
    <row r="31661" hidden="1" x14ac:dyDescent="0.25"/>
    <row r="31662" hidden="1" x14ac:dyDescent="0.25"/>
    <row r="31663" hidden="1" x14ac:dyDescent="0.25"/>
    <row r="31664" hidden="1" x14ac:dyDescent="0.25"/>
    <row r="31665" hidden="1" x14ac:dyDescent="0.25"/>
    <row r="31666" hidden="1" x14ac:dyDescent="0.25"/>
    <row r="31667" hidden="1" x14ac:dyDescent="0.25"/>
    <row r="31668" hidden="1" x14ac:dyDescent="0.25"/>
    <row r="31669" hidden="1" x14ac:dyDescent="0.25"/>
    <row r="31670" hidden="1" x14ac:dyDescent="0.25"/>
    <row r="31671" hidden="1" x14ac:dyDescent="0.25"/>
    <row r="31672" hidden="1" x14ac:dyDescent="0.25"/>
    <row r="31673" hidden="1" x14ac:dyDescent="0.25"/>
    <row r="31674" hidden="1" x14ac:dyDescent="0.25"/>
    <row r="31675" hidden="1" x14ac:dyDescent="0.25"/>
    <row r="31676" hidden="1" x14ac:dyDescent="0.25"/>
    <row r="31677" hidden="1" x14ac:dyDescent="0.25"/>
    <row r="31678" hidden="1" x14ac:dyDescent="0.25"/>
    <row r="31679" hidden="1" x14ac:dyDescent="0.25"/>
    <row r="31680" hidden="1" x14ac:dyDescent="0.25"/>
    <row r="31681" hidden="1" x14ac:dyDescent="0.25"/>
    <row r="31682" hidden="1" x14ac:dyDescent="0.25"/>
    <row r="31683" hidden="1" x14ac:dyDescent="0.25"/>
    <row r="31684" hidden="1" x14ac:dyDescent="0.25"/>
    <row r="31685" hidden="1" x14ac:dyDescent="0.25"/>
    <row r="31686" hidden="1" x14ac:dyDescent="0.25"/>
    <row r="31687" hidden="1" x14ac:dyDescent="0.25"/>
    <row r="31688" hidden="1" x14ac:dyDescent="0.25"/>
    <row r="31689" hidden="1" x14ac:dyDescent="0.25"/>
    <row r="31690" hidden="1" x14ac:dyDescent="0.25"/>
    <row r="31691" hidden="1" x14ac:dyDescent="0.25"/>
    <row r="31692" hidden="1" x14ac:dyDescent="0.25"/>
    <row r="31693" hidden="1" x14ac:dyDescent="0.25"/>
    <row r="31694" hidden="1" x14ac:dyDescent="0.25"/>
    <row r="31695" hidden="1" x14ac:dyDescent="0.25"/>
    <row r="31696" hidden="1" x14ac:dyDescent="0.25"/>
    <row r="31697" hidden="1" x14ac:dyDescent="0.25"/>
    <row r="31698" hidden="1" x14ac:dyDescent="0.25"/>
    <row r="31699" hidden="1" x14ac:dyDescent="0.25"/>
    <row r="31700" hidden="1" x14ac:dyDescent="0.25"/>
    <row r="31701" hidden="1" x14ac:dyDescent="0.25"/>
    <row r="31702" hidden="1" x14ac:dyDescent="0.25"/>
    <row r="31703" hidden="1" x14ac:dyDescent="0.25"/>
    <row r="31704" hidden="1" x14ac:dyDescent="0.25"/>
    <row r="31705" hidden="1" x14ac:dyDescent="0.25"/>
    <row r="31706" hidden="1" x14ac:dyDescent="0.25"/>
    <row r="31707" hidden="1" x14ac:dyDescent="0.25"/>
    <row r="31708" hidden="1" x14ac:dyDescent="0.25"/>
    <row r="31709" hidden="1" x14ac:dyDescent="0.25"/>
    <row r="31710" hidden="1" x14ac:dyDescent="0.25"/>
    <row r="31711" hidden="1" x14ac:dyDescent="0.25"/>
    <row r="31712" hidden="1" x14ac:dyDescent="0.25"/>
    <row r="31713" hidden="1" x14ac:dyDescent="0.25"/>
    <row r="31714" hidden="1" x14ac:dyDescent="0.25"/>
    <row r="31715" hidden="1" x14ac:dyDescent="0.25"/>
    <row r="31716" hidden="1" x14ac:dyDescent="0.25"/>
    <row r="31717" hidden="1" x14ac:dyDescent="0.25"/>
    <row r="31718" hidden="1" x14ac:dyDescent="0.25"/>
    <row r="31719" hidden="1" x14ac:dyDescent="0.25"/>
    <row r="31720" hidden="1" x14ac:dyDescent="0.25"/>
    <row r="31721" hidden="1" x14ac:dyDescent="0.25"/>
    <row r="31722" hidden="1" x14ac:dyDescent="0.25"/>
    <row r="31723" hidden="1" x14ac:dyDescent="0.25"/>
    <row r="31724" hidden="1" x14ac:dyDescent="0.25"/>
    <row r="31725" hidden="1" x14ac:dyDescent="0.25"/>
    <row r="31726" hidden="1" x14ac:dyDescent="0.25"/>
    <row r="31727" hidden="1" x14ac:dyDescent="0.25"/>
    <row r="31728" hidden="1" x14ac:dyDescent="0.25"/>
    <row r="31729" hidden="1" x14ac:dyDescent="0.25"/>
    <row r="31730" hidden="1" x14ac:dyDescent="0.25"/>
    <row r="31731" hidden="1" x14ac:dyDescent="0.25"/>
    <row r="31732" hidden="1" x14ac:dyDescent="0.25"/>
    <row r="31733" hidden="1" x14ac:dyDescent="0.25"/>
    <row r="31734" hidden="1" x14ac:dyDescent="0.25"/>
    <row r="31735" hidden="1" x14ac:dyDescent="0.25"/>
    <row r="31736" hidden="1" x14ac:dyDescent="0.25"/>
    <row r="31737" hidden="1" x14ac:dyDescent="0.25"/>
    <row r="31738" hidden="1" x14ac:dyDescent="0.25"/>
    <row r="31739" hidden="1" x14ac:dyDescent="0.25"/>
    <row r="31740" hidden="1" x14ac:dyDescent="0.25"/>
    <row r="31741" hidden="1" x14ac:dyDescent="0.25"/>
    <row r="31742" hidden="1" x14ac:dyDescent="0.25"/>
    <row r="31743" hidden="1" x14ac:dyDescent="0.25"/>
    <row r="31744" hidden="1" x14ac:dyDescent="0.25"/>
    <row r="31745" hidden="1" x14ac:dyDescent="0.25"/>
    <row r="31746" hidden="1" x14ac:dyDescent="0.25"/>
    <row r="31747" hidden="1" x14ac:dyDescent="0.25"/>
    <row r="31748" hidden="1" x14ac:dyDescent="0.25"/>
    <row r="31749" hidden="1" x14ac:dyDescent="0.25"/>
    <row r="31750" hidden="1" x14ac:dyDescent="0.25"/>
    <row r="31751" hidden="1" x14ac:dyDescent="0.25"/>
    <row r="31752" hidden="1" x14ac:dyDescent="0.25"/>
    <row r="31753" hidden="1" x14ac:dyDescent="0.25"/>
    <row r="31754" hidden="1" x14ac:dyDescent="0.25"/>
    <row r="31755" hidden="1" x14ac:dyDescent="0.25"/>
    <row r="31756" hidden="1" x14ac:dyDescent="0.25"/>
    <row r="31757" hidden="1" x14ac:dyDescent="0.25"/>
    <row r="31758" hidden="1" x14ac:dyDescent="0.25"/>
    <row r="31759" hidden="1" x14ac:dyDescent="0.25"/>
    <row r="31760" hidden="1" x14ac:dyDescent="0.25"/>
    <row r="31761" hidden="1" x14ac:dyDescent="0.25"/>
    <row r="31762" hidden="1" x14ac:dyDescent="0.25"/>
    <row r="31763" hidden="1" x14ac:dyDescent="0.25"/>
    <row r="31764" hidden="1" x14ac:dyDescent="0.25"/>
    <row r="31765" hidden="1" x14ac:dyDescent="0.25"/>
    <row r="31766" hidden="1" x14ac:dyDescent="0.25"/>
    <row r="31767" hidden="1" x14ac:dyDescent="0.25"/>
    <row r="31768" hidden="1" x14ac:dyDescent="0.25"/>
    <row r="31769" hidden="1" x14ac:dyDescent="0.25"/>
    <row r="31770" hidden="1" x14ac:dyDescent="0.25"/>
    <row r="31771" hidden="1" x14ac:dyDescent="0.25"/>
    <row r="31772" hidden="1" x14ac:dyDescent="0.25"/>
    <row r="31773" hidden="1" x14ac:dyDescent="0.25"/>
    <row r="31774" hidden="1" x14ac:dyDescent="0.25"/>
    <row r="31775" hidden="1" x14ac:dyDescent="0.25"/>
    <row r="31776" hidden="1" x14ac:dyDescent="0.25"/>
    <row r="31777" hidden="1" x14ac:dyDescent="0.25"/>
    <row r="31778" hidden="1" x14ac:dyDescent="0.25"/>
    <row r="31779" hidden="1" x14ac:dyDescent="0.25"/>
    <row r="31780" hidden="1" x14ac:dyDescent="0.25"/>
    <row r="31781" hidden="1" x14ac:dyDescent="0.25"/>
    <row r="31782" hidden="1" x14ac:dyDescent="0.25"/>
    <row r="31783" hidden="1" x14ac:dyDescent="0.25"/>
    <row r="31784" hidden="1" x14ac:dyDescent="0.25"/>
    <row r="31785" hidden="1" x14ac:dyDescent="0.25"/>
    <row r="31786" hidden="1" x14ac:dyDescent="0.25"/>
    <row r="31787" hidden="1" x14ac:dyDescent="0.25"/>
    <row r="31788" hidden="1" x14ac:dyDescent="0.25"/>
    <row r="31789" hidden="1" x14ac:dyDescent="0.25"/>
    <row r="31790" hidden="1" x14ac:dyDescent="0.25"/>
    <row r="31791" hidden="1" x14ac:dyDescent="0.25"/>
    <row r="31792" hidden="1" x14ac:dyDescent="0.25"/>
    <row r="31793" hidden="1" x14ac:dyDescent="0.25"/>
    <row r="31794" hidden="1" x14ac:dyDescent="0.25"/>
    <row r="31795" hidden="1" x14ac:dyDescent="0.25"/>
    <row r="31796" hidden="1" x14ac:dyDescent="0.25"/>
    <row r="31797" hidden="1" x14ac:dyDescent="0.25"/>
    <row r="31798" hidden="1" x14ac:dyDescent="0.25"/>
    <row r="31799" hidden="1" x14ac:dyDescent="0.25"/>
    <row r="31800" hidden="1" x14ac:dyDescent="0.25"/>
    <row r="31801" hidden="1" x14ac:dyDescent="0.25"/>
    <row r="31802" hidden="1" x14ac:dyDescent="0.25"/>
    <row r="31803" hidden="1" x14ac:dyDescent="0.25"/>
    <row r="31804" hidden="1" x14ac:dyDescent="0.25"/>
    <row r="31805" hidden="1" x14ac:dyDescent="0.25"/>
    <row r="31806" hidden="1" x14ac:dyDescent="0.25"/>
    <row r="31807" hidden="1" x14ac:dyDescent="0.25"/>
    <row r="31808" hidden="1" x14ac:dyDescent="0.25"/>
    <row r="31809" hidden="1" x14ac:dyDescent="0.25"/>
    <row r="31810" hidden="1" x14ac:dyDescent="0.25"/>
    <row r="31811" hidden="1" x14ac:dyDescent="0.25"/>
    <row r="31812" hidden="1" x14ac:dyDescent="0.25"/>
    <row r="31813" hidden="1" x14ac:dyDescent="0.25"/>
    <row r="31814" hidden="1" x14ac:dyDescent="0.25"/>
    <row r="31815" hidden="1" x14ac:dyDescent="0.25"/>
    <row r="31816" hidden="1" x14ac:dyDescent="0.25"/>
    <row r="31817" hidden="1" x14ac:dyDescent="0.25"/>
    <row r="31818" hidden="1" x14ac:dyDescent="0.25"/>
    <row r="31819" hidden="1" x14ac:dyDescent="0.25"/>
    <row r="31820" hidden="1" x14ac:dyDescent="0.25"/>
    <row r="31821" hidden="1" x14ac:dyDescent="0.25"/>
    <row r="31822" hidden="1" x14ac:dyDescent="0.25"/>
    <row r="31823" hidden="1" x14ac:dyDescent="0.25"/>
    <row r="31824" hidden="1" x14ac:dyDescent="0.25"/>
    <row r="31825" hidden="1" x14ac:dyDescent="0.25"/>
    <row r="31826" hidden="1" x14ac:dyDescent="0.25"/>
    <row r="31827" hidden="1" x14ac:dyDescent="0.25"/>
    <row r="31828" hidden="1" x14ac:dyDescent="0.25"/>
    <row r="31829" hidden="1" x14ac:dyDescent="0.25"/>
    <row r="31830" hidden="1" x14ac:dyDescent="0.25"/>
    <row r="31831" hidden="1" x14ac:dyDescent="0.25"/>
    <row r="31832" hidden="1" x14ac:dyDescent="0.25"/>
    <row r="31833" hidden="1" x14ac:dyDescent="0.25"/>
    <row r="31834" hidden="1" x14ac:dyDescent="0.25"/>
    <row r="31835" hidden="1" x14ac:dyDescent="0.25"/>
    <row r="31836" hidden="1" x14ac:dyDescent="0.25"/>
    <row r="31837" hidden="1" x14ac:dyDescent="0.25"/>
    <row r="31838" hidden="1" x14ac:dyDescent="0.25"/>
    <row r="31839" hidden="1" x14ac:dyDescent="0.25"/>
    <row r="31840" hidden="1" x14ac:dyDescent="0.25"/>
    <row r="31841" hidden="1" x14ac:dyDescent="0.25"/>
    <row r="31842" hidden="1" x14ac:dyDescent="0.25"/>
    <row r="31843" hidden="1" x14ac:dyDescent="0.25"/>
    <row r="31844" hidden="1" x14ac:dyDescent="0.25"/>
    <row r="31845" hidden="1" x14ac:dyDescent="0.25"/>
    <row r="31846" hidden="1" x14ac:dyDescent="0.25"/>
    <row r="31847" hidden="1" x14ac:dyDescent="0.25"/>
    <row r="31848" hidden="1" x14ac:dyDescent="0.25"/>
    <row r="31849" hidden="1" x14ac:dyDescent="0.25"/>
    <row r="31850" hidden="1" x14ac:dyDescent="0.25"/>
    <row r="31851" hidden="1" x14ac:dyDescent="0.25"/>
    <row r="31852" hidden="1" x14ac:dyDescent="0.25"/>
    <row r="31853" hidden="1" x14ac:dyDescent="0.25"/>
    <row r="31854" hidden="1" x14ac:dyDescent="0.25"/>
    <row r="31855" hidden="1" x14ac:dyDescent="0.25"/>
    <row r="31856" hidden="1" x14ac:dyDescent="0.25"/>
    <row r="31857" hidden="1" x14ac:dyDescent="0.25"/>
    <row r="31858" hidden="1" x14ac:dyDescent="0.25"/>
    <row r="31859" hidden="1" x14ac:dyDescent="0.25"/>
    <row r="31860" hidden="1" x14ac:dyDescent="0.25"/>
    <row r="31861" hidden="1" x14ac:dyDescent="0.25"/>
    <row r="31862" hidden="1" x14ac:dyDescent="0.25"/>
    <row r="31863" hidden="1" x14ac:dyDescent="0.25"/>
    <row r="31864" hidden="1" x14ac:dyDescent="0.25"/>
    <row r="31865" hidden="1" x14ac:dyDescent="0.25"/>
    <row r="31866" hidden="1" x14ac:dyDescent="0.25"/>
    <row r="31867" hidden="1" x14ac:dyDescent="0.25"/>
    <row r="31868" hidden="1" x14ac:dyDescent="0.25"/>
    <row r="31869" hidden="1" x14ac:dyDescent="0.25"/>
    <row r="31870" hidden="1" x14ac:dyDescent="0.25"/>
    <row r="31871" hidden="1" x14ac:dyDescent="0.25"/>
    <row r="31872" hidden="1" x14ac:dyDescent="0.25"/>
    <row r="31873" hidden="1" x14ac:dyDescent="0.25"/>
    <row r="31874" hidden="1" x14ac:dyDescent="0.25"/>
    <row r="31875" hidden="1" x14ac:dyDescent="0.25"/>
    <row r="31876" hidden="1" x14ac:dyDescent="0.25"/>
    <row r="31877" hidden="1" x14ac:dyDescent="0.25"/>
    <row r="31878" hidden="1" x14ac:dyDescent="0.25"/>
    <row r="31879" hidden="1" x14ac:dyDescent="0.25"/>
    <row r="31880" hidden="1" x14ac:dyDescent="0.25"/>
    <row r="31881" hidden="1" x14ac:dyDescent="0.25"/>
    <row r="31882" hidden="1" x14ac:dyDescent="0.25"/>
    <row r="31883" hidden="1" x14ac:dyDescent="0.25"/>
    <row r="31884" hidden="1" x14ac:dyDescent="0.25"/>
    <row r="31885" hidden="1" x14ac:dyDescent="0.25"/>
    <row r="31886" hidden="1" x14ac:dyDescent="0.25"/>
    <row r="31887" hidden="1" x14ac:dyDescent="0.25"/>
    <row r="31888" hidden="1" x14ac:dyDescent="0.25"/>
    <row r="31889" hidden="1" x14ac:dyDescent="0.25"/>
    <row r="31890" hidden="1" x14ac:dyDescent="0.25"/>
    <row r="31891" hidden="1" x14ac:dyDescent="0.25"/>
    <row r="31892" hidden="1" x14ac:dyDescent="0.25"/>
    <row r="31893" hidden="1" x14ac:dyDescent="0.25"/>
    <row r="31894" hidden="1" x14ac:dyDescent="0.25"/>
    <row r="31895" hidden="1" x14ac:dyDescent="0.25"/>
    <row r="31896" hidden="1" x14ac:dyDescent="0.25"/>
    <row r="31897" hidden="1" x14ac:dyDescent="0.25"/>
    <row r="31898" hidden="1" x14ac:dyDescent="0.25"/>
    <row r="31899" hidden="1" x14ac:dyDescent="0.25"/>
    <row r="31900" hidden="1" x14ac:dyDescent="0.25"/>
    <row r="31901" hidden="1" x14ac:dyDescent="0.25"/>
    <row r="31902" hidden="1" x14ac:dyDescent="0.25"/>
    <row r="31903" hidden="1" x14ac:dyDescent="0.25"/>
    <row r="31904" hidden="1" x14ac:dyDescent="0.25"/>
    <row r="31905" hidden="1" x14ac:dyDescent="0.25"/>
    <row r="31906" hidden="1" x14ac:dyDescent="0.25"/>
    <row r="31907" hidden="1" x14ac:dyDescent="0.25"/>
    <row r="31908" hidden="1" x14ac:dyDescent="0.25"/>
    <row r="31909" hidden="1" x14ac:dyDescent="0.25"/>
    <row r="31910" hidden="1" x14ac:dyDescent="0.25"/>
    <row r="31911" hidden="1" x14ac:dyDescent="0.25"/>
    <row r="31912" hidden="1" x14ac:dyDescent="0.25"/>
    <row r="31913" hidden="1" x14ac:dyDescent="0.25"/>
    <row r="31914" hidden="1" x14ac:dyDescent="0.25"/>
    <row r="31915" hidden="1" x14ac:dyDescent="0.25"/>
    <row r="31916" hidden="1" x14ac:dyDescent="0.25"/>
    <row r="31917" hidden="1" x14ac:dyDescent="0.25"/>
    <row r="31918" hidden="1" x14ac:dyDescent="0.25"/>
    <row r="31919" hidden="1" x14ac:dyDescent="0.25"/>
    <row r="31920" hidden="1" x14ac:dyDescent="0.25"/>
    <row r="31921" hidden="1" x14ac:dyDescent="0.25"/>
    <row r="31922" hidden="1" x14ac:dyDescent="0.25"/>
    <row r="31923" hidden="1" x14ac:dyDescent="0.25"/>
    <row r="31924" hidden="1" x14ac:dyDescent="0.25"/>
    <row r="31925" hidden="1" x14ac:dyDescent="0.25"/>
    <row r="31926" hidden="1" x14ac:dyDescent="0.25"/>
    <row r="31927" hidden="1" x14ac:dyDescent="0.25"/>
    <row r="31928" hidden="1" x14ac:dyDescent="0.25"/>
    <row r="31929" hidden="1" x14ac:dyDescent="0.25"/>
    <row r="31930" hidden="1" x14ac:dyDescent="0.25"/>
    <row r="31931" hidden="1" x14ac:dyDescent="0.25"/>
    <row r="31932" hidden="1" x14ac:dyDescent="0.25"/>
    <row r="31933" hidden="1" x14ac:dyDescent="0.25"/>
    <row r="31934" hidden="1" x14ac:dyDescent="0.25"/>
    <row r="31935" hidden="1" x14ac:dyDescent="0.25"/>
    <row r="31936" hidden="1" x14ac:dyDescent="0.25"/>
    <row r="31937" hidden="1" x14ac:dyDescent="0.25"/>
    <row r="31938" hidden="1" x14ac:dyDescent="0.25"/>
    <row r="31939" hidden="1" x14ac:dyDescent="0.25"/>
    <row r="31940" hidden="1" x14ac:dyDescent="0.25"/>
    <row r="31941" hidden="1" x14ac:dyDescent="0.25"/>
    <row r="31942" hidden="1" x14ac:dyDescent="0.25"/>
    <row r="31943" hidden="1" x14ac:dyDescent="0.25"/>
    <row r="31944" hidden="1" x14ac:dyDescent="0.25"/>
    <row r="31945" hidden="1" x14ac:dyDescent="0.25"/>
    <row r="31946" hidden="1" x14ac:dyDescent="0.25"/>
    <row r="31947" hidden="1" x14ac:dyDescent="0.25"/>
    <row r="31948" hidden="1" x14ac:dyDescent="0.25"/>
    <row r="31949" hidden="1" x14ac:dyDescent="0.25"/>
    <row r="31950" hidden="1" x14ac:dyDescent="0.25"/>
    <row r="31951" hidden="1" x14ac:dyDescent="0.25"/>
    <row r="31952" hidden="1" x14ac:dyDescent="0.25"/>
    <row r="31953" hidden="1" x14ac:dyDescent="0.25"/>
    <row r="31954" hidden="1" x14ac:dyDescent="0.25"/>
    <row r="31955" hidden="1" x14ac:dyDescent="0.25"/>
    <row r="31956" hidden="1" x14ac:dyDescent="0.25"/>
    <row r="31957" hidden="1" x14ac:dyDescent="0.25"/>
    <row r="31958" hidden="1" x14ac:dyDescent="0.25"/>
    <row r="31959" hidden="1" x14ac:dyDescent="0.25"/>
    <row r="31960" hidden="1" x14ac:dyDescent="0.25"/>
    <row r="31961" hidden="1" x14ac:dyDescent="0.25"/>
    <row r="31962" hidden="1" x14ac:dyDescent="0.25"/>
    <row r="31963" hidden="1" x14ac:dyDescent="0.25"/>
    <row r="31964" hidden="1" x14ac:dyDescent="0.25"/>
    <row r="31965" hidden="1" x14ac:dyDescent="0.25"/>
    <row r="31966" hidden="1" x14ac:dyDescent="0.25"/>
    <row r="31967" hidden="1" x14ac:dyDescent="0.25"/>
    <row r="31968" hidden="1" x14ac:dyDescent="0.25"/>
    <row r="31969" hidden="1" x14ac:dyDescent="0.25"/>
    <row r="31970" hidden="1" x14ac:dyDescent="0.25"/>
    <row r="31971" hidden="1" x14ac:dyDescent="0.25"/>
    <row r="31972" hidden="1" x14ac:dyDescent="0.25"/>
    <row r="31973" hidden="1" x14ac:dyDescent="0.25"/>
    <row r="31974" hidden="1" x14ac:dyDescent="0.25"/>
    <row r="31975" hidden="1" x14ac:dyDescent="0.25"/>
    <row r="31976" hidden="1" x14ac:dyDescent="0.25"/>
    <row r="31977" hidden="1" x14ac:dyDescent="0.25"/>
    <row r="31978" hidden="1" x14ac:dyDescent="0.25"/>
    <row r="31979" hidden="1" x14ac:dyDescent="0.25"/>
    <row r="31980" hidden="1" x14ac:dyDescent="0.25"/>
    <row r="31981" hidden="1" x14ac:dyDescent="0.25"/>
    <row r="31982" hidden="1" x14ac:dyDescent="0.25"/>
    <row r="31983" hidden="1" x14ac:dyDescent="0.25"/>
    <row r="31984" hidden="1" x14ac:dyDescent="0.25"/>
    <row r="31985" hidden="1" x14ac:dyDescent="0.25"/>
    <row r="31986" hidden="1" x14ac:dyDescent="0.25"/>
    <row r="31987" hidden="1" x14ac:dyDescent="0.25"/>
    <row r="31988" hidden="1" x14ac:dyDescent="0.25"/>
    <row r="31989" hidden="1" x14ac:dyDescent="0.25"/>
    <row r="31990" hidden="1" x14ac:dyDescent="0.25"/>
    <row r="31991" hidden="1" x14ac:dyDescent="0.25"/>
    <row r="31992" hidden="1" x14ac:dyDescent="0.25"/>
    <row r="31993" hidden="1" x14ac:dyDescent="0.25"/>
    <row r="31994" hidden="1" x14ac:dyDescent="0.25"/>
    <row r="31995" hidden="1" x14ac:dyDescent="0.25"/>
    <row r="31996" hidden="1" x14ac:dyDescent="0.25"/>
    <row r="31997" hidden="1" x14ac:dyDescent="0.25"/>
    <row r="31998" hidden="1" x14ac:dyDescent="0.25"/>
    <row r="31999" hidden="1" x14ac:dyDescent="0.25"/>
    <row r="32000" hidden="1" x14ac:dyDescent="0.25"/>
    <row r="32001" hidden="1" x14ac:dyDescent="0.25"/>
    <row r="32002" hidden="1" x14ac:dyDescent="0.25"/>
    <row r="32003" hidden="1" x14ac:dyDescent="0.25"/>
    <row r="32004" hidden="1" x14ac:dyDescent="0.25"/>
    <row r="32005" hidden="1" x14ac:dyDescent="0.25"/>
    <row r="32006" hidden="1" x14ac:dyDescent="0.25"/>
    <row r="32007" hidden="1" x14ac:dyDescent="0.25"/>
    <row r="32008" hidden="1" x14ac:dyDescent="0.25"/>
    <row r="32009" hidden="1" x14ac:dyDescent="0.25"/>
    <row r="32010" hidden="1" x14ac:dyDescent="0.25"/>
    <row r="32011" hidden="1" x14ac:dyDescent="0.25"/>
    <row r="32012" hidden="1" x14ac:dyDescent="0.25"/>
    <row r="32013" hidden="1" x14ac:dyDescent="0.25"/>
    <row r="32014" hidden="1" x14ac:dyDescent="0.25"/>
    <row r="32015" hidden="1" x14ac:dyDescent="0.25"/>
    <row r="32016" hidden="1" x14ac:dyDescent="0.25"/>
    <row r="32017" hidden="1" x14ac:dyDescent="0.25"/>
    <row r="32018" hidden="1" x14ac:dyDescent="0.25"/>
    <row r="32019" hidden="1" x14ac:dyDescent="0.25"/>
    <row r="32020" hidden="1" x14ac:dyDescent="0.25"/>
    <row r="32021" hidden="1" x14ac:dyDescent="0.25"/>
    <row r="32022" hidden="1" x14ac:dyDescent="0.25"/>
    <row r="32023" hidden="1" x14ac:dyDescent="0.25"/>
    <row r="32024" hidden="1" x14ac:dyDescent="0.25"/>
    <row r="32025" hidden="1" x14ac:dyDescent="0.25"/>
    <row r="32026" hidden="1" x14ac:dyDescent="0.25"/>
    <row r="32027" hidden="1" x14ac:dyDescent="0.25"/>
    <row r="32028" hidden="1" x14ac:dyDescent="0.25"/>
    <row r="32029" hidden="1" x14ac:dyDescent="0.25"/>
    <row r="32030" hidden="1" x14ac:dyDescent="0.25"/>
    <row r="32031" hidden="1" x14ac:dyDescent="0.25"/>
    <row r="32032" hidden="1" x14ac:dyDescent="0.25"/>
    <row r="32033" hidden="1" x14ac:dyDescent="0.25"/>
    <row r="32034" hidden="1" x14ac:dyDescent="0.25"/>
    <row r="32035" hidden="1" x14ac:dyDescent="0.25"/>
    <row r="32036" hidden="1" x14ac:dyDescent="0.25"/>
    <row r="32037" hidden="1" x14ac:dyDescent="0.25"/>
    <row r="32038" hidden="1" x14ac:dyDescent="0.25"/>
    <row r="32039" hidden="1" x14ac:dyDescent="0.25"/>
    <row r="32040" hidden="1" x14ac:dyDescent="0.25"/>
    <row r="32041" hidden="1" x14ac:dyDescent="0.25"/>
    <row r="32042" hidden="1" x14ac:dyDescent="0.25"/>
    <row r="32043" hidden="1" x14ac:dyDescent="0.25"/>
    <row r="32044" hidden="1" x14ac:dyDescent="0.25"/>
    <row r="32045" hidden="1" x14ac:dyDescent="0.25"/>
    <row r="32046" hidden="1" x14ac:dyDescent="0.25"/>
    <row r="32047" hidden="1" x14ac:dyDescent="0.25"/>
    <row r="32048" hidden="1" x14ac:dyDescent="0.25"/>
    <row r="32049" hidden="1" x14ac:dyDescent="0.25"/>
    <row r="32050" hidden="1" x14ac:dyDescent="0.25"/>
    <row r="32051" hidden="1" x14ac:dyDescent="0.25"/>
    <row r="32052" hidden="1" x14ac:dyDescent="0.25"/>
    <row r="32053" hidden="1" x14ac:dyDescent="0.25"/>
    <row r="32054" hidden="1" x14ac:dyDescent="0.25"/>
    <row r="32055" hidden="1" x14ac:dyDescent="0.25"/>
    <row r="32056" hidden="1" x14ac:dyDescent="0.25"/>
    <row r="32057" hidden="1" x14ac:dyDescent="0.25"/>
    <row r="32058" hidden="1" x14ac:dyDescent="0.25"/>
    <row r="32059" hidden="1" x14ac:dyDescent="0.25"/>
    <row r="32060" hidden="1" x14ac:dyDescent="0.25"/>
    <row r="32061" hidden="1" x14ac:dyDescent="0.25"/>
    <row r="32062" hidden="1" x14ac:dyDescent="0.25"/>
    <row r="32063" hidden="1" x14ac:dyDescent="0.25"/>
    <row r="32064" hidden="1" x14ac:dyDescent="0.25"/>
    <row r="32065" hidden="1" x14ac:dyDescent="0.25"/>
    <row r="32066" hidden="1" x14ac:dyDescent="0.25"/>
    <row r="32067" hidden="1" x14ac:dyDescent="0.25"/>
    <row r="32068" hidden="1" x14ac:dyDescent="0.25"/>
    <row r="32069" hidden="1" x14ac:dyDescent="0.25"/>
    <row r="32070" hidden="1" x14ac:dyDescent="0.25"/>
    <row r="32071" hidden="1" x14ac:dyDescent="0.25"/>
    <row r="32072" hidden="1" x14ac:dyDescent="0.25"/>
    <row r="32073" hidden="1" x14ac:dyDescent="0.25"/>
    <row r="32074" hidden="1" x14ac:dyDescent="0.25"/>
    <row r="32075" hidden="1" x14ac:dyDescent="0.25"/>
    <row r="32076" hidden="1" x14ac:dyDescent="0.25"/>
    <row r="32077" hidden="1" x14ac:dyDescent="0.25"/>
    <row r="32078" hidden="1" x14ac:dyDescent="0.25"/>
    <row r="32079" hidden="1" x14ac:dyDescent="0.25"/>
    <row r="32080" hidden="1" x14ac:dyDescent="0.25"/>
    <row r="32081" hidden="1" x14ac:dyDescent="0.25"/>
    <row r="32082" hidden="1" x14ac:dyDescent="0.25"/>
    <row r="32083" hidden="1" x14ac:dyDescent="0.25"/>
    <row r="32084" hidden="1" x14ac:dyDescent="0.25"/>
    <row r="32085" hidden="1" x14ac:dyDescent="0.25"/>
    <row r="32086" hidden="1" x14ac:dyDescent="0.25"/>
    <row r="32087" hidden="1" x14ac:dyDescent="0.25"/>
    <row r="32088" hidden="1" x14ac:dyDescent="0.25"/>
    <row r="32089" hidden="1" x14ac:dyDescent="0.25"/>
    <row r="32090" hidden="1" x14ac:dyDescent="0.25"/>
    <row r="32091" hidden="1" x14ac:dyDescent="0.25"/>
    <row r="32092" hidden="1" x14ac:dyDescent="0.25"/>
    <row r="32093" hidden="1" x14ac:dyDescent="0.25"/>
    <row r="32094" hidden="1" x14ac:dyDescent="0.25"/>
    <row r="32095" hidden="1" x14ac:dyDescent="0.25"/>
    <row r="32096" hidden="1" x14ac:dyDescent="0.25"/>
    <row r="32097" hidden="1" x14ac:dyDescent="0.25"/>
    <row r="32098" hidden="1" x14ac:dyDescent="0.25"/>
    <row r="32099" hidden="1" x14ac:dyDescent="0.25"/>
    <row r="32100" hidden="1" x14ac:dyDescent="0.25"/>
    <row r="32101" hidden="1" x14ac:dyDescent="0.25"/>
    <row r="32102" hidden="1" x14ac:dyDescent="0.25"/>
    <row r="32103" hidden="1" x14ac:dyDescent="0.25"/>
    <row r="32104" hidden="1" x14ac:dyDescent="0.25"/>
    <row r="32105" hidden="1" x14ac:dyDescent="0.25"/>
    <row r="32106" hidden="1" x14ac:dyDescent="0.25"/>
    <row r="32107" hidden="1" x14ac:dyDescent="0.25"/>
    <row r="32108" hidden="1" x14ac:dyDescent="0.25"/>
    <row r="32109" hidden="1" x14ac:dyDescent="0.25"/>
    <row r="32110" hidden="1" x14ac:dyDescent="0.25"/>
    <row r="32111" hidden="1" x14ac:dyDescent="0.25"/>
    <row r="32112" hidden="1" x14ac:dyDescent="0.25"/>
    <row r="32113" hidden="1" x14ac:dyDescent="0.25"/>
    <row r="32114" hidden="1" x14ac:dyDescent="0.25"/>
    <row r="32115" hidden="1" x14ac:dyDescent="0.25"/>
    <row r="32116" hidden="1" x14ac:dyDescent="0.25"/>
    <row r="32117" hidden="1" x14ac:dyDescent="0.25"/>
    <row r="32118" hidden="1" x14ac:dyDescent="0.25"/>
    <row r="32119" hidden="1" x14ac:dyDescent="0.25"/>
    <row r="32120" hidden="1" x14ac:dyDescent="0.25"/>
    <row r="32121" hidden="1" x14ac:dyDescent="0.25"/>
    <row r="32122" hidden="1" x14ac:dyDescent="0.25"/>
    <row r="32123" hidden="1" x14ac:dyDescent="0.25"/>
    <row r="32124" hidden="1" x14ac:dyDescent="0.25"/>
    <row r="32125" hidden="1" x14ac:dyDescent="0.25"/>
    <row r="32126" hidden="1" x14ac:dyDescent="0.25"/>
    <row r="32127" hidden="1" x14ac:dyDescent="0.25"/>
    <row r="32128" hidden="1" x14ac:dyDescent="0.25"/>
    <row r="32129" hidden="1" x14ac:dyDescent="0.25"/>
    <row r="32130" hidden="1" x14ac:dyDescent="0.25"/>
    <row r="32131" hidden="1" x14ac:dyDescent="0.25"/>
    <row r="32132" hidden="1" x14ac:dyDescent="0.25"/>
    <row r="32133" hidden="1" x14ac:dyDescent="0.25"/>
    <row r="32134" hidden="1" x14ac:dyDescent="0.25"/>
    <row r="32135" hidden="1" x14ac:dyDescent="0.25"/>
    <row r="32136" hidden="1" x14ac:dyDescent="0.25"/>
    <row r="32137" hidden="1" x14ac:dyDescent="0.25"/>
    <row r="32138" hidden="1" x14ac:dyDescent="0.25"/>
    <row r="32139" hidden="1" x14ac:dyDescent="0.25"/>
    <row r="32140" hidden="1" x14ac:dyDescent="0.25"/>
    <row r="32141" hidden="1" x14ac:dyDescent="0.25"/>
    <row r="32142" hidden="1" x14ac:dyDescent="0.25"/>
    <row r="32143" hidden="1" x14ac:dyDescent="0.25"/>
    <row r="32144" hidden="1" x14ac:dyDescent="0.25"/>
    <row r="32145" hidden="1" x14ac:dyDescent="0.25"/>
    <row r="32146" hidden="1" x14ac:dyDescent="0.25"/>
    <row r="32147" hidden="1" x14ac:dyDescent="0.25"/>
    <row r="32148" hidden="1" x14ac:dyDescent="0.25"/>
    <row r="32149" hidden="1" x14ac:dyDescent="0.25"/>
    <row r="32150" hidden="1" x14ac:dyDescent="0.25"/>
    <row r="32151" hidden="1" x14ac:dyDescent="0.25"/>
    <row r="32152" hidden="1" x14ac:dyDescent="0.25"/>
    <row r="32153" hidden="1" x14ac:dyDescent="0.25"/>
    <row r="32154" hidden="1" x14ac:dyDescent="0.25"/>
    <row r="32155" hidden="1" x14ac:dyDescent="0.25"/>
    <row r="32156" hidden="1" x14ac:dyDescent="0.25"/>
    <row r="32157" hidden="1" x14ac:dyDescent="0.25"/>
    <row r="32158" hidden="1" x14ac:dyDescent="0.25"/>
    <row r="32159" hidden="1" x14ac:dyDescent="0.25"/>
    <row r="32160" hidden="1" x14ac:dyDescent="0.25"/>
    <row r="32161" hidden="1" x14ac:dyDescent="0.25"/>
    <row r="32162" hidden="1" x14ac:dyDescent="0.25"/>
    <row r="32163" hidden="1" x14ac:dyDescent="0.25"/>
    <row r="32164" hidden="1" x14ac:dyDescent="0.25"/>
    <row r="32165" hidden="1" x14ac:dyDescent="0.25"/>
    <row r="32166" hidden="1" x14ac:dyDescent="0.25"/>
    <row r="32167" hidden="1" x14ac:dyDescent="0.25"/>
    <row r="32168" hidden="1" x14ac:dyDescent="0.25"/>
    <row r="32169" hidden="1" x14ac:dyDescent="0.25"/>
    <row r="32170" hidden="1" x14ac:dyDescent="0.25"/>
    <row r="32171" hidden="1" x14ac:dyDescent="0.25"/>
    <row r="32172" hidden="1" x14ac:dyDescent="0.25"/>
    <row r="32173" hidden="1" x14ac:dyDescent="0.25"/>
    <row r="32174" hidden="1" x14ac:dyDescent="0.25"/>
    <row r="32175" hidden="1" x14ac:dyDescent="0.25"/>
    <row r="32176" hidden="1" x14ac:dyDescent="0.25"/>
    <row r="32177" hidden="1" x14ac:dyDescent="0.25"/>
    <row r="32178" hidden="1" x14ac:dyDescent="0.25"/>
    <row r="32179" hidden="1" x14ac:dyDescent="0.25"/>
    <row r="32180" hidden="1" x14ac:dyDescent="0.25"/>
    <row r="32181" hidden="1" x14ac:dyDescent="0.25"/>
    <row r="32182" hidden="1" x14ac:dyDescent="0.25"/>
    <row r="32183" hidden="1" x14ac:dyDescent="0.25"/>
    <row r="32184" hidden="1" x14ac:dyDescent="0.25"/>
    <row r="32185" hidden="1" x14ac:dyDescent="0.25"/>
    <row r="32186" hidden="1" x14ac:dyDescent="0.25"/>
    <row r="32187" hidden="1" x14ac:dyDescent="0.25"/>
    <row r="32188" hidden="1" x14ac:dyDescent="0.25"/>
    <row r="32189" hidden="1" x14ac:dyDescent="0.25"/>
    <row r="32190" hidden="1" x14ac:dyDescent="0.25"/>
    <row r="32191" hidden="1" x14ac:dyDescent="0.25"/>
    <row r="32192" hidden="1" x14ac:dyDescent="0.25"/>
    <row r="32193" hidden="1" x14ac:dyDescent="0.25"/>
    <row r="32194" hidden="1" x14ac:dyDescent="0.25"/>
    <row r="32195" hidden="1" x14ac:dyDescent="0.25"/>
    <row r="32196" hidden="1" x14ac:dyDescent="0.25"/>
    <row r="32197" hidden="1" x14ac:dyDescent="0.25"/>
    <row r="32198" hidden="1" x14ac:dyDescent="0.25"/>
    <row r="32199" hidden="1" x14ac:dyDescent="0.25"/>
    <row r="32200" hidden="1" x14ac:dyDescent="0.25"/>
    <row r="32201" hidden="1" x14ac:dyDescent="0.25"/>
    <row r="32202" hidden="1" x14ac:dyDescent="0.25"/>
    <row r="32203" hidden="1" x14ac:dyDescent="0.25"/>
    <row r="32204" hidden="1" x14ac:dyDescent="0.25"/>
    <row r="32205" hidden="1" x14ac:dyDescent="0.25"/>
    <row r="32206" hidden="1" x14ac:dyDescent="0.25"/>
    <row r="32207" hidden="1" x14ac:dyDescent="0.25"/>
    <row r="32208" hidden="1" x14ac:dyDescent="0.25"/>
    <row r="32209" hidden="1" x14ac:dyDescent="0.25"/>
    <row r="32210" hidden="1" x14ac:dyDescent="0.25"/>
    <row r="32211" hidden="1" x14ac:dyDescent="0.25"/>
    <row r="32212" hidden="1" x14ac:dyDescent="0.25"/>
    <row r="32213" hidden="1" x14ac:dyDescent="0.25"/>
    <row r="32214" hidden="1" x14ac:dyDescent="0.25"/>
    <row r="32215" hidden="1" x14ac:dyDescent="0.25"/>
    <row r="32216" hidden="1" x14ac:dyDescent="0.25"/>
    <row r="32217" hidden="1" x14ac:dyDescent="0.25"/>
    <row r="32218" hidden="1" x14ac:dyDescent="0.25"/>
    <row r="32219" hidden="1" x14ac:dyDescent="0.25"/>
    <row r="32220" hidden="1" x14ac:dyDescent="0.25"/>
    <row r="32221" hidden="1" x14ac:dyDescent="0.25"/>
    <row r="32222" hidden="1" x14ac:dyDescent="0.25"/>
    <row r="32223" hidden="1" x14ac:dyDescent="0.25"/>
    <row r="32224" hidden="1" x14ac:dyDescent="0.25"/>
    <row r="32225" hidden="1" x14ac:dyDescent="0.25"/>
    <row r="32226" hidden="1" x14ac:dyDescent="0.25"/>
    <row r="32227" hidden="1" x14ac:dyDescent="0.25"/>
    <row r="32228" hidden="1" x14ac:dyDescent="0.25"/>
    <row r="32229" hidden="1" x14ac:dyDescent="0.25"/>
    <row r="32230" hidden="1" x14ac:dyDescent="0.25"/>
    <row r="32231" hidden="1" x14ac:dyDescent="0.25"/>
    <row r="32232" hidden="1" x14ac:dyDescent="0.25"/>
    <row r="32233" hidden="1" x14ac:dyDescent="0.25"/>
    <row r="32234" hidden="1" x14ac:dyDescent="0.25"/>
    <row r="32235" hidden="1" x14ac:dyDescent="0.25"/>
    <row r="32236" hidden="1" x14ac:dyDescent="0.25"/>
    <row r="32237" hidden="1" x14ac:dyDescent="0.25"/>
    <row r="32238" hidden="1" x14ac:dyDescent="0.25"/>
    <row r="32239" hidden="1" x14ac:dyDescent="0.25"/>
    <row r="32240" hidden="1" x14ac:dyDescent="0.25"/>
    <row r="32241" hidden="1" x14ac:dyDescent="0.25"/>
    <row r="32242" hidden="1" x14ac:dyDescent="0.25"/>
    <row r="32243" hidden="1" x14ac:dyDescent="0.25"/>
    <row r="32244" hidden="1" x14ac:dyDescent="0.25"/>
    <row r="32245" hidden="1" x14ac:dyDescent="0.25"/>
    <row r="32246" hidden="1" x14ac:dyDescent="0.25"/>
    <row r="32247" hidden="1" x14ac:dyDescent="0.25"/>
    <row r="32248" hidden="1" x14ac:dyDescent="0.25"/>
    <row r="32249" hidden="1" x14ac:dyDescent="0.25"/>
    <row r="32250" hidden="1" x14ac:dyDescent="0.25"/>
    <row r="32251" hidden="1" x14ac:dyDescent="0.25"/>
    <row r="32252" hidden="1" x14ac:dyDescent="0.25"/>
    <row r="32253" hidden="1" x14ac:dyDescent="0.25"/>
    <row r="32254" hidden="1" x14ac:dyDescent="0.25"/>
    <row r="32255" hidden="1" x14ac:dyDescent="0.25"/>
    <row r="32256" hidden="1" x14ac:dyDescent="0.25"/>
    <row r="32257" hidden="1" x14ac:dyDescent="0.25"/>
    <row r="32258" hidden="1" x14ac:dyDescent="0.25"/>
    <row r="32259" hidden="1" x14ac:dyDescent="0.25"/>
    <row r="32260" hidden="1" x14ac:dyDescent="0.25"/>
    <row r="32261" hidden="1" x14ac:dyDescent="0.25"/>
    <row r="32262" hidden="1" x14ac:dyDescent="0.25"/>
    <row r="32263" hidden="1" x14ac:dyDescent="0.25"/>
    <row r="32264" hidden="1" x14ac:dyDescent="0.25"/>
    <row r="32265" hidden="1" x14ac:dyDescent="0.25"/>
    <row r="32266" hidden="1" x14ac:dyDescent="0.25"/>
    <row r="32267" hidden="1" x14ac:dyDescent="0.25"/>
    <row r="32268" hidden="1" x14ac:dyDescent="0.25"/>
    <row r="32269" hidden="1" x14ac:dyDescent="0.25"/>
    <row r="32270" hidden="1" x14ac:dyDescent="0.25"/>
    <row r="32271" hidden="1" x14ac:dyDescent="0.25"/>
    <row r="32272" hidden="1" x14ac:dyDescent="0.25"/>
    <row r="32273" hidden="1" x14ac:dyDescent="0.25"/>
    <row r="32274" hidden="1" x14ac:dyDescent="0.25"/>
    <row r="32275" hidden="1" x14ac:dyDescent="0.25"/>
    <row r="32276" hidden="1" x14ac:dyDescent="0.25"/>
    <row r="32277" hidden="1" x14ac:dyDescent="0.25"/>
    <row r="32278" hidden="1" x14ac:dyDescent="0.25"/>
    <row r="32279" hidden="1" x14ac:dyDescent="0.25"/>
    <row r="32280" hidden="1" x14ac:dyDescent="0.25"/>
    <row r="32281" hidden="1" x14ac:dyDescent="0.25"/>
    <row r="32282" hidden="1" x14ac:dyDescent="0.25"/>
    <row r="32283" hidden="1" x14ac:dyDescent="0.25"/>
    <row r="32284" hidden="1" x14ac:dyDescent="0.25"/>
    <row r="32285" hidden="1" x14ac:dyDescent="0.25"/>
    <row r="32286" hidden="1" x14ac:dyDescent="0.25"/>
    <row r="32287" hidden="1" x14ac:dyDescent="0.25"/>
    <row r="32288" hidden="1" x14ac:dyDescent="0.25"/>
    <row r="32289" hidden="1" x14ac:dyDescent="0.25"/>
    <row r="32290" hidden="1" x14ac:dyDescent="0.25"/>
    <row r="32291" hidden="1" x14ac:dyDescent="0.25"/>
    <row r="32292" hidden="1" x14ac:dyDescent="0.25"/>
    <row r="32293" hidden="1" x14ac:dyDescent="0.25"/>
    <row r="32294" hidden="1" x14ac:dyDescent="0.25"/>
    <row r="32295" hidden="1" x14ac:dyDescent="0.25"/>
    <row r="32296" hidden="1" x14ac:dyDescent="0.25"/>
    <row r="32297" hidden="1" x14ac:dyDescent="0.25"/>
    <row r="32298" hidden="1" x14ac:dyDescent="0.25"/>
    <row r="32299" hidden="1" x14ac:dyDescent="0.25"/>
    <row r="32300" hidden="1" x14ac:dyDescent="0.25"/>
    <row r="32301" hidden="1" x14ac:dyDescent="0.25"/>
    <row r="32302" hidden="1" x14ac:dyDescent="0.25"/>
    <row r="32303" hidden="1" x14ac:dyDescent="0.25"/>
    <row r="32304" hidden="1" x14ac:dyDescent="0.25"/>
    <row r="32305" hidden="1" x14ac:dyDescent="0.25"/>
    <row r="32306" hidden="1" x14ac:dyDescent="0.25"/>
    <row r="32307" hidden="1" x14ac:dyDescent="0.25"/>
    <row r="32308" hidden="1" x14ac:dyDescent="0.25"/>
    <row r="32309" hidden="1" x14ac:dyDescent="0.25"/>
    <row r="32310" hidden="1" x14ac:dyDescent="0.25"/>
    <row r="32311" hidden="1" x14ac:dyDescent="0.25"/>
    <row r="32312" hidden="1" x14ac:dyDescent="0.25"/>
    <row r="32313" hidden="1" x14ac:dyDescent="0.25"/>
    <row r="32314" hidden="1" x14ac:dyDescent="0.25"/>
    <row r="32315" hidden="1" x14ac:dyDescent="0.25"/>
    <row r="32316" hidden="1" x14ac:dyDescent="0.25"/>
    <row r="32317" hidden="1" x14ac:dyDescent="0.25"/>
    <row r="32318" hidden="1" x14ac:dyDescent="0.25"/>
    <row r="32319" hidden="1" x14ac:dyDescent="0.25"/>
    <row r="32320" hidden="1" x14ac:dyDescent="0.25"/>
    <row r="32321" hidden="1" x14ac:dyDescent="0.25"/>
    <row r="32322" hidden="1" x14ac:dyDescent="0.25"/>
    <row r="32323" hidden="1" x14ac:dyDescent="0.25"/>
    <row r="32324" hidden="1" x14ac:dyDescent="0.25"/>
    <row r="32325" hidden="1" x14ac:dyDescent="0.25"/>
    <row r="32326" hidden="1" x14ac:dyDescent="0.25"/>
    <row r="32327" hidden="1" x14ac:dyDescent="0.25"/>
    <row r="32328" hidden="1" x14ac:dyDescent="0.25"/>
    <row r="32329" hidden="1" x14ac:dyDescent="0.25"/>
    <row r="32330" hidden="1" x14ac:dyDescent="0.25"/>
    <row r="32331" hidden="1" x14ac:dyDescent="0.25"/>
    <row r="32332" hidden="1" x14ac:dyDescent="0.25"/>
    <row r="32333" hidden="1" x14ac:dyDescent="0.25"/>
    <row r="32334" hidden="1" x14ac:dyDescent="0.25"/>
    <row r="32335" hidden="1" x14ac:dyDescent="0.25"/>
    <row r="32336" hidden="1" x14ac:dyDescent="0.25"/>
    <row r="32337" hidden="1" x14ac:dyDescent="0.25"/>
    <row r="32338" hidden="1" x14ac:dyDescent="0.25"/>
    <row r="32339" hidden="1" x14ac:dyDescent="0.25"/>
    <row r="32340" hidden="1" x14ac:dyDescent="0.25"/>
    <row r="32341" hidden="1" x14ac:dyDescent="0.25"/>
    <row r="32342" hidden="1" x14ac:dyDescent="0.25"/>
    <row r="32343" hidden="1" x14ac:dyDescent="0.25"/>
    <row r="32344" hidden="1" x14ac:dyDescent="0.25"/>
    <row r="32345" hidden="1" x14ac:dyDescent="0.25"/>
    <row r="32346" hidden="1" x14ac:dyDescent="0.25"/>
    <row r="32347" hidden="1" x14ac:dyDescent="0.25"/>
    <row r="32348" hidden="1" x14ac:dyDescent="0.25"/>
    <row r="32349" hidden="1" x14ac:dyDescent="0.25"/>
    <row r="32350" hidden="1" x14ac:dyDescent="0.25"/>
    <row r="32351" hidden="1" x14ac:dyDescent="0.25"/>
    <row r="32352" hidden="1" x14ac:dyDescent="0.25"/>
    <row r="32353" hidden="1" x14ac:dyDescent="0.25"/>
    <row r="32354" hidden="1" x14ac:dyDescent="0.25"/>
    <row r="32355" hidden="1" x14ac:dyDescent="0.25"/>
    <row r="32356" hidden="1" x14ac:dyDescent="0.25"/>
    <row r="32357" hidden="1" x14ac:dyDescent="0.25"/>
    <row r="32358" hidden="1" x14ac:dyDescent="0.25"/>
    <row r="32359" hidden="1" x14ac:dyDescent="0.25"/>
    <row r="32360" hidden="1" x14ac:dyDescent="0.25"/>
    <row r="32361" hidden="1" x14ac:dyDescent="0.25"/>
    <row r="32362" hidden="1" x14ac:dyDescent="0.25"/>
    <row r="32363" hidden="1" x14ac:dyDescent="0.25"/>
    <row r="32364" hidden="1" x14ac:dyDescent="0.25"/>
    <row r="32365" hidden="1" x14ac:dyDescent="0.25"/>
    <row r="32366" hidden="1" x14ac:dyDescent="0.25"/>
    <row r="32367" hidden="1" x14ac:dyDescent="0.25"/>
    <row r="32368" hidden="1" x14ac:dyDescent="0.25"/>
    <row r="32369" hidden="1" x14ac:dyDescent="0.25"/>
    <row r="32370" hidden="1" x14ac:dyDescent="0.25"/>
    <row r="32371" hidden="1" x14ac:dyDescent="0.25"/>
    <row r="32372" hidden="1" x14ac:dyDescent="0.25"/>
    <row r="32373" hidden="1" x14ac:dyDescent="0.25"/>
    <row r="32374" hidden="1" x14ac:dyDescent="0.25"/>
    <row r="32375" hidden="1" x14ac:dyDescent="0.25"/>
    <row r="32376" hidden="1" x14ac:dyDescent="0.25"/>
    <row r="32377" hidden="1" x14ac:dyDescent="0.25"/>
    <row r="32378" hidden="1" x14ac:dyDescent="0.25"/>
    <row r="32379" hidden="1" x14ac:dyDescent="0.25"/>
    <row r="32380" hidden="1" x14ac:dyDescent="0.25"/>
    <row r="32381" hidden="1" x14ac:dyDescent="0.25"/>
    <row r="32382" hidden="1" x14ac:dyDescent="0.25"/>
    <row r="32383" hidden="1" x14ac:dyDescent="0.25"/>
    <row r="32384" hidden="1" x14ac:dyDescent="0.25"/>
    <row r="32385" hidden="1" x14ac:dyDescent="0.25"/>
    <row r="32386" hidden="1" x14ac:dyDescent="0.25"/>
    <row r="32387" hidden="1" x14ac:dyDescent="0.25"/>
    <row r="32388" hidden="1" x14ac:dyDescent="0.25"/>
    <row r="32389" hidden="1" x14ac:dyDescent="0.25"/>
    <row r="32390" hidden="1" x14ac:dyDescent="0.25"/>
    <row r="32391" hidden="1" x14ac:dyDescent="0.25"/>
    <row r="32392" hidden="1" x14ac:dyDescent="0.25"/>
    <row r="32393" hidden="1" x14ac:dyDescent="0.25"/>
    <row r="32394" hidden="1" x14ac:dyDescent="0.25"/>
    <row r="32395" hidden="1" x14ac:dyDescent="0.25"/>
    <row r="32396" hidden="1" x14ac:dyDescent="0.25"/>
    <row r="32397" hidden="1" x14ac:dyDescent="0.25"/>
    <row r="32398" hidden="1" x14ac:dyDescent="0.25"/>
    <row r="32399" hidden="1" x14ac:dyDescent="0.25"/>
    <row r="32400" hidden="1" x14ac:dyDescent="0.25"/>
    <row r="32401" hidden="1" x14ac:dyDescent="0.25"/>
    <row r="32402" hidden="1" x14ac:dyDescent="0.25"/>
    <row r="32403" hidden="1" x14ac:dyDescent="0.25"/>
    <row r="32404" hidden="1" x14ac:dyDescent="0.25"/>
    <row r="32405" hidden="1" x14ac:dyDescent="0.25"/>
    <row r="32406" hidden="1" x14ac:dyDescent="0.25"/>
    <row r="32407" hidden="1" x14ac:dyDescent="0.25"/>
    <row r="32408" hidden="1" x14ac:dyDescent="0.25"/>
    <row r="32409" hidden="1" x14ac:dyDescent="0.25"/>
    <row r="32410" hidden="1" x14ac:dyDescent="0.25"/>
    <row r="32411" hidden="1" x14ac:dyDescent="0.25"/>
    <row r="32412" hidden="1" x14ac:dyDescent="0.25"/>
    <row r="32413" hidden="1" x14ac:dyDescent="0.25"/>
    <row r="32414" hidden="1" x14ac:dyDescent="0.25"/>
    <row r="32415" hidden="1" x14ac:dyDescent="0.25"/>
    <row r="32416" hidden="1" x14ac:dyDescent="0.25"/>
    <row r="32417" hidden="1" x14ac:dyDescent="0.25"/>
    <row r="32418" hidden="1" x14ac:dyDescent="0.25"/>
    <row r="32419" hidden="1" x14ac:dyDescent="0.25"/>
    <row r="32420" hidden="1" x14ac:dyDescent="0.25"/>
    <row r="32421" hidden="1" x14ac:dyDescent="0.25"/>
    <row r="32422" hidden="1" x14ac:dyDescent="0.25"/>
    <row r="32423" hidden="1" x14ac:dyDescent="0.25"/>
    <row r="32424" hidden="1" x14ac:dyDescent="0.25"/>
    <row r="32425" hidden="1" x14ac:dyDescent="0.25"/>
    <row r="32426" hidden="1" x14ac:dyDescent="0.25"/>
    <row r="32427" hidden="1" x14ac:dyDescent="0.25"/>
    <row r="32428" hidden="1" x14ac:dyDescent="0.25"/>
    <row r="32429" hidden="1" x14ac:dyDescent="0.25"/>
    <row r="32430" hidden="1" x14ac:dyDescent="0.25"/>
    <row r="32431" hidden="1" x14ac:dyDescent="0.25"/>
    <row r="32432" hidden="1" x14ac:dyDescent="0.25"/>
    <row r="32433" hidden="1" x14ac:dyDescent="0.25"/>
    <row r="32434" hidden="1" x14ac:dyDescent="0.25"/>
    <row r="32435" hidden="1" x14ac:dyDescent="0.25"/>
    <row r="32436" hidden="1" x14ac:dyDescent="0.25"/>
    <row r="32437" hidden="1" x14ac:dyDescent="0.25"/>
    <row r="32438" hidden="1" x14ac:dyDescent="0.25"/>
    <row r="32439" hidden="1" x14ac:dyDescent="0.25"/>
    <row r="32440" hidden="1" x14ac:dyDescent="0.25"/>
    <row r="32441" hidden="1" x14ac:dyDescent="0.25"/>
    <row r="32442" hidden="1" x14ac:dyDescent="0.25"/>
    <row r="32443" hidden="1" x14ac:dyDescent="0.25"/>
    <row r="32444" hidden="1" x14ac:dyDescent="0.25"/>
    <row r="32445" hidden="1" x14ac:dyDescent="0.25"/>
    <row r="32446" hidden="1" x14ac:dyDescent="0.25"/>
    <row r="32447" hidden="1" x14ac:dyDescent="0.25"/>
    <row r="32448" hidden="1" x14ac:dyDescent="0.25"/>
    <row r="32449" hidden="1" x14ac:dyDescent="0.25"/>
    <row r="32450" hidden="1" x14ac:dyDescent="0.25"/>
    <row r="32451" hidden="1" x14ac:dyDescent="0.25"/>
    <row r="32452" hidden="1" x14ac:dyDescent="0.25"/>
    <row r="32453" hidden="1" x14ac:dyDescent="0.25"/>
    <row r="32454" hidden="1" x14ac:dyDescent="0.25"/>
    <row r="32455" hidden="1" x14ac:dyDescent="0.25"/>
    <row r="32456" hidden="1" x14ac:dyDescent="0.25"/>
    <row r="32457" hidden="1" x14ac:dyDescent="0.25"/>
    <row r="32458" hidden="1" x14ac:dyDescent="0.25"/>
    <row r="32459" hidden="1" x14ac:dyDescent="0.25"/>
    <row r="32460" hidden="1" x14ac:dyDescent="0.25"/>
    <row r="32461" hidden="1" x14ac:dyDescent="0.25"/>
    <row r="32462" hidden="1" x14ac:dyDescent="0.25"/>
    <row r="32463" hidden="1" x14ac:dyDescent="0.25"/>
    <row r="32464" hidden="1" x14ac:dyDescent="0.25"/>
    <row r="32465" hidden="1" x14ac:dyDescent="0.25"/>
    <row r="32466" hidden="1" x14ac:dyDescent="0.25"/>
    <row r="32467" hidden="1" x14ac:dyDescent="0.25"/>
    <row r="32468" hidden="1" x14ac:dyDescent="0.25"/>
    <row r="32469" hidden="1" x14ac:dyDescent="0.25"/>
    <row r="32470" hidden="1" x14ac:dyDescent="0.25"/>
    <row r="32471" hidden="1" x14ac:dyDescent="0.25"/>
    <row r="32472" hidden="1" x14ac:dyDescent="0.25"/>
    <row r="32473" hidden="1" x14ac:dyDescent="0.25"/>
    <row r="32474" hidden="1" x14ac:dyDescent="0.25"/>
    <row r="32475" hidden="1" x14ac:dyDescent="0.25"/>
    <row r="32476" hidden="1" x14ac:dyDescent="0.25"/>
    <row r="32477" hidden="1" x14ac:dyDescent="0.25"/>
    <row r="32478" hidden="1" x14ac:dyDescent="0.25"/>
    <row r="32479" hidden="1" x14ac:dyDescent="0.25"/>
    <row r="32480" hidden="1" x14ac:dyDescent="0.25"/>
    <row r="32481" hidden="1" x14ac:dyDescent="0.25"/>
    <row r="32482" hidden="1" x14ac:dyDescent="0.25"/>
    <row r="32483" hidden="1" x14ac:dyDescent="0.25"/>
    <row r="32484" hidden="1" x14ac:dyDescent="0.25"/>
    <row r="32485" hidden="1" x14ac:dyDescent="0.25"/>
    <row r="32486" hidden="1" x14ac:dyDescent="0.25"/>
    <row r="32487" hidden="1" x14ac:dyDescent="0.25"/>
    <row r="32488" hidden="1" x14ac:dyDescent="0.25"/>
    <row r="32489" hidden="1" x14ac:dyDescent="0.25"/>
    <row r="32490" hidden="1" x14ac:dyDescent="0.25"/>
    <row r="32491" hidden="1" x14ac:dyDescent="0.25"/>
    <row r="32492" hidden="1" x14ac:dyDescent="0.25"/>
    <row r="32493" hidden="1" x14ac:dyDescent="0.25"/>
    <row r="32494" hidden="1" x14ac:dyDescent="0.25"/>
    <row r="32495" hidden="1" x14ac:dyDescent="0.25"/>
    <row r="32496" hidden="1" x14ac:dyDescent="0.25"/>
    <row r="32497" hidden="1" x14ac:dyDescent="0.25"/>
    <row r="32498" hidden="1" x14ac:dyDescent="0.25"/>
    <row r="32499" hidden="1" x14ac:dyDescent="0.25"/>
    <row r="32500" hidden="1" x14ac:dyDescent="0.25"/>
    <row r="32501" hidden="1" x14ac:dyDescent="0.25"/>
    <row r="32502" hidden="1" x14ac:dyDescent="0.25"/>
    <row r="32503" hidden="1" x14ac:dyDescent="0.25"/>
    <row r="32504" hidden="1" x14ac:dyDescent="0.25"/>
    <row r="32505" hidden="1" x14ac:dyDescent="0.25"/>
    <row r="32506" hidden="1" x14ac:dyDescent="0.25"/>
    <row r="32507" hidden="1" x14ac:dyDescent="0.25"/>
    <row r="32508" hidden="1" x14ac:dyDescent="0.25"/>
    <row r="32509" hidden="1" x14ac:dyDescent="0.25"/>
    <row r="32510" hidden="1" x14ac:dyDescent="0.25"/>
    <row r="32511" hidden="1" x14ac:dyDescent="0.25"/>
    <row r="32512" hidden="1" x14ac:dyDescent="0.25"/>
    <row r="32513" hidden="1" x14ac:dyDescent="0.25"/>
    <row r="32514" hidden="1" x14ac:dyDescent="0.25"/>
    <row r="32515" hidden="1" x14ac:dyDescent="0.25"/>
    <row r="32516" hidden="1" x14ac:dyDescent="0.25"/>
    <row r="32517" hidden="1" x14ac:dyDescent="0.25"/>
    <row r="32518" hidden="1" x14ac:dyDescent="0.25"/>
    <row r="32519" hidden="1" x14ac:dyDescent="0.25"/>
    <row r="32520" hidden="1" x14ac:dyDescent="0.25"/>
    <row r="32521" hidden="1" x14ac:dyDescent="0.25"/>
    <row r="32522" hidden="1" x14ac:dyDescent="0.25"/>
    <row r="32523" hidden="1" x14ac:dyDescent="0.25"/>
    <row r="32524" hidden="1" x14ac:dyDescent="0.25"/>
    <row r="32525" hidden="1" x14ac:dyDescent="0.25"/>
    <row r="32526" hidden="1" x14ac:dyDescent="0.25"/>
    <row r="32527" hidden="1" x14ac:dyDescent="0.25"/>
    <row r="32528" hidden="1" x14ac:dyDescent="0.25"/>
    <row r="32529" hidden="1" x14ac:dyDescent="0.25"/>
    <row r="32530" hidden="1" x14ac:dyDescent="0.25"/>
    <row r="32531" hidden="1" x14ac:dyDescent="0.25"/>
    <row r="32532" hidden="1" x14ac:dyDescent="0.25"/>
    <row r="32533" hidden="1" x14ac:dyDescent="0.25"/>
    <row r="32534" hidden="1" x14ac:dyDescent="0.25"/>
    <row r="32535" hidden="1" x14ac:dyDescent="0.25"/>
    <row r="32536" hidden="1" x14ac:dyDescent="0.25"/>
    <row r="32537" hidden="1" x14ac:dyDescent="0.25"/>
    <row r="32538" hidden="1" x14ac:dyDescent="0.25"/>
    <row r="32539" hidden="1" x14ac:dyDescent="0.25"/>
    <row r="32540" hidden="1" x14ac:dyDescent="0.25"/>
    <row r="32541" hidden="1" x14ac:dyDescent="0.25"/>
    <row r="32542" hidden="1" x14ac:dyDescent="0.25"/>
    <row r="32543" hidden="1" x14ac:dyDescent="0.25"/>
    <row r="32544" hidden="1" x14ac:dyDescent="0.25"/>
    <row r="32545" hidden="1" x14ac:dyDescent="0.25"/>
    <row r="32546" hidden="1" x14ac:dyDescent="0.25"/>
    <row r="32547" hidden="1" x14ac:dyDescent="0.25"/>
    <row r="32548" hidden="1" x14ac:dyDescent="0.25"/>
    <row r="32549" hidden="1" x14ac:dyDescent="0.25"/>
    <row r="32550" hidden="1" x14ac:dyDescent="0.25"/>
    <row r="32551" hidden="1" x14ac:dyDescent="0.25"/>
    <row r="32552" hidden="1" x14ac:dyDescent="0.25"/>
    <row r="32553" hidden="1" x14ac:dyDescent="0.25"/>
    <row r="32554" hidden="1" x14ac:dyDescent="0.25"/>
    <row r="32555" hidden="1" x14ac:dyDescent="0.25"/>
    <row r="32556" hidden="1" x14ac:dyDescent="0.25"/>
    <row r="32557" hidden="1" x14ac:dyDescent="0.25"/>
    <row r="32558" hidden="1" x14ac:dyDescent="0.25"/>
    <row r="32559" hidden="1" x14ac:dyDescent="0.25"/>
    <row r="32560" hidden="1" x14ac:dyDescent="0.25"/>
    <row r="32561" hidden="1" x14ac:dyDescent="0.25"/>
    <row r="32562" hidden="1" x14ac:dyDescent="0.25"/>
    <row r="32563" hidden="1" x14ac:dyDescent="0.25"/>
    <row r="32564" hidden="1" x14ac:dyDescent="0.25"/>
    <row r="32565" hidden="1" x14ac:dyDescent="0.25"/>
    <row r="32566" hidden="1" x14ac:dyDescent="0.25"/>
    <row r="32567" hidden="1" x14ac:dyDescent="0.25"/>
    <row r="32568" hidden="1" x14ac:dyDescent="0.25"/>
    <row r="32569" hidden="1" x14ac:dyDescent="0.25"/>
    <row r="32570" hidden="1" x14ac:dyDescent="0.25"/>
    <row r="32571" hidden="1" x14ac:dyDescent="0.25"/>
    <row r="32572" hidden="1" x14ac:dyDescent="0.25"/>
    <row r="32573" hidden="1" x14ac:dyDescent="0.25"/>
    <row r="32574" hidden="1" x14ac:dyDescent="0.25"/>
    <row r="32575" hidden="1" x14ac:dyDescent="0.25"/>
    <row r="32576" hidden="1" x14ac:dyDescent="0.25"/>
    <row r="32577" hidden="1" x14ac:dyDescent="0.25"/>
    <row r="32578" hidden="1" x14ac:dyDescent="0.25"/>
    <row r="32579" hidden="1" x14ac:dyDescent="0.25"/>
    <row r="32580" hidden="1" x14ac:dyDescent="0.25"/>
    <row r="32581" hidden="1" x14ac:dyDescent="0.25"/>
    <row r="32582" hidden="1" x14ac:dyDescent="0.25"/>
    <row r="32583" hidden="1" x14ac:dyDescent="0.25"/>
    <row r="32584" hidden="1" x14ac:dyDescent="0.25"/>
    <row r="32585" hidden="1" x14ac:dyDescent="0.25"/>
    <row r="32586" hidden="1" x14ac:dyDescent="0.25"/>
    <row r="32587" hidden="1" x14ac:dyDescent="0.25"/>
    <row r="32588" hidden="1" x14ac:dyDescent="0.25"/>
    <row r="32589" hidden="1" x14ac:dyDescent="0.25"/>
    <row r="32590" hidden="1" x14ac:dyDescent="0.25"/>
    <row r="32591" hidden="1" x14ac:dyDescent="0.25"/>
    <row r="32592" hidden="1" x14ac:dyDescent="0.25"/>
    <row r="32593" hidden="1" x14ac:dyDescent="0.25"/>
    <row r="32594" hidden="1" x14ac:dyDescent="0.25"/>
    <row r="32595" hidden="1" x14ac:dyDescent="0.25"/>
    <row r="32596" hidden="1" x14ac:dyDescent="0.25"/>
    <row r="32597" hidden="1" x14ac:dyDescent="0.25"/>
    <row r="32598" hidden="1" x14ac:dyDescent="0.25"/>
    <row r="32599" hidden="1" x14ac:dyDescent="0.25"/>
    <row r="32600" hidden="1" x14ac:dyDescent="0.25"/>
    <row r="32601" hidden="1" x14ac:dyDescent="0.25"/>
    <row r="32602" hidden="1" x14ac:dyDescent="0.25"/>
    <row r="32603" hidden="1" x14ac:dyDescent="0.25"/>
    <row r="32604" hidden="1" x14ac:dyDescent="0.25"/>
    <row r="32605" hidden="1" x14ac:dyDescent="0.25"/>
    <row r="32606" hidden="1" x14ac:dyDescent="0.25"/>
    <row r="32607" hidden="1" x14ac:dyDescent="0.25"/>
    <row r="32608" hidden="1" x14ac:dyDescent="0.25"/>
    <row r="32609" hidden="1" x14ac:dyDescent="0.25"/>
    <row r="32610" hidden="1" x14ac:dyDescent="0.25"/>
    <row r="32611" hidden="1" x14ac:dyDescent="0.25"/>
    <row r="32612" hidden="1" x14ac:dyDescent="0.25"/>
    <row r="32613" hidden="1" x14ac:dyDescent="0.25"/>
    <row r="32614" hidden="1" x14ac:dyDescent="0.25"/>
    <row r="32615" hidden="1" x14ac:dyDescent="0.25"/>
    <row r="32616" hidden="1" x14ac:dyDescent="0.25"/>
    <row r="32617" hidden="1" x14ac:dyDescent="0.25"/>
    <row r="32618" hidden="1" x14ac:dyDescent="0.25"/>
    <row r="32619" hidden="1" x14ac:dyDescent="0.25"/>
    <row r="32620" hidden="1" x14ac:dyDescent="0.25"/>
    <row r="32621" hidden="1" x14ac:dyDescent="0.25"/>
    <row r="32622" hidden="1" x14ac:dyDescent="0.25"/>
    <row r="32623" hidden="1" x14ac:dyDescent="0.25"/>
    <row r="32624" hidden="1" x14ac:dyDescent="0.25"/>
    <row r="32625" hidden="1" x14ac:dyDescent="0.25"/>
    <row r="32626" hidden="1" x14ac:dyDescent="0.25"/>
    <row r="32627" hidden="1" x14ac:dyDescent="0.25"/>
    <row r="32628" hidden="1" x14ac:dyDescent="0.25"/>
    <row r="32629" hidden="1" x14ac:dyDescent="0.25"/>
    <row r="32630" hidden="1" x14ac:dyDescent="0.25"/>
    <row r="32631" hidden="1" x14ac:dyDescent="0.25"/>
    <row r="32632" hidden="1" x14ac:dyDescent="0.25"/>
    <row r="32633" hidden="1" x14ac:dyDescent="0.25"/>
    <row r="32634" hidden="1" x14ac:dyDescent="0.25"/>
    <row r="32635" hidden="1" x14ac:dyDescent="0.25"/>
    <row r="32636" hidden="1" x14ac:dyDescent="0.25"/>
    <row r="32637" hidden="1" x14ac:dyDescent="0.25"/>
    <row r="32638" hidden="1" x14ac:dyDescent="0.25"/>
    <row r="32639" hidden="1" x14ac:dyDescent="0.25"/>
    <row r="32640" hidden="1" x14ac:dyDescent="0.25"/>
    <row r="32641" hidden="1" x14ac:dyDescent="0.25"/>
    <row r="32642" hidden="1" x14ac:dyDescent="0.25"/>
    <row r="32643" hidden="1" x14ac:dyDescent="0.25"/>
    <row r="32644" hidden="1" x14ac:dyDescent="0.25"/>
    <row r="32645" hidden="1" x14ac:dyDescent="0.25"/>
    <row r="32646" hidden="1" x14ac:dyDescent="0.25"/>
    <row r="32647" hidden="1" x14ac:dyDescent="0.25"/>
    <row r="32648" hidden="1" x14ac:dyDescent="0.25"/>
    <row r="32649" hidden="1" x14ac:dyDescent="0.25"/>
    <row r="32650" hidden="1" x14ac:dyDescent="0.25"/>
    <row r="32651" hidden="1" x14ac:dyDescent="0.25"/>
    <row r="32652" hidden="1" x14ac:dyDescent="0.25"/>
    <row r="32653" hidden="1" x14ac:dyDescent="0.25"/>
    <row r="32654" hidden="1" x14ac:dyDescent="0.25"/>
    <row r="32655" hidden="1" x14ac:dyDescent="0.25"/>
    <row r="32656" hidden="1" x14ac:dyDescent="0.25"/>
    <row r="32657" hidden="1" x14ac:dyDescent="0.25"/>
    <row r="32658" hidden="1" x14ac:dyDescent="0.25"/>
    <row r="32659" hidden="1" x14ac:dyDescent="0.25"/>
    <row r="32660" hidden="1" x14ac:dyDescent="0.25"/>
    <row r="32661" hidden="1" x14ac:dyDescent="0.25"/>
    <row r="32662" hidden="1" x14ac:dyDescent="0.25"/>
    <row r="32663" hidden="1" x14ac:dyDescent="0.25"/>
    <row r="32664" hidden="1" x14ac:dyDescent="0.25"/>
    <row r="32665" hidden="1" x14ac:dyDescent="0.25"/>
    <row r="32666" hidden="1" x14ac:dyDescent="0.25"/>
    <row r="32667" hidden="1" x14ac:dyDescent="0.25"/>
    <row r="32668" hidden="1" x14ac:dyDescent="0.25"/>
    <row r="32669" hidden="1" x14ac:dyDescent="0.25"/>
    <row r="32670" hidden="1" x14ac:dyDescent="0.25"/>
    <row r="32671" hidden="1" x14ac:dyDescent="0.25"/>
    <row r="32672" hidden="1" x14ac:dyDescent="0.25"/>
    <row r="32673" hidden="1" x14ac:dyDescent="0.25"/>
    <row r="32674" hidden="1" x14ac:dyDescent="0.25"/>
    <row r="32675" hidden="1" x14ac:dyDescent="0.25"/>
    <row r="32676" hidden="1" x14ac:dyDescent="0.25"/>
    <row r="32677" hidden="1" x14ac:dyDescent="0.25"/>
    <row r="32678" hidden="1" x14ac:dyDescent="0.25"/>
    <row r="32679" hidden="1" x14ac:dyDescent="0.25"/>
    <row r="32680" hidden="1" x14ac:dyDescent="0.25"/>
    <row r="32681" hidden="1" x14ac:dyDescent="0.25"/>
    <row r="32682" hidden="1" x14ac:dyDescent="0.25"/>
    <row r="32683" hidden="1" x14ac:dyDescent="0.25"/>
    <row r="32684" hidden="1" x14ac:dyDescent="0.25"/>
    <row r="32685" hidden="1" x14ac:dyDescent="0.25"/>
    <row r="32686" hidden="1" x14ac:dyDescent="0.25"/>
    <row r="32687" hidden="1" x14ac:dyDescent="0.25"/>
    <row r="32688" hidden="1" x14ac:dyDescent="0.25"/>
    <row r="32689" hidden="1" x14ac:dyDescent="0.25"/>
    <row r="32690" hidden="1" x14ac:dyDescent="0.25"/>
    <row r="32691" hidden="1" x14ac:dyDescent="0.25"/>
    <row r="32692" hidden="1" x14ac:dyDescent="0.25"/>
    <row r="32693" hidden="1" x14ac:dyDescent="0.25"/>
    <row r="32694" hidden="1" x14ac:dyDescent="0.25"/>
    <row r="32695" hidden="1" x14ac:dyDescent="0.25"/>
    <row r="32696" hidden="1" x14ac:dyDescent="0.25"/>
    <row r="32697" hidden="1" x14ac:dyDescent="0.25"/>
    <row r="32698" hidden="1" x14ac:dyDescent="0.25"/>
    <row r="32699" hidden="1" x14ac:dyDescent="0.25"/>
    <row r="32700" hidden="1" x14ac:dyDescent="0.25"/>
    <row r="32701" hidden="1" x14ac:dyDescent="0.25"/>
    <row r="32702" hidden="1" x14ac:dyDescent="0.25"/>
    <row r="32703" hidden="1" x14ac:dyDescent="0.25"/>
    <row r="32704" hidden="1" x14ac:dyDescent="0.25"/>
    <row r="32705" hidden="1" x14ac:dyDescent="0.25"/>
    <row r="32706" hidden="1" x14ac:dyDescent="0.25"/>
    <row r="32707" hidden="1" x14ac:dyDescent="0.25"/>
    <row r="32708" hidden="1" x14ac:dyDescent="0.25"/>
    <row r="32709" hidden="1" x14ac:dyDescent="0.25"/>
    <row r="32710" hidden="1" x14ac:dyDescent="0.25"/>
    <row r="32711" hidden="1" x14ac:dyDescent="0.25"/>
    <row r="32712" hidden="1" x14ac:dyDescent="0.25"/>
    <row r="32713" hidden="1" x14ac:dyDescent="0.25"/>
    <row r="32714" hidden="1" x14ac:dyDescent="0.25"/>
    <row r="32715" hidden="1" x14ac:dyDescent="0.25"/>
    <row r="32716" hidden="1" x14ac:dyDescent="0.25"/>
    <row r="32717" hidden="1" x14ac:dyDescent="0.25"/>
    <row r="32718" hidden="1" x14ac:dyDescent="0.25"/>
    <row r="32719" hidden="1" x14ac:dyDescent="0.25"/>
    <row r="32720" hidden="1" x14ac:dyDescent="0.25"/>
    <row r="32721" hidden="1" x14ac:dyDescent="0.25"/>
    <row r="32722" hidden="1" x14ac:dyDescent="0.25"/>
    <row r="32723" hidden="1" x14ac:dyDescent="0.25"/>
    <row r="32724" hidden="1" x14ac:dyDescent="0.25"/>
    <row r="32725" hidden="1" x14ac:dyDescent="0.25"/>
    <row r="32726" hidden="1" x14ac:dyDescent="0.25"/>
    <row r="32727" hidden="1" x14ac:dyDescent="0.25"/>
    <row r="32728" hidden="1" x14ac:dyDescent="0.25"/>
    <row r="32729" hidden="1" x14ac:dyDescent="0.25"/>
    <row r="32730" hidden="1" x14ac:dyDescent="0.25"/>
    <row r="32731" hidden="1" x14ac:dyDescent="0.25"/>
    <row r="32732" hidden="1" x14ac:dyDescent="0.25"/>
    <row r="32733" hidden="1" x14ac:dyDescent="0.25"/>
    <row r="32734" hidden="1" x14ac:dyDescent="0.25"/>
    <row r="32735" hidden="1" x14ac:dyDescent="0.25"/>
    <row r="32736" hidden="1" x14ac:dyDescent="0.25"/>
    <row r="32737" hidden="1" x14ac:dyDescent="0.25"/>
    <row r="32738" hidden="1" x14ac:dyDescent="0.25"/>
    <row r="32739" hidden="1" x14ac:dyDescent="0.25"/>
    <row r="32740" hidden="1" x14ac:dyDescent="0.25"/>
    <row r="32741" hidden="1" x14ac:dyDescent="0.25"/>
    <row r="32742" hidden="1" x14ac:dyDescent="0.25"/>
    <row r="32743" hidden="1" x14ac:dyDescent="0.25"/>
    <row r="32744" hidden="1" x14ac:dyDescent="0.25"/>
    <row r="32745" hidden="1" x14ac:dyDescent="0.25"/>
    <row r="32746" hidden="1" x14ac:dyDescent="0.25"/>
    <row r="32747" hidden="1" x14ac:dyDescent="0.25"/>
    <row r="32748" hidden="1" x14ac:dyDescent="0.25"/>
    <row r="32749" hidden="1" x14ac:dyDescent="0.25"/>
    <row r="32750" hidden="1" x14ac:dyDescent="0.25"/>
    <row r="32751" hidden="1" x14ac:dyDescent="0.25"/>
    <row r="32752" hidden="1" x14ac:dyDescent="0.25"/>
    <row r="32753" hidden="1" x14ac:dyDescent="0.25"/>
    <row r="32754" hidden="1" x14ac:dyDescent="0.25"/>
    <row r="32755" hidden="1" x14ac:dyDescent="0.25"/>
    <row r="32756" hidden="1" x14ac:dyDescent="0.25"/>
    <row r="32757" hidden="1" x14ac:dyDescent="0.25"/>
    <row r="32758" hidden="1" x14ac:dyDescent="0.25"/>
    <row r="32759" hidden="1" x14ac:dyDescent="0.25"/>
    <row r="32760" hidden="1" x14ac:dyDescent="0.25"/>
    <row r="32761" hidden="1" x14ac:dyDescent="0.25"/>
    <row r="32762" hidden="1" x14ac:dyDescent="0.25"/>
    <row r="32763" hidden="1" x14ac:dyDescent="0.25"/>
    <row r="32764" hidden="1" x14ac:dyDescent="0.25"/>
    <row r="32765" hidden="1" x14ac:dyDescent="0.25"/>
    <row r="32766" hidden="1" x14ac:dyDescent="0.25"/>
    <row r="32767" hidden="1" x14ac:dyDescent="0.25"/>
    <row r="32768" hidden="1" x14ac:dyDescent="0.25"/>
    <row r="32769" hidden="1" x14ac:dyDescent="0.25"/>
    <row r="32770" hidden="1" x14ac:dyDescent="0.25"/>
    <row r="32771" hidden="1" x14ac:dyDescent="0.25"/>
    <row r="32772" hidden="1" x14ac:dyDescent="0.25"/>
    <row r="32773" hidden="1" x14ac:dyDescent="0.25"/>
    <row r="32774" hidden="1" x14ac:dyDescent="0.25"/>
    <row r="32775" hidden="1" x14ac:dyDescent="0.25"/>
    <row r="32776" hidden="1" x14ac:dyDescent="0.25"/>
    <row r="32777" hidden="1" x14ac:dyDescent="0.25"/>
    <row r="32778" hidden="1" x14ac:dyDescent="0.25"/>
    <row r="32779" hidden="1" x14ac:dyDescent="0.25"/>
    <row r="32780" hidden="1" x14ac:dyDescent="0.25"/>
    <row r="32781" hidden="1" x14ac:dyDescent="0.25"/>
    <row r="32782" hidden="1" x14ac:dyDescent="0.25"/>
    <row r="32783" hidden="1" x14ac:dyDescent="0.25"/>
    <row r="32784" hidden="1" x14ac:dyDescent="0.25"/>
    <row r="32785" hidden="1" x14ac:dyDescent="0.25"/>
    <row r="32786" hidden="1" x14ac:dyDescent="0.25"/>
    <row r="32787" hidden="1" x14ac:dyDescent="0.25"/>
    <row r="32788" hidden="1" x14ac:dyDescent="0.25"/>
    <row r="32789" hidden="1" x14ac:dyDescent="0.25"/>
    <row r="32790" hidden="1" x14ac:dyDescent="0.25"/>
    <row r="32791" hidden="1" x14ac:dyDescent="0.25"/>
    <row r="32792" hidden="1" x14ac:dyDescent="0.25"/>
    <row r="32793" hidden="1" x14ac:dyDescent="0.25"/>
    <row r="32794" hidden="1" x14ac:dyDescent="0.25"/>
    <row r="32795" hidden="1" x14ac:dyDescent="0.25"/>
    <row r="32796" hidden="1" x14ac:dyDescent="0.25"/>
    <row r="32797" hidden="1" x14ac:dyDescent="0.25"/>
    <row r="32798" hidden="1" x14ac:dyDescent="0.25"/>
    <row r="32799" hidden="1" x14ac:dyDescent="0.25"/>
    <row r="32800" hidden="1" x14ac:dyDescent="0.25"/>
    <row r="32801" hidden="1" x14ac:dyDescent="0.25"/>
    <row r="32802" hidden="1" x14ac:dyDescent="0.25"/>
    <row r="32803" hidden="1" x14ac:dyDescent="0.25"/>
    <row r="32804" hidden="1" x14ac:dyDescent="0.25"/>
    <row r="32805" hidden="1" x14ac:dyDescent="0.25"/>
    <row r="32806" hidden="1" x14ac:dyDescent="0.25"/>
    <row r="32807" hidden="1" x14ac:dyDescent="0.25"/>
    <row r="32808" hidden="1" x14ac:dyDescent="0.25"/>
    <row r="32809" hidden="1" x14ac:dyDescent="0.25"/>
    <row r="32810" hidden="1" x14ac:dyDescent="0.25"/>
    <row r="32811" hidden="1" x14ac:dyDescent="0.25"/>
    <row r="32812" hidden="1" x14ac:dyDescent="0.25"/>
    <row r="32813" hidden="1" x14ac:dyDescent="0.25"/>
    <row r="32814" hidden="1" x14ac:dyDescent="0.25"/>
    <row r="32815" hidden="1" x14ac:dyDescent="0.25"/>
    <row r="32816" hidden="1" x14ac:dyDescent="0.25"/>
    <row r="32817" hidden="1" x14ac:dyDescent="0.25"/>
    <row r="32818" hidden="1" x14ac:dyDescent="0.25"/>
    <row r="32819" hidden="1" x14ac:dyDescent="0.25"/>
    <row r="32820" hidden="1" x14ac:dyDescent="0.25"/>
    <row r="32821" hidden="1" x14ac:dyDescent="0.25"/>
    <row r="32822" hidden="1" x14ac:dyDescent="0.25"/>
    <row r="32823" hidden="1" x14ac:dyDescent="0.25"/>
    <row r="32824" hidden="1" x14ac:dyDescent="0.25"/>
    <row r="32825" hidden="1" x14ac:dyDescent="0.25"/>
    <row r="32826" hidden="1" x14ac:dyDescent="0.25"/>
    <row r="32827" hidden="1" x14ac:dyDescent="0.25"/>
    <row r="32828" hidden="1" x14ac:dyDescent="0.25"/>
    <row r="32829" hidden="1" x14ac:dyDescent="0.25"/>
    <row r="32830" hidden="1" x14ac:dyDescent="0.25"/>
    <row r="32831" hidden="1" x14ac:dyDescent="0.25"/>
    <row r="32832" hidden="1" x14ac:dyDescent="0.25"/>
    <row r="32833" hidden="1" x14ac:dyDescent="0.25"/>
    <row r="32834" hidden="1" x14ac:dyDescent="0.25"/>
    <row r="32835" hidden="1" x14ac:dyDescent="0.25"/>
    <row r="32836" hidden="1" x14ac:dyDescent="0.25"/>
    <row r="32837" hidden="1" x14ac:dyDescent="0.25"/>
    <row r="32838" hidden="1" x14ac:dyDescent="0.25"/>
    <row r="32839" hidden="1" x14ac:dyDescent="0.25"/>
    <row r="32840" hidden="1" x14ac:dyDescent="0.25"/>
    <row r="32841" hidden="1" x14ac:dyDescent="0.25"/>
    <row r="32842" hidden="1" x14ac:dyDescent="0.25"/>
    <row r="32843" hidden="1" x14ac:dyDescent="0.25"/>
    <row r="32844" hidden="1" x14ac:dyDescent="0.25"/>
    <row r="32845" hidden="1" x14ac:dyDescent="0.25"/>
    <row r="32846" hidden="1" x14ac:dyDescent="0.25"/>
    <row r="32847" hidden="1" x14ac:dyDescent="0.25"/>
    <row r="32848" hidden="1" x14ac:dyDescent="0.25"/>
    <row r="32849" hidden="1" x14ac:dyDescent="0.25"/>
    <row r="32850" hidden="1" x14ac:dyDescent="0.25"/>
    <row r="32851" hidden="1" x14ac:dyDescent="0.25"/>
    <row r="32852" hidden="1" x14ac:dyDescent="0.25"/>
    <row r="32853" hidden="1" x14ac:dyDescent="0.25"/>
    <row r="32854" hidden="1" x14ac:dyDescent="0.25"/>
    <row r="32855" hidden="1" x14ac:dyDescent="0.25"/>
    <row r="32856" hidden="1" x14ac:dyDescent="0.25"/>
    <row r="32857" hidden="1" x14ac:dyDescent="0.25"/>
    <row r="32858" hidden="1" x14ac:dyDescent="0.25"/>
    <row r="32859" hidden="1" x14ac:dyDescent="0.25"/>
    <row r="32860" hidden="1" x14ac:dyDescent="0.25"/>
    <row r="32861" hidden="1" x14ac:dyDescent="0.25"/>
    <row r="32862" hidden="1" x14ac:dyDescent="0.25"/>
    <row r="32863" hidden="1" x14ac:dyDescent="0.25"/>
    <row r="32864" hidden="1" x14ac:dyDescent="0.25"/>
    <row r="32865" hidden="1" x14ac:dyDescent="0.25"/>
    <row r="32866" hidden="1" x14ac:dyDescent="0.25"/>
    <row r="32867" hidden="1" x14ac:dyDescent="0.25"/>
    <row r="32868" hidden="1" x14ac:dyDescent="0.25"/>
    <row r="32869" hidden="1" x14ac:dyDescent="0.25"/>
    <row r="32870" hidden="1" x14ac:dyDescent="0.25"/>
    <row r="32871" hidden="1" x14ac:dyDescent="0.25"/>
    <row r="32872" hidden="1" x14ac:dyDescent="0.25"/>
    <row r="32873" hidden="1" x14ac:dyDescent="0.25"/>
    <row r="32874" hidden="1" x14ac:dyDescent="0.25"/>
    <row r="32875" hidden="1" x14ac:dyDescent="0.25"/>
    <row r="32876" hidden="1" x14ac:dyDescent="0.25"/>
    <row r="32877" hidden="1" x14ac:dyDescent="0.25"/>
    <row r="32878" hidden="1" x14ac:dyDescent="0.25"/>
    <row r="32879" hidden="1" x14ac:dyDescent="0.25"/>
    <row r="32880" hidden="1" x14ac:dyDescent="0.25"/>
    <row r="32881" hidden="1" x14ac:dyDescent="0.25"/>
    <row r="32882" hidden="1" x14ac:dyDescent="0.25"/>
    <row r="32883" hidden="1" x14ac:dyDescent="0.25"/>
    <row r="32884" hidden="1" x14ac:dyDescent="0.25"/>
    <row r="32885" hidden="1" x14ac:dyDescent="0.25"/>
    <row r="32886" hidden="1" x14ac:dyDescent="0.25"/>
    <row r="32887" hidden="1" x14ac:dyDescent="0.25"/>
    <row r="32888" hidden="1" x14ac:dyDescent="0.25"/>
    <row r="32889" hidden="1" x14ac:dyDescent="0.25"/>
    <row r="32890" hidden="1" x14ac:dyDescent="0.25"/>
    <row r="32891" hidden="1" x14ac:dyDescent="0.25"/>
    <row r="32892" hidden="1" x14ac:dyDescent="0.25"/>
    <row r="32893" hidden="1" x14ac:dyDescent="0.25"/>
    <row r="32894" hidden="1" x14ac:dyDescent="0.25"/>
    <row r="32895" hidden="1" x14ac:dyDescent="0.25"/>
    <row r="32896" hidden="1" x14ac:dyDescent="0.25"/>
    <row r="32897" hidden="1" x14ac:dyDescent="0.25"/>
    <row r="32898" hidden="1" x14ac:dyDescent="0.25"/>
    <row r="32899" hidden="1" x14ac:dyDescent="0.25"/>
    <row r="32900" hidden="1" x14ac:dyDescent="0.25"/>
    <row r="32901" hidden="1" x14ac:dyDescent="0.25"/>
    <row r="32902" hidden="1" x14ac:dyDescent="0.25"/>
    <row r="32903" hidden="1" x14ac:dyDescent="0.25"/>
    <row r="32904" hidden="1" x14ac:dyDescent="0.25"/>
    <row r="32905" hidden="1" x14ac:dyDescent="0.25"/>
    <row r="32906" hidden="1" x14ac:dyDescent="0.25"/>
    <row r="32907" hidden="1" x14ac:dyDescent="0.25"/>
    <row r="32908" hidden="1" x14ac:dyDescent="0.25"/>
    <row r="32909" hidden="1" x14ac:dyDescent="0.25"/>
    <row r="32910" hidden="1" x14ac:dyDescent="0.25"/>
    <row r="32911" hidden="1" x14ac:dyDescent="0.25"/>
    <row r="32912" hidden="1" x14ac:dyDescent="0.25"/>
    <row r="32913" hidden="1" x14ac:dyDescent="0.25"/>
    <row r="32914" hidden="1" x14ac:dyDescent="0.25"/>
    <row r="32915" hidden="1" x14ac:dyDescent="0.25"/>
    <row r="32916" hidden="1" x14ac:dyDescent="0.25"/>
    <row r="32917" hidden="1" x14ac:dyDescent="0.25"/>
    <row r="32918" hidden="1" x14ac:dyDescent="0.25"/>
    <row r="32919" hidden="1" x14ac:dyDescent="0.25"/>
    <row r="32920" hidden="1" x14ac:dyDescent="0.25"/>
    <row r="32921" hidden="1" x14ac:dyDescent="0.25"/>
    <row r="32922" hidden="1" x14ac:dyDescent="0.25"/>
    <row r="32923" hidden="1" x14ac:dyDescent="0.25"/>
    <row r="32924" hidden="1" x14ac:dyDescent="0.25"/>
    <row r="32925" hidden="1" x14ac:dyDescent="0.25"/>
    <row r="32926" hidden="1" x14ac:dyDescent="0.25"/>
    <row r="32927" hidden="1" x14ac:dyDescent="0.25"/>
    <row r="32928" hidden="1" x14ac:dyDescent="0.25"/>
    <row r="32929" hidden="1" x14ac:dyDescent="0.25"/>
    <row r="32930" hidden="1" x14ac:dyDescent="0.25"/>
    <row r="32931" hidden="1" x14ac:dyDescent="0.25"/>
    <row r="32932" hidden="1" x14ac:dyDescent="0.25"/>
    <row r="32933" hidden="1" x14ac:dyDescent="0.25"/>
    <row r="32934" hidden="1" x14ac:dyDescent="0.25"/>
    <row r="32935" hidden="1" x14ac:dyDescent="0.25"/>
    <row r="32936" hidden="1" x14ac:dyDescent="0.25"/>
    <row r="32937" hidden="1" x14ac:dyDescent="0.25"/>
    <row r="32938" hidden="1" x14ac:dyDescent="0.25"/>
    <row r="32939" hidden="1" x14ac:dyDescent="0.25"/>
    <row r="32940" hidden="1" x14ac:dyDescent="0.25"/>
    <row r="32941" hidden="1" x14ac:dyDescent="0.25"/>
    <row r="32942" hidden="1" x14ac:dyDescent="0.25"/>
    <row r="32943" hidden="1" x14ac:dyDescent="0.25"/>
    <row r="32944" hidden="1" x14ac:dyDescent="0.25"/>
    <row r="32945" hidden="1" x14ac:dyDescent="0.25"/>
    <row r="32946" hidden="1" x14ac:dyDescent="0.25"/>
    <row r="32947" hidden="1" x14ac:dyDescent="0.25"/>
    <row r="32948" hidden="1" x14ac:dyDescent="0.25"/>
    <row r="32949" hidden="1" x14ac:dyDescent="0.25"/>
    <row r="32950" hidden="1" x14ac:dyDescent="0.25"/>
    <row r="32951" hidden="1" x14ac:dyDescent="0.25"/>
    <row r="32952" hidden="1" x14ac:dyDescent="0.25"/>
    <row r="32953" hidden="1" x14ac:dyDescent="0.25"/>
    <row r="32954" hidden="1" x14ac:dyDescent="0.25"/>
    <row r="32955" hidden="1" x14ac:dyDescent="0.25"/>
    <row r="32956" hidden="1" x14ac:dyDescent="0.25"/>
    <row r="32957" hidden="1" x14ac:dyDescent="0.25"/>
    <row r="32958" hidden="1" x14ac:dyDescent="0.25"/>
    <row r="32959" hidden="1" x14ac:dyDescent="0.25"/>
    <row r="32960" hidden="1" x14ac:dyDescent="0.25"/>
    <row r="32961" hidden="1" x14ac:dyDescent="0.25"/>
    <row r="32962" hidden="1" x14ac:dyDescent="0.25"/>
    <row r="32963" hidden="1" x14ac:dyDescent="0.25"/>
    <row r="32964" hidden="1" x14ac:dyDescent="0.25"/>
    <row r="32965" hidden="1" x14ac:dyDescent="0.25"/>
    <row r="32966" hidden="1" x14ac:dyDescent="0.25"/>
    <row r="32967" hidden="1" x14ac:dyDescent="0.25"/>
    <row r="32968" hidden="1" x14ac:dyDescent="0.25"/>
    <row r="32969" hidden="1" x14ac:dyDescent="0.25"/>
    <row r="32970" hidden="1" x14ac:dyDescent="0.25"/>
    <row r="32971" hidden="1" x14ac:dyDescent="0.25"/>
    <row r="32972" hidden="1" x14ac:dyDescent="0.25"/>
    <row r="32973" hidden="1" x14ac:dyDescent="0.25"/>
    <row r="32974" hidden="1" x14ac:dyDescent="0.25"/>
    <row r="32975" hidden="1" x14ac:dyDescent="0.25"/>
    <row r="32976" hidden="1" x14ac:dyDescent="0.25"/>
    <row r="32977" hidden="1" x14ac:dyDescent="0.25"/>
    <row r="32978" hidden="1" x14ac:dyDescent="0.25"/>
    <row r="32979" hidden="1" x14ac:dyDescent="0.25"/>
    <row r="32980" hidden="1" x14ac:dyDescent="0.25"/>
    <row r="32981" hidden="1" x14ac:dyDescent="0.25"/>
    <row r="32982" hidden="1" x14ac:dyDescent="0.25"/>
    <row r="32983" hidden="1" x14ac:dyDescent="0.25"/>
    <row r="32984" hidden="1" x14ac:dyDescent="0.25"/>
    <row r="32985" hidden="1" x14ac:dyDescent="0.25"/>
    <row r="32986" hidden="1" x14ac:dyDescent="0.25"/>
    <row r="32987" hidden="1" x14ac:dyDescent="0.25"/>
    <row r="32988" hidden="1" x14ac:dyDescent="0.25"/>
    <row r="32989" hidden="1" x14ac:dyDescent="0.25"/>
    <row r="32990" hidden="1" x14ac:dyDescent="0.25"/>
    <row r="32991" hidden="1" x14ac:dyDescent="0.25"/>
    <row r="32992" hidden="1" x14ac:dyDescent="0.25"/>
    <row r="32993" hidden="1" x14ac:dyDescent="0.25"/>
    <row r="32994" hidden="1" x14ac:dyDescent="0.25"/>
    <row r="32995" hidden="1" x14ac:dyDescent="0.25"/>
    <row r="32996" hidden="1" x14ac:dyDescent="0.25"/>
    <row r="32997" hidden="1" x14ac:dyDescent="0.25"/>
    <row r="32998" hidden="1" x14ac:dyDescent="0.25"/>
    <row r="32999" hidden="1" x14ac:dyDescent="0.25"/>
    <row r="33000" hidden="1" x14ac:dyDescent="0.25"/>
    <row r="33001" hidden="1" x14ac:dyDescent="0.25"/>
    <row r="33002" hidden="1" x14ac:dyDescent="0.25"/>
    <row r="33003" hidden="1" x14ac:dyDescent="0.25"/>
    <row r="33004" hidden="1" x14ac:dyDescent="0.25"/>
    <row r="33005" hidden="1" x14ac:dyDescent="0.25"/>
    <row r="33006" hidden="1" x14ac:dyDescent="0.25"/>
    <row r="33007" hidden="1" x14ac:dyDescent="0.25"/>
    <row r="33008" hidden="1" x14ac:dyDescent="0.25"/>
    <row r="33009" hidden="1" x14ac:dyDescent="0.25"/>
    <row r="33010" hidden="1" x14ac:dyDescent="0.25"/>
    <row r="33011" hidden="1" x14ac:dyDescent="0.25"/>
    <row r="33012" hidden="1" x14ac:dyDescent="0.25"/>
    <row r="33013" hidden="1" x14ac:dyDescent="0.25"/>
    <row r="33014" hidden="1" x14ac:dyDescent="0.25"/>
    <row r="33015" hidden="1" x14ac:dyDescent="0.25"/>
    <row r="33016" hidden="1" x14ac:dyDescent="0.25"/>
    <row r="33017" hidden="1" x14ac:dyDescent="0.25"/>
    <row r="33018" hidden="1" x14ac:dyDescent="0.25"/>
    <row r="33019" hidden="1" x14ac:dyDescent="0.25"/>
    <row r="33020" hidden="1" x14ac:dyDescent="0.25"/>
    <row r="33021" hidden="1" x14ac:dyDescent="0.25"/>
    <row r="33022" hidden="1" x14ac:dyDescent="0.25"/>
    <row r="33023" hidden="1" x14ac:dyDescent="0.25"/>
    <row r="33024" hidden="1" x14ac:dyDescent="0.25"/>
    <row r="33025" hidden="1" x14ac:dyDescent="0.25"/>
    <row r="33026" hidden="1" x14ac:dyDescent="0.25"/>
    <row r="33027" hidden="1" x14ac:dyDescent="0.25"/>
    <row r="33028" hidden="1" x14ac:dyDescent="0.25"/>
    <row r="33029" hidden="1" x14ac:dyDescent="0.25"/>
    <row r="33030" hidden="1" x14ac:dyDescent="0.25"/>
    <row r="33031" hidden="1" x14ac:dyDescent="0.25"/>
    <row r="33032" hidden="1" x14ac:dyDescent="0.25"/>
    <row r="33033" hidden="1" x14ac:dyDescent="0.25"/>
    <row r="33034" hidden="1" x14ac:dyDescent="0.25"/>
    <row r="33035" hidden="1" x14ac:dyDescent="0.25"/>
    <row r="33036" hidden="1" x14ac:dyDescent="0.25"/>
    <row r="33037" hidden="1" x14ac:dyDescent="0.25"/>
    <row r="33038" hidden="1" x14ac:dyDescent="0.25"/>
    <row r="33039" hidden="1" x14ac:dyDescent="0.25"/>
    <row r="33040" hidden="1" x14ac:dyDescent="0.25"/>
    <row r="33041" hidden="1" x14ac:dyDescent="0.25"/>
    <row r="33042" hidden="1" x14ac:dyDescent="0.25"/>
    <row r="33043" hidden="1" x14ac:dyDescent="0.25"/>
    <row r="33044" hidden="1" x14ac:dyDescent="0.25"/>
    <row r="33045" hidden="1" x14ac:dyDescent="0.25"/>
    <row r="33046" hidden="1" x14ac:dyDescent="0.25"/>
    <row r="33047" hidden="1" x14ac:dyDescent="0.25"/>
    <row r="33048" hidden="1" x14ac:dyDescent="0.25"/>
    <row r="33049" hidden="1" x14ac:dyDescent="0.25"/>
    <row r="33050" hidden="1" x14ac:dyDescent="0.25"/>
    <row r="33051" hidden="1" x14ac:dyDescent="0.25"/>
    <row r="33052" hidden="1" x14ac:dyDescent="0.25"/>
    <row r="33053" hidden="1" x14ac:dyDescent="0.25"/>
    <row r="33054" hidden="1" x14ac:dyDescent="0.25"/>
    <row r="33055" hidden="1" x14ac:dyDescent="0.25"/>
    <row r="33056" hidden="1" x14ac:dyDescent="0.25"/>
    <row r="33057" hidden="1" x14ac:dyDescent="0.25"/>
    <row r="33058" hidden="1" x14ac:dyDescent="0.25"/>
    <row r="33059" hidden="1" x14ac:dyDescent="0.25"/>
    <row r="33060" hidden="1" x14ac:dyDescent="0.25"/>
    <row r="33061" hidden="1" x14ac:dyDescent="0.25"/>
    <row r="33062" hidden="1" x14ac:dyDescent="0.25"/>
    <row r="33063" hidden="1" x14ac:dyDescent="0.25"/>
    <row r="33064" hidden="1" x14ac:dyDescent="0.25"/>
    <row r="33065" hidden="1" x14ac:dyDescent="0.25"/>
    <row r="33066" hidden="1" x14ac:dyDescent="0.25"/>
    <row r="33067" hidden="1" x14ac:dyDescent="0.25"/>
    <row r="33068" hidden="1" x14ac:dyDescent="0.25"/>
    <row r="33069" hidden="1" x14ac:dyDescent="0.25"/>
    <row r="33070" hidden="1" x14ac:dyDescent="0.25"/>
    <row r="33071" hidden="1" x14ac:dyDescent="0.25"/>
    <row r="33072" hidden="1" x14ac:dyDescent="0.25"/>
    <row r="33073" hidden="1" x14ac:dyDescent="0.25"/>
    <row r="33074" hidden="1" x14ac:dyDescent="0.25"/>
    <row r="33075" hidden="1" x14ac:dyDescent="0.25"/>
    <row r="33076" hidden="1" x14ac:dyDescent="0.25"/>
    <row r="33077" hidden="1" x14ac:dyDescent="0.25"/>
    <row r="33078" hidden="1" x14ac:dyDescent="0.25"/>
    <row r="33079" hidden="1" x14ac:dyDescent="0.25"/>
    <row r="33080" hidden="1" x14ac:dyDescent="0.25"/>
    <row r="33081" hidden="1" x14ac:dyDescent="0.25"/>
    <row r="33082" hidden="1" x14ac:dyDescent="0.25"/>
    <row r="33083" hidden="1" x14ac:dyDescent="0.25"/>
    <row r="33084" hidden="1" x14ac:dyDescent="0.25"/>
    <row r="33085" hidden="1" x14ac:dyDescent="0.25"/>
    <row r="33086" hidden="1" x14ac:dyDescent="0.25"/>
    <row r="33087" hidden="1" x14ac:dyDescent="0.25"/>
    <row r="33088" hidden="1" x14ac:dyDescent="0.25"/>
    <row r="33089" hidden="1" x14ac:dyDescent="0.25"/>
    <row r="33090" hidden="1" x14ac:dyDescent="0.25"/>
    <row r="33091" hidden="1" x14ac:dyDescent="0.25"/>
    <row r="33092" hidden="1" x14ac:dyDescent="0.25"/>
    <row r="33093" hidden="1" x14ac:dyDescent="0.25"/>
    <row r="33094" hidden="1" x14ac:dyDescent="0.25"/>
    <row r="33095" hidden="1" x14ac:dyDescent="0.25"/>
    <row r="33096" hidden="1" x14ac:dyDescent="0.25"/>
    <row r="33097" hidden="1" x14ac:dyDescent="0.25"/>
    <row r="33098" hidden="1" x14ac:dyDescent="0.25"/>
    <row r="33099" hidden="1" x14ac:dyDescent="0.25"/>
    <row r="33100" hidden="1" x14ac:dyDescent="0.25"/>
    <row r="33101" hidden="1" x14ac:dyDescent="0.25"/>
    <row r="33102" hidden="1" x14ac:dyDescent="0.25"/>
    <row r="33103" hidden="1" x14ac:dyDescent="0.25"/>
    <row r="33104" hidden="1" x14ac:dyDescent="0.25"/>
    <row r="33105" hidden="1" x14ac:dyDescent="0.25"/>
    <row r="33106" hidden="1" x14ac:dyDescent="0.25"/>
    <row r="33107" hidden="1" x14ac:dyDescent="0.25"/>
    <row r="33108" hidden="1" x14ac:dyDescent="0.25"/>
    <row r="33109" hidden="1" x14ac:dyDescent="0.25"/>
    <row r="33110" hidden="1" x14ac:dyDescent="0.25"/>
    <row r="33111" hidden="1" x14ac:dyDescent="0.25"/>
    <row r="33112" hidden="1" x14ac:dyDescent="0.25"/>
    <row r="33113" hidden="1" x14ac:dyDescent="0.25"/>
    <row r="33114" hidden="1" x14ac:dyDescent="0.25"/>
    <row r="33115" hidden="1" x14ac:dyDescent="0.25"/>
    <row r="33116" hidden="1" x14ac:dyDescent="0.25"/>
    <row r="33117" hidden="1" x14ac:dyDescent="0.25"/>
    <row r="33118" hidden="1" x14ac:dyDescent="0.25"/>
    <row r="33119" hidden="1" x14ac:dyDescent="0.25"/>
    <row r="33120" hidden="1" x14ac:dyDescent="0.25"/>
    <row r="33121" hidden="1" x14ac:dyDescent="0.25"/>
    <row r="33122" hidden="1" x14ac:dyDescent="0.25"/>
    <row r="33123" hidden="1" x14ac:dyDescent="0.25"/>
    <row r="33124" hidden="1" x14ac:dyDescent="0.25"/>
    <row r="33125" hidden="1" x14ac:dyDescent="0.25"/>
    <row r="33126" hidden="1" x14ac:dyDescent="0.25"/>
    <row r="33127" hidden="1" x14ac:dyDescent="0.25"/>
    <row r="33128" hidden="1" x14ac:dyDescent="0.25"/>
    <row r="33129" hidden="1" x14ac:dyDescent="0.25"/>
    <row r="33130" hidden="1" x14ac:dyDescent="0.25"/>
    <row r="33131" hidden="1" x14ac:dyDescent="0.25"/>
    <row r="33132" hidden="1" x14ac:dyDescent="0.25"/>
    <row r="33133" hidden="1" x14ac:dyDescent="0.25"/>
    <row r="33134" hidden="1" x14ac:dyDescent="0.25"/>
    <row r="33135" hidden="1" x14ac:dyDescent="0.25"/>
    <row r="33136" hidden="1" x14ac:dyDescent="0.25"/>
    <row r="33137" hidden="1" x14ac:dyDescent="0.25"/>
    <row r="33138" hidden="1" x14ac:dyDescent="0.25"/>
    <row r="33139" hidden="1" x14ac:dyDescent="0.25"/>
    <row r="33140" hidden="1" x14ac:dyDescent="0.25"/>
    <row r="33141" hidden="1" x14ac:dyDescent="0.25"/>
    <row r="33142" hidden="1" x14ac:dyDescent="0.25"/>
    <row r="33143" hidden="1" x14ac:dyDescent="0.25"/>
    <row r="33144" hidden="1" x14ac:dyDescent="0.25"/>
    <row r="33145" hidden="1" x14ac:dyDescent="0.25"/>
    <row r="33146" hidden="1" x14ac:dyDescent="0.25"/>
    <row r="33147" hidden="1" x14ac:dyDescent="0.25"/>
    <row r="33148" hidden="1" x14ac:dyDescent="0.25"/>
    <row r="33149" hidden="1" x14ac:dyDescent="0.25"/>
    <row r="33150" hidden="1" x14ac:dyDescent="0.25"/>
    <row r="33151" hidden="1" x14ac:dyDescent="0.25"/>
    <row r="33152" hidden="1" x14ac:dyDescent="0.25"/>
    <row r="33153" hidden="1" x14ac:dyDescent="0.25"/>
    <row r="33154" hidden="1" x14ac:dyDescent="0.25"/>
    <row r="33155" hidden="1" x14ac:dyDescent="0.25"/>
    <row r="33156" hidden="1" x14ac:dyDescent="0.25"/>
    <row r="33157" hidden="1" x14ac:dyDescent="0.25"/>
    <row r="33158" hidden="1" x14ac:dyDescent="0.25"/>
    <row r="33159" hidden="1" x14ac:dyDescent="0.25"/>
    <row r="33160" hidden="1" x14ac:dyDescent="0.25"/>
    <row r="33161" hidden="1" x14ac:dyDescent="0.25"/>
    <row r="33162" hidden="1" x14ac:dyDescent="0.25"/>
    <row r="33163" hidden="1" x14ac:dyDescent="0.25"/>
    <row r="33164" hidden="1" x14ac:dyDescent="0.25"/>
    <row r="33165" hidden="1" x14ac:dyDescent="0.25"/>
    <row r="33166" hidden="1" x14ac:dyDescent="0.25"/>
    <row r="33167" hidden="1" x14ac:dyDescent="0.25"/>
    <row r="33168" hidden="1" x14ac:dyDescent="0.25"/>
    <row r="33169" hidden="1" x14ac:dyDescent="0.25"/>
    <row r="33170" hidden="1" x14ac:dyDescent="0.25"/>
    <row r="33171" hidden="1" x14ac:dyDescent="0.25"/>
    <row r="33172" hidden="1" x14ac:dyDescent="0.25"/>
    <row r="33173" hidden="1" x14ac:dyDescent="0.25"/>
    <row r="33174" hidden="1" x14ac:dyDescent="0.25"/>
    <row r="33175" hidden="1" x14ac:dyDescent="0.25"/>
    <row r="33176" hidden="1" x14ac:dyDescent="0.25"/>
    <row r="33177" hidden="1" x14ac:dyDescent="0.25"/>
    <row r="33178" hidden="1" x14ac:dyDescent="0.25"/>
    <row r="33179" hidden="1" x14ac:dyDescent="0.25"/>
    <row r="33180" hidden="1" x14ac:dyDescent="0.25"/>
    <row r="33181" hidden="1" x14ac:dyDescent="0.25"/>
    <row r="33182" hidden="1" x14ac:dyDescent="0.25"/>
    <row r="33183" hidden="1" x14ac:dyDescent="0.25"/>
    <row r="33184" hidden="1" x14ac:dyDescent="0.25"/>
    <row r="33185" hidden="1" x14ac:dyDescent="0.25"/>
    <row r="33186" hidden="1" x14ac:dyDescent="0.25"/>
    <row r="33187" hidden="1" x14ac:dyDescent="0.25"/>
    <row r="33188" hidden="1" x14ac:dyDescent="0.25"/>
    <row r="33189" hidden="1" x14ac:dyDescent="0.25"/>
    <row r="33190" hidden="1" x14ac:dyDescent="0.25"/>
    <row r="33191" hidden="1" x14ac:dyDescent="0.25"/>
    <row r="33192" hidden="1" x14ac:dyDescent="0.25"/>
    <row r="33193" hidden="1" x14ac:dyDescent="0.25"/>
    <row r="33194" hidden="1" x14ac:dyDescent="0.25"/>
    <row r="33195" hidden="1" x14ac:dyDescent="0.25"/>
    <row r="33196" hidden="1" x14ac:dyDescent="0.25"/>
    <row r="33197" hidden="1" x14ac:dyDescent="0.25"/>
    <row r="33198" hidden="1" x14ac:dyDescent="0.25"/>
    <row r="33199" hidden="1" x14ac:dyDescent="0.25"/>
    <row r="33200" hidden="1" x14ac:dyDescent="0.25"/>
    <row r="33201" hidden="1" x14ac:dyDescent="0.25"/>
    <row r="33202" hidden="1" x14ac:dyDescent="0.25"/>
    <row r="33203" hidden="1" x14ac:dyDescent="0.25"/>
    <row r="33204" hidden="1" x14ac:dyDescent="0.25"/>
    <row r="33205" hidden="1" x14ac:dyDescent="0.25"/>
    <row r="33206" hidden="1" x14ac:dyDescent="0.25"/>
    <row r="33207" hidden="1" x14ac:dyDescent="0.25"/>
    <row r="33208" hidden="1" x14ac:dyDescent="0.25"/>
    <row r="33209" hidden="1" x14ac:dyDescent="0.25"/>
    <row r="33210" hidden="1" x14ac:dyDescent="0.25"/>
    <row r="33211" hidden="1" x14ac:dyDescent="0.25"/>
    <row r="33212" hidden="1" x14ac:dyDescent="0.25"/>
    <row r="33213" hidden="1" x14ac:dyDescent="0.25"/>
    <row r="33214" hidden="1" x14ac:dyDescent="0.25"/>
    <row r="33215" hidden="1" x14ac:dyDescent="0.25"/>
    <row r="33216" hidden="1" x14ac:dyDescent="0.25"/>
    <row r="33217" hidden="1" x14ac:dyDescent="0.25"/>
    <row r="33218" hidden="1" x14ac:dyDescent="0.25"/>
    <row r="33219" hidden="1" x14ac:dyDescent="0.25"/>
    <row r="33220" hidden="1" x14ac:dyDescent="0.25"/>
    <row r="33221" hidden="1" x14ac:dyDescent="0.25"/>
    <row r="33222" hidden="1" x14ac:dyDescent="0.25"/>
    <row r="33223" hidden="1" x14ac:dyDescent="0.25"/>
    <row r="33224" hidden="1" x14ac:dyDescent="0.25"/>
    <row r="33225" hidden="1" x14ac:dyDescent="0.25"/>
    <row r="33226" hidden="1" x14ac:dyDescent="0.25"/>
    <row r="33227" hidden="1" x14ac:dyDescent="0.25"/>
    <row r="33228" hidden="1" x14ac:dyDescent="0.25"/>
    <row r="33229" hidden="1" x14ac:dyDescent="0.25"/>
    <row r="33230" hidden="1" x14ac:dyDescent="0.25"/>
    <row r="33231" hidden="1" x14ac:dyDescent="0.25"/>
    <row r="33232" hidden="1" x14ac:dyDescent="0.25"/>
    <row r="33233" hidden="1" x14ac:dyDescent="0.25"/>
    <row r="33234" hidden="1" x14ac:dyDescent="0.25"/>
    <row r="33235" hidden="1" x14ac:dyDescent="0.25"/>
    <row r="33236" hidden="1" x14ac:dyDescent="0.25"/>
    <row r="33237" hidden="1" x14ac:dyDescent="0.25"/>
    <row r="33238" hidden="1" x14ac:dyDescent="0.25"/>
    <row r="33239" hidden="1" x14ac:dyDescent="0.25"/>
    <row r="33240" hidden="1" x14ac:dyDescent="0.25"/>
    <row r="33241" hidden="1" x14ac:dyDescent="0.25"/>
    <row r="33242" hidden="1" x14ac:dyDescent="0.25"/>
    <row r="33243" hidden="1" x14ac:dyDescent="0.25"/>
    <row r="33244" hidden="1" x14ac:dyDescent="0.25"/>
    <row r="33245" hidden="1" x14ac:dyDescent="0.25"/>
    <row r="33246" hidden="1" x14ac:dyDescent="0.25"/>
    <row r="33247" hidden="1" x14ac:dyDescent="0.25"/>
    <row r="33248" hidden="1" x14ac:dyDescent="0.25"/>
    <row r="33249" hidden="1" x14ac:dyDescent="0.25"/>
    <row r="33250" hidden="1" x14ac:dyDescent="0.25"/>
    <row r="33251" hidden="1" x14ac:dyDescent="0.25"/>
    <row r="33252" hidden="1" x14ac:dyDescent="0.25"/>
    <row r="33253" hidden="1" x14ac:dyDescent="0.25"/>
    <row r="33254" hidden="1" x14ac:dyDescent="0.25"/>
    <row r="33255" hidden="1" x14ac:dyDescent="0.25"/>
    <row r="33256" hidden="1" x14ac:dyDescent="0.25"/>
    <row r="33257" hidden="1" x14ac:dyDescent="0.25"/>
    <row r="33258" hidden="1" x14ac:dyDescent="0.25"/>
    <row r="33259" hidden="1" x14ac:dyDescent="0.25"/>
    <row r="33260" hidden="1" x14ac:dyDescent="0.25"/>
    <row r="33261" hidden="1" x14ac:dyDescent="0.25"/>
    <row r="33262" hidden="1" x14ac:dyDescent="0.25"/>
    <row r="33263" hidden="1" x14ac:dyDescent="0.25"/>
    <row r="33264" hidden="1" x14ac:dyDescent="0.25"/>
    <row r="33265" hidden="1" x14ac:dyDescent="0.25"/>
    <row r="33266" hidden="1" x14ac:dyDescent="0.25"/>
    <row r="33267" hidden="1" x14ac:dyDescent="0.25"/>
    <row r="33268" hidden="1" x14ac:dyDescent="0.25"/>
    <row r="33269" hidden="1" x14ac:dyDescent="0.25"/>
    <row r="33270" hidden="1" x14ac:dyDescent="0.25"/>
    <row r="33271" hidden="1" x14ac:dyDescent="0.25"/>
    <row r="33272" hidden="1" x14ac:dyDescent="0.25"/>
    <row r="33273" hidden="1" x14ac:dyDescent="0.25"/>
    <row r="33274" hidden="1" x14ac:dyDescent="0.25"/>
    <row r="33275" hidden="1" x14ac:dyDescent="0.25"/>
    <row r="33276" hidden="1" x14ac:dyDescent="0.25"/>
    <row r="33277" hidden="1" x14ac:dyDescent="0.25"/>
    <row r="33278" hidden="1" x14ac:dyDescent="0.25"/>
    <row r="33279" hidden="1" x14ac:dyDescent="0.25"/>
    <row r="33280" hidden="1" x14ac:dyDescent="0.25"/>
    <row r="33281" hidden="1" x14ac:dyDescent="0.25"/>
    <row r="33282" hidden="1" x14ac:dyDescent="0.25"/>
    <row r="33283" hidden="1" x14ac:dyDescent="0.25"/>
    <row r="33284" hidden="1" x14ac:dyDescent="0.25"/>
    <row r="33285" hidden="1" x14ac:dyDescent="0.25"/>
    <row r="33286" hidden="1" x14ac:dyDescent="0.25"/>
    <row r="33287" hidden="1" x14ac:dyDescent="0.25"/>
    <row r="33288" hidden="1" x14ac:dyDescent="0.25"/>
    <row r="33289" hidden="1" x14ac:dyDescent="0.25"/>
    <row r="33290" hidden="1" x14ac:dyDescent="0.25"/>
    <row r="33291" hidden="1" x14ac:dyDescent="0.25"/>
    <row r="33292" hidden="1" x14ac:dyDescent="0.25"/>
    <row r="33293" hidden="1" x14ac:dyDescent="0.25"/>
    <row r="33294" hidden="1" x14ac:dyDescent="0.25"/>
    <row r="33295" hidden="1" x14ac:dyDescent="0.25"/>
    <row r="33296" hidden="1" x14ac:dyDescent="0.25"/>
    <row r="33297" hidden="1" x14ac:dyDescent="0.25"/>
    <row r="33298" hidden="1" x14ac:dyDescent="0.25"/>
    <row r="33299" hidden="1" x14ac:dyDescent="0.25"/>
    <row r="33300" hidden="1" x14ac:dyDescent="0.25"/>
    <row r="33301" hidden="1" x14ac:dyDescent="0.25"/>
    <row r="33302" hidden="1" x14ac:dyDescent="0.25"/>
    <row r="33303" hidden="1" x14ac:dyDescent="0.25"/>
    <row r="33304" hidden="1" x14ac:dyDescent="0.25"/>
    <row r="33305" hidden="1" x14ac:dyDescent="0.25"/>
    <row r="33306" hidden="1" x14ac:dyDescent="0.25"/>
    <row r="33307" hidden="1" x14ac:dyDescent="0.25"/>
    <row r="33308" hidden="1" x14ac:dyDescent="0.25"/>
    <row r="33309" hidden="1" x14ac:dyDescent="0.25"/>
    <row r="33310" hidden="1" x14ac:dyDescent="0.25"/>
    <row r="33311" hidden="1" x14ac:dyDescent="0.25"/>
    <row r="33312" hidden="1" x14ac:dyDescent="0.25"/>
    <row r="33313" hidden="1" x14ac:dyDescent="0.25"/>
    <row r="33314" hidden="1" x14ac:dyDescent="0.25"/>
    <row r="33315" hidden="1" x14ac:dyDescent="0.25"/>
    <row r="33316" hidden="1" x14ac:dyDescent="0.25"/>
    <row r="33317" hidden="1" x14ac:dyDescent="0.25"/>
    <row r="33318" hidden="1" x14ac:dyDescent="0.25"/>
    <row r="33319" hidden="1" x14ac:dyDescent="0.25"/>
    <row r="33320" hidden="1" x14ac:dyDescent="0.25"/>
    <row r="33321" hidden="1" x14ac:dyDescent="0.25"/>
    <row r="33322" hidden="1" x14ac:dyDescent="0.25"/>
    <row r="33323" hidden="1" x14ac:dyDescent="0.25"/>
    <row r="33324" hidden="1" x14ac:dyDescent="0.25"/>
    <row r="33325" hidden="1" x14ac:dyDescent="0.25"/>
    <row r="33326" hidden="1" x14ac:dyDescent="0.25"/>
    <row r="33327" hidden="1" x14ac:dyDescent="0.25"/>
    <row r="33328" hidden="1" x14ac:dyDescent="0.25"/>
    <row r="33329" hidden="1" x14ac:dyDescent="0.25"/>
    <row r="33330" hidden="1" x14ac:dyDescent="0.25"/>
    <row r="33331" hidden="1" x14ac:dyDescent="0.25"/>
    <row r="33332" hidden="1" x14ac:dyDescent="0.25"/>
    <row r="33333" hidden="1" x14ac:dyDescent="0.25"/>
    <row r="33334" hidden="1" x14ac:dyDescent="0.25"/>
    <row r="33335" hidden="1" x14ac:dyDescent="0.25"/>
    <row r="33336" hidden="1" x14ac:dyDescent="0.25"/>
    <row r="33337" hidden="1" x14ac:dyDescent="0.25"/>
    <row r="33338" hidden="1" x14ac:dyDescent="0.25"/>
    <row r="33339" hidden="1" x14ac:dyDescent="0.25"/>
    <row r="33340" hidden="1" x14ac:dyDescent="0.25"/>
    <row r="33341" hidden="1" x14ac:dyDescent="0.25"/>
    <row r="33342" hidden="1" x14ac:dyDescent="0.25"/>
    <row r="33343" hidden="1" x14ac:dyDescent="0.25"/>
    <row r="33344" hidden="1" x14ac:dyDescent="0.25"/>
    <row r="33345" hidden="1" x14ac:dyDescent="0.25"/>
    <row r="33346" hidden="1" x14ac:dyDescent="0.25"/>
    <row r="33347" hidden="1" x14ac:dyDescent="0.25"/>
    <row r="33348" hidden="1" x14ac:dyDescent="0.25"/>
    <row r="33349" hidden="1" x14ac:dyDescent="0.25"/>
    <row r="33350" hidden="1" x14ac:dyDescent="0.25"/>
    <row r="33351" hidden="1" x14ac:dyDescent="0.25"/>
    <row r="33352" hidden="1" x14ac:dyDescent="0.25"/>
    <row r="33353" hidden="1" x14ac:dyDescent="0.25"/>
    <row r="33354" hidden="1" x14ac:dyDescent="0.25"/>
    <row r="33355" hidden="1" x14ac:dyDescent="0.25"/>
    <row r="33356" hidden="1" x14ac:dyDescent="0.25"/>
    <row r="33357" hidden="1" x14ac:dyDescent="0.25"/>
    <row r="33358" hidden="1" x14ac:dyDescent="0.25"/>
    <row r="33359" hidden="1" x14ac:dyDescent="0.25"/>
    <row r="33360" hidden="1" x14ac:dyDescent="0.25"/>
    <row r="33361" hidden="1" x14ac:dyDescent="0.25"/>
    <row r="33362" hidden="1" x14ac:dyDescent="0.25"/>
    <row r="33363" hidden="1" x14ac:dyDescent="0.25"/>
    <row r="33364" hidden="1" x14ac:dyDescent="0.25"/>
    <row r="33365" hidden="1" x14ac:dyDescent="0.25"/>
    <row r="33366" hidden="1" x14ac:dyDescent="0.25"/>
    <row r="33367" hidden="1" x14ac:dyDescent="0.25"/>
    <row r="33368" hidden="1" x14ac:dyDescent="0.25"/>
    <row r="33369" hidden="1" x14ac:dyDescent="0.25"/>
    <row r="33370" hidden="1" x14ac:dyDescent="0.25"/>
    <row r="33371" hidden="1" x14ac:dyDescent="0.25"/>
    <row r="33372" hidden="1" x14ac:dyDescent="0.25"/>
    <row r="33373" hidden="1" x14ac:dyDescent="0.25"/>
    <row r="33374" hidden="1" x14ac:dyDescent="0.25"/>
    <row r="33375" hidden="1" x14ac:dyDescent="0.25"/>
    <row r="33376" hidden="1" x14ac:dyDescent="0.25"/>
    <row r="33377" hidden="1" x14ac:dyDescent="0.25"/>
    <row r="33378" hidden="1" x14ac:dyDescent="0.25"/>
    <row r="33379" hidden="1" x14ac:dyDescent="0.25"/>
    <row r="33380" hidden="1" x14ac:dyDescent="0.25"/>
    <row r="33381" hidden="1" x14ac:dyDescent="0.25"/>
    <row r="33382" hidden="1" x14ac:dyDescent="0.25"/>
    <row r="33383" hidden="1" x14ac:dyDescent="0.25"/>
    <row r="33384" hidden="1" x14ac:dyDescent="0.25"/>
    <row r="33385" hidden="1" x14ac:dyDescent="0.25"/>
    <row r="33386" hidden="1" x14ac:dyDescent="0.25"/>
    <row r="33387" hidden="1" x14ac:dyDescent="0.25"/>
    <row r="33388" hidden="1" x14ac:dyDescent="0.25"/>
    <row r="33389" hidden="1" x14ac:dyDescent="0.25"/>
    <row r="33390" hidden="1" x14ac:dyDescent="0.25"/>
    <row r="33391" hidden="1" x14ac:dyDescent="0.25"/>
    <row r="33392" hidden="1" x14ac:dyDescent="0.25"/>
    <row r="33393" hidden="1" x14ac:dyDescent="0.25"/>
    <row r="33394" hidden="1" x14ac:dyDescent="0.25"/>
    <row r="33395" hidden="1" x14ac:dyDescent="0.25"/>
    <row r="33396" hidden="1" x14ac:dyDescent="0.25"/>
    <row r="33397" hidden="1" x14ac:dyDescent="0.25"/>
    <row r="33398" hidden="1" x14ac:dyDescent="0.25"/>
    <row r="33399" hidden="1" x14ac:dyDescent="0.25"/>
    <row r="33400" hidden="1" x14ac:dyDescent="0.25"/>
    <row r="33401" hidden="1" x14ac:dyDescent="0.25"/>
    <row r="33402" hidden="1" x14ac:dyDescent="0.25"/>
    <row r="33403" hidden="1" x14ac:dyDescent="0.25"/>
    <row r="33404" hidden="1" x14ac:dyDescent="0.25"/>
    <row r="33405" hidden="1" x14ac:dyDescent="0.25"/>
    <row r="33406" hidden="1" x14ac:dyDescent="0.25"/>
    <row r="33407" hidden="1" x14ac:dyDescent="0.25"/>
    <row r="33408" hidden="1" x14ac:dyDescent="0.25"/>
    <row r="33409" hidden="1" x14ac:dyDescent="0.25"/>
    <row r="33410" hidden="1" x14ac:dyDescent="0.25"/>
    <row r="33411" hidden="1" x14ac:dyDescent="0.25"/>
    <row r="33412" hidden="1" x14ac:dyDescent="0.25"/>
    <row r="33413" hidden="1" x14ac:dyDescent="0.25"/>
    <row r="33414" hidden="1" x14ac:dyDescent="0.25"/>
    <row r="33415" hidden="1" x14ac:dyDescent="0.25"/>
    <row r="33416" hidden="1" x14ac:dyDescent="0.25"/>
    <row r="33417" hidden="1" x14ac:dyDescent="0.25"/>
    <row r="33418" hidden="1" x14ac:dyDescent="0.25"/>
    <row r="33419" hidden="1" x14ac:dyDescent="0.25"/>
    <row r="33420" hidden="1" x14ac:dyDescent="0.25"/>
    <row r="33421" hidden="1" x14ac:dyDescent="0.25"/>
    <row r="33422" hidden="1" x14ac:dyDescent="0.25"/>
    <row r="33423" hidden="1" x14ac:dyDescent="0.25"/>
    <row r="33424" hidden="1" x14ac:dyDescent="0.25"/>
    <row r="33425" hidden="1" x14ac:dyDescent="0.25"/>
    <row r="33426" hidden="1" x14ac:dyDescent="0.25"/>
    <row r="33427" hidden="1" x14ac:dyDescent="0.25"/>
    <row r="33428" hidden="1" x14ac:dyDescent="0.25"/>
    <row r="33429" hidden="1" x14ac:dyDescent="0.25"/>
    <row r="33430" hidden="1" x14ac:dyDescent="0.25"/>
    <row r="33431" hidden="1" x14ac:dyDescent="0.25"/>
    <row r="33432" hidden="1" x14ac:dyDescent="0.25"/>
    <row r="33433" hidden="1" x14ac:dyDescent="0.25"/>
    <row r="33434" hidden="1" x14ac:dyDescent="0.25"/>
    <row r="33435" hidden="1" x14ac:dyDescent="0.25"/>
    <row r="33436" hidden="1" x14ac:dyDescent="0.25"/>
    <row r="33437" hidden="1" x14ac:dyDescent="0.25"/>
    <row r="33438" hidden="1" x14ac:dyDescent="0.25"/>
    <row r="33439" hidden="1" x14ac:dyDescent="0.25"/>
    <row r="33440" hidden="1" x14ac:dyDescent="0.25"/>
    <row r="33441" hidden="1" x14ac:dyDescent="0.25"/>
    <row r="33442" hidden="1" x14ac:dyDescent="0.25"/>
    <row r="33443" hidden="1" x14ac:dyDescent="0.25"/>
    <row r="33444" hidden="1" x14ac:dyDescent="0.25"/>
    <row r="33445" hidden="1" x14ac:dyDescent="0.25"/>
    <row r="33446" hidden="1" x14ac:dyDescent="0.25"/>
    <row r="33447" hidden="1" x14ac:dyDescent="0.25"/>
    <row r="33448" hidden="1" x14ac:dyDescent="0.25"/>
    <row r="33449" hidden="1" x14ac:dyDescent="0.25"/>
    <row r="33450" hidden="1" x14ac:dyDescent="0.25"/>
    <row r="33451" hidden="1" x14ac:dyDescent="0.25"/>
    <row r="33452" hidden="1" x14ac:dyDescent="0.25"/>
    <row r="33453" hidden="1" x14ac:dyDescent="0.25"/>
    <row r="33454" hidden="1" x14ac:dyDescent="0.25"/>
    <row r="33455" hidden="1" x14ac:dyDescent="0.25"/>
    <row r="33456" hidden="1" x14ac:dyDescent="0.25"/>
    <row r="33457" hidden="1" x14ac:dyDescent="0.25"/>
    <row r="33458" hidden="1" x14ac:dyDescent="0.25"/>
    <row r="33459" hidden="1" x14ac:dyDescent="0.25"/>
    <row r="33460" hidden="1" x14ac:dyDescent="0.25"/>
    <row r="33461" hidden="1" x14ac:dyDescent="0.25"/>
    <row r="33462" hidden="1" x14ac:dyDescent="0.25"/>
    <row r="33463" hidden="1" x14ac:dyDescent="0.25"/>
    <row r="33464" hidden="1" x14ac:dyDescent="0.25"/>
    <row r="33465" hidden="1" x14ac:dyDescent="0.25"/>
    <row r="33466" hidden="1" x14ac:dyDescent="0.25"/>
    <row r="33467" hidden="1" x14ac:dyDescent="0.25"/>
    <row r="33468" hidden="1" x14ac:dyDescent="0.25"/>
    <row r="33469" hidden="1" x14ac:dyDescent="0.25"/>
    <row r="33470" hidden="1" x14ac:dyDescent="0.25"/>
    <row r="33471" hidden="1" x14ac:dyDescent="0.25"/>
    <row r="33472" hidden="1" x14ac:dyDescent="0.25"/>
    <row r="33473" hidden="1" x14ac:dyDescent="0.25"/>
    <row r="33474" hidden="1" x14ac:dyDescent="0.25"/>
    <row r="33475" hidden="1" x14ac:dyDescent="0.25"/>
    <row r="33476" hidden="1" x14ac:dyDescent="0.25"/>
    <row r="33477" hidden="1" x14ac:dyDescent="0.25"/>
    <row r="33478" hidden="1" x14ac:dyDescent="0.25"/>
    <row r="33479" hidden="1" x14ac:dyDescent="0.25"/>
    <row r="33480" hidden="1" x14ac:dyDescent="0.25"/>
    <row r="33481" hidden="1" x14ac:dyDescent="0.25"/>
    <row r="33482" hidden="1" x14ac:dyDescent="0.25"/>
    <row r="33483" hidden="1" x14ac:dyDescent="0.25"/>
    <row r="33484" hidden="1" x14ac:dyDescent="0.25"/>
    <row r="33485" hidden="1" x14ac:dyDescent="0.25"/>
    <row r="33486" hidden="1" x14ac:dyDescent="0.25"/>
    <row r="33487" hidden="1" x14ac:dyDescent="0.25"/>
    <row r="33488" hidden="1" x14ac:dyDescent="0.25"/>
    <row r="33489" hidden="1" x14ac:dyDescent="0.25"/>
    <row r="33490" hidden="1" x14ac:dyDescent="0.25"/>
    <row r="33491" hidden="1" x14ac:dyDescent="0.25"/>
    <row r="33492" hidden="1" x14ac:dyDescent="0.25"/>
    <row r="33493" hidden="1" x14ac:dyDescent="0.25"/>
    <row r="33494" hidden="1" x14ac:dyDescent="0.25"/>
    <row r="33495" hidden="1" x14ac:dyDescent="0.25"/>
    <row r="33496" hidden="1" x14ac:dyDescent="0.25"/>
    <row r="33497" hidden="1" x14ac:dyDescent="0.25"/>
    <row r="33498" hidden="1" x14ac:dyDescent="0.25"/>
    <row r="33499" hidden="1" x14ac:dyDescent="0.25"/>
    <row r="33500" hidden="1" x14ac:dyDescent="0.25"/>
    <row r="33501" hidden="1" x14ac:dyDescent="0.25"/>
    <row r="33502" hidden="1" x14ac:dyDescent="0.25"/>
    <row r="33503" hidden="1" x14ac:dyDescent="0.25"/>
    <row r="33504" hidden="1" x14ac:dyDescent="0.25"/>
    <row r="33505" hidden="1" x14ac:dyDescent="0.25"/>
    <row r="33506" hidden="1" x14ac:dyDescent="0.25"/>
    <row r="33507" hidden="1" x14ac:dyDescent="0.25"/>
    <row r="33508" hidden="1" x14ac:dyDescent="0.25"/>
    <row r="33509" hidden="1" x14ac:dyDescent="0.25"/>
    <row r="33510" hidden="1" x14ac:dyDescent="0.25"/>
    <row r="33511" hidden="1" x14ac:dyDescent="0.25"/>
    <row r="33512" hidden="1" x14ac:dyDescent="0.25"/>
    <row r="33513" hidden="1" x14ac:dyDescent="0.25"/>
    <row r="33514" hidden="1" x14ac:dyDescent="0.25"/>
    <row r="33515" hidden="1" x14ac:dyDescent="0.25"/>
    <row r="33516" hidden="1" x14ac:dyDescent="0.25"/>
    <row r="33517" hidden="1" x14ac:dyDescent="0.25"/>
    <row r="33518" hidden="1" x14ac:dyDescent="0.25"/>
    <row r="33519" hidden="1" x14ac:dyDescent="0.25"/>
    <row r="33520" hidden="1" x14ac:dyDescent="0.25"/>
    <row r="33521" hidden="1" x14ac:dyDescent="0.25"/>
    <row r="33522" hidden="1" x14ac:dyDescent="0.25"/>
    <row r="33523" hidden="1" x14ac:dyDescent="0.25"/>
    <row r="33524" hidden="1" x14ac:dyDescent="0.25"/>
    <row r="33525" hidden="1" x14ac:dyDescent="0.25"/>
    <row r="33526" hidden="1" x14ac:dyDescent="0.25"/>
    <row r="33527" hidden="1" x14ac:dyDescent="0.25"/>
    <row r="33528" hidden="1" x14ac:dyDescent="0.25"/>
    <row r="33529" hidden="1" x14ac:dyDescent="0.25"/>
    <row r="33530" hidden="1" x14ac:dyDescent="0.25"/>
    <row r="33531" hidden="1" x14ac:dyDescent="0.25"/>
    <row r="33532" hidden="1" x14ac:dyDescent="0.25"/>
    <row r="33533" hidden="1" x14ac:dyDescent="0.25"/>
    <row r="33534" hidden="1" x14ac:dyDescent="0.25"/>
    <row r="33535" hidden="1" x14ac:dyDescent="0.25"/>
    <row r="33536" hidden="1" x14ac:dyDescent="0.25"/>
    <row r="33537" hidden="1" x14ac:dyDescent="0.25"/>
    <row r="33538" hidden="1" x14ac:dyDescent="0.25"/>
    <row r="33539" hidden="1" x14ac:dyDescent="0.25"/>
    <row r="33540" hidden="1" x14ac:dyDescent="0.25"/>
    <row r="33541" hidden="1" x14ac:dyDescent="0.25"/>
    <row r="33542" hidden="1" x14ac:dyDescent="0.25"/>
    <row r="33543" hidden="1" x14ac:dyDescent="0.25"/>
    <row r="33544" hidden="1" x14ac:dyDescent="0.25"/>
    <row r="33545" hidden="1" x14ac:dyDescent="0.25"/>
    <row r="33546" hidden="1" x14ac:dyDescent="0.25"/>
    <row r="33547" hidden="1" x14ac:dyDescent="0.25"/>
    <row r="33548" hidden="1" x14ac:dyDescent="0.25"/>
    <row r="33549" hidden="1" x14ac:dyDescent="0.25"/>
    <row r="33550" hidden="1" x14ac:dyDescent="0.25"/>
    <row r="33551" hidden="1" x14ac:dyDescent="0.25"/>
    <row r="33552" hidden="1" x14ac:dyDescent="0.25"/>
    <row r="33553" hidden="1" x14ac:dyDescent="0.25"/>
    <row r="33554" hidden="1" x14ac:dyDescent="0.25"/>
    <row r="33555" hidden="1" x14ac:dyDescent="0.25"/>
    <row r="33556" hidden="1" x14ac:dyDescent="0.25"/>
    <row r="33557" hidden="1" x14ac:dyDescent="0.25"/>
    <row r="33558" hidden="1" x14ac:dyDescent="0.25"/>
    <row r="33559" hidden="1" x14ac:dyDescent="0.25"/>
    <row r="33560" hidden="1" x14ac:dyDescent="0.25"/>
    <row r="33561" hidden="1" x14ac:dyDescent="0.25"/>
    <row r="33562" hidden="1" x14ac:dyDescent="0.25"/>
    <row r="33563" hidden="1" x14ac:dyDescent="0.25"/>
    <row r="33564" hidden="1" x14ac:dyDescent="0.25"/>
    <row r="33565" hidden="1" x14ac:dyDescent="0.25"/>
    <row r="33566" hidden="1" x14ac:dyDescent="0.25"/>
    <row r="33567" hidden="1" x14ac:dyDescent="0.25"/>
    <row r="33568" hidden="1" x14ac:dyDescent="0.25"/>
    <row r="33569" hidden="1" x14ac:dyDescent="0.25"/>
    <row r="33570" hidden="1" x14ac:dyDescent="0.25"/>
    <row r="33571" hidden="1" x14ac:dyDescent="0.25"/>
    <row r="33572" hidden="1" x14ac:dyDescent="0.25"/>
    <row r="33573" hidden="1" x14ac:dyDescent="0.25"/>
    <row r="33574" hidden="1" x14ac:dyDescent="0.25"/>
    <row r="33575" hidden="1" x14ac:dyDescent="0.25"/>
    <row r="33576" hidden="1" x14ac:dyDescent="0.25"/>
    <row r="33577" hidden="1" x14ac:dyDescent="0.25"/>
    <row r="33578" hidden="1" x14ac:dyDescent="0.25"/>
    <row r="33579" hidden="1" x14ac:dyDescent="0.25"/>
    <row r="33580" hidden="1" x14ac:dyDescent="0.25"/>
    <row r="33581" hidden="1" x14ac:dyDescent="0.25"/>
    <row r="33582" hidden="1" x14ac:dyDescent="0.25"/>
    <row r="33583" hidden="1" x14ac:dyDescent="0.25"/>
    <row r="33584" hidden="1" x14ac:dyDescent="0.25"/>
    <row r="33585" hidden="1" x14ac:dyDescent="0.25"/>
    <row r="33586" hidden="1" x14ac:dyDescent="0.25"/>
    <row r="33587" hidden="1" x14ac:dyDescent="0.25"/>
    <row r="33588" hidden="1" x14ac:dyDescent="0.25"/>
    <row r="33589" hidden="1" x14ac:dyDescent="0.25"/>
    <row r="33590" hidden="1" x14ac:dyDescent="0.25"/>
    <row r="33591" hidden="1" x14ac:dyDescent="0.25"/>
    <row r="33592" hidden="1" x14ac:dyDescent="0.25"/>
    <row r="33593" hidden="1" x14ac:dyDescent="0.25"/>
    <row r="33594" hidden="1" x14ac:dyDescent="0.25"/>
    <row r="33595" hidden="1" x14ac:dyDescent="0.25"/>
    <row r="33596" hidden="1" x14ac:dyDescent="0.25"/>
    <row r="33597" hidden="1" x14ac:dyDescent="0.25"/>
    <row r="33598" hidden="1" x14ac:dyDescent="0.25"/>
    <row r="33599" hidden="1" x14ac:dyDescent="0.25"/>
    <row r="33600" hidden="1" x14ac:dyDescent="0.25"/>
    <row r="33601" hidden="1" x14ac:dyDescent="0.25"/>
    <row r="33602" hidden="1" x14ac:dyDescent="0.25"/>
    <row r="33603" hidden="1" x14ac:dyDescent="0.25"/>
    <row r="33604" hidden="1" x14ac:dyDescent="0.25"/>
    <row r="33605" hidden="1" x14ac:dyDescent="0.25"/>
    <row r="33606" hidden="1" x14ac:dyDescent="0.25"/>
    <row r="33607" hidden="1" x14ac:dyDescent="0.25"/>
    <row r="33608" hidden="1" x14ac:dyDescent="0.25"/>
    <row r="33609" hidden="1" x14ac:dyDescent="0.25"/>
    <row r="33610" hidden="1" x14ac:dyDescent="0.25"/>
    <row r="33611" hidden="1" x14ac:dyDescent="0.25"/>
    <row r="33612" hidden="1" x14ac:dyDescent="0.25"/>
    <row r="33613" hidden="1" x14ac:dyDescent="0.25"/>
    <row r="33614" hidden="1" x14ac:dyDescent="0.25"/>
    <row r="33615" hidden="1" x14ac:dyDescent="0.25"/>
    <row r="33616" hidden="1" x14ac:dyDescent="0.25"/>
    <row r="33617" hidden="1" x14ac:dyDescent="0.25"/>
    <row r="33618" hidden="1" x14ac:dyDescent="0.25"/>
    <row r="33619" hidden="1" x14ac:dyDescent="0.25"/>
    <row r="33620" hidden="1" x14ac:dyDescent="0.25"/>
    <row r="33621" hidden="1" x14ac:dyDescent="0.25"/>
    <row r="33622" hidden="1" x14ac:dyDescent="0.25"/>
    <row r="33623" hidden="1" x14ac:dyDescent="0.25"/>
    <row r="33624" hidden="1" x14ac:dyDescent="0.25"/>
    <row r="33625" hidden="1" x14ac:dyDescent="0.25"/>
    <row r="33626" hidden="1" x14ac:dyDescent="0.25"/>
    <row r="33627" hidden="1" x14ac:dyDescent="0.25"/>
    <row r="33628" hidden="1" x14ac:dyDescent="0.25"/>
    <row r="33629" hidden="1" x14ac:dyDescent="0.25"/>
    <row r="33630" hidden="1" x14ac:dyDescent="0.25"/>
    <row r="33631" hidden="1" x14ac:dyDescent="0.25"/>
    <row r="33632" hidden="1" x14ac:dyDescent="0.25"/>
    <row r="33633" hidden="1" x14ac:dyDescent="0.25"/>
    <row r="33634" hidden="1" x14ac:dyDescent="0.25"/>
    <row r="33635" hidden="1" x14ac:dyDescent="0.25"/>
    <row r="33636" hidden="1" x14ac:dyDescent="0.25"/>
    <row r="33637" hidden="1" x14ac:dyDescent="0.25"/>
    <row r="33638" hidden="1" x14ac:dyDescent="0.25"/>
    <row r="33639" hidden="1" x14ac:dyDescent="0.25"/>
    <row r="33640" hidden="1" x14ac:dyDescent="0.25"/>
    <row r="33641" hidden="1" x14ac:dyDescent="0.25"/>
    <row r="33642" hidden="1" x14ac:dyDescent="0.25"/>
    <row r="33643" hidden="1" x14ac:dyDescent="0.25"/>
    <row r="33644" hidden="1" x14ac:dyDescent="0.25"/>
    <row r="33645" hidden="1" x14ac:dyDescent="0.25"/>
    <row r="33646" hidden="1" x14ac:dyDescent="0.25"/>
    <row r="33647" hidden="1" x14ac:dyDescent="0.25"/>
    <row r="33648" hidden="1" x14ac:dyDescent="0.25"/>
    <row r="33649" hidden="1" x14ac:dyDescent="0.25"/>
    <row r="33650" hidden="1" x14ac:dyDescent="0.25"/>
    <row r="33651" hidden="1" x14ac:dyDescent="0.25"/>
    <row r="33652" hidden="1" x14ac:dyDescent="0.25"/>
    <row r="33653" hidden="1" x14ac:dyDescent="0.25"/>
    <row r="33654" hidden="1" x14ac:dyDescent="0.25"/>
    <row r="33655" hidden="1" x14ac:dyDescent="0.25"/>
    <row r="33656" hidden="1" x14ac:dyDescent="0.25"/>
    <row r="33657" hidden="1" x14ac:dyDescent="0.25"/>
    <row r="33658" hidden="1" x14ac:dyDescent="0.25"/>
    <row r="33659" hidden="1" x14ac:dyDescent="0.25"/>
    <row r="33660" hidden="1" x14ac:dyDescent="0.25"/>
    <row r="33661" hidden="1" x14ac:dyDescent="0.25"/>
    <row r="33662" hidden="1" x14ac:dyDescent="0.25"/>
    <row r="33663" hidden="1" x14ac:dyDescent="0.25"/>
    <row r="33664" hidden="1" x14ac:dyDescent="0.25"/>
    <row r="33665" hidden="1" x14ac:dyDescent="0.25"/>
    <row r="33666" hidden="1" x14ac:dyDescent="0.25"/>
    <row r="33667" hidden="1" x14ac:dyDescent="0.25"/>
    <row r="33668" hidden="1" x14ac:dyDescent="0.25"/>
    <row r="33669" hidden="1" x14ac:dyDescent="0.25"/>
    <row r="33670" hidden="1" x14ac:dyDescent="0.25"/>
    <row r="33671" hidden="1" x14ac:dyDescent="0.25"/>
    <row r="33672" hidden="1" x14ac:dyDescent="0.25"/>
    <row r="33673" hidden="1" x14ac:dyDescent="0.25"/>
    <row r="33674" hidden="1" x14ac:dyDescent="0.25"/>
    <row r="33675" hidden="1" x14ac:dyDescent="0.25"/>
    <row r="33676" hidden="1" x14ac:dyDescent="0.25"/>
    <row r="33677" hidden="1" x14ac:dyDescent="0.25"/>
    <row r="33678" hidden="1" x14ac:dyDescent="0.25"/>
    <row r="33679" hidden="1" x14ac:dyDescent="0.25"/>
    <row r="33680" hidden="1" x14ac:dyDescent="0.25"/>
    <row r="33681" hidden="1" x14ac:dyDescent="0.25"/>
    <row r="33682" hidden="1" x14ac:dyDescent="0.25"/>
    <row r="33683" hidden="1" x14ac:dyDescent="0.25"/>
    <row r="33684" hidden="1" x14ac:dyDescent="0.25"/>
    <row r="33685" hidden="1" x14ac:dyDescent="0.25"/>
    <row r="33686" hidden="1" x14ac:dyDescent="0.25"/>
    <row r="33687" hidden="1" x14ac:dyDescent="0.25"/>
    <row r="33688" hidden="1" x14ac:dyDescent="0.25"/>
    <row r="33689" hidden="1" x14ac:dyDescent="0.25"/>
    <row r="33690" hidden="1" x14ac:dyDescent="0.25"/>
    <row r="33691" hidden="1" x14ac:dyDescent="0.25"/>
    <row r="33692" hidden="1" x14ac:dyDescent="0.25"/>
    <row r="33693" hidden="1" x14ac:dyDescent="0.25"/>
    <row r="33694" hidden="1" x14ac:dyDescent="0.25"/>
    <row r="33695" hidden="1" x14ac:dyDescent="0.25"/>
    <row r="33696" hidden="1" x14ac:dyDescent="0.25"/>
    <row r="33697" hidden="1" x14ac:dyDescent="0.25"/>
    <row r="33698" hidden="1" x14ac:dyDescent="0.25"/>
    <row r="33699" hidden="1" x14ac:dyDescent="0.25"/>
    <row r="33700" hidden="1" x14ac:dyDescent="0.25"/>
    <row r="33701" hidden="1" x14ac:dyDescent="0.25"/>
    <row r="33702" hidden="1" x14ac:dyDescent="0.25"/>
    <row r="33703" hidden="1" x14ac:dyDescent="0.25"/>
    <row r="33704" hidden="1" x14ac:dyDescent="0.25"/>
    <row r="33705" hidden="1" x14ac:dyDescent="0.25"/>
    <row r="33706" hidden="1" x14ac:dyDescent="0.25"/>
    <row r="33707" hidden="1" x14ac:dyDescent="0.25"/>
    <row r="33708" hidden="1" x14ac:dyDescent="0.25"/>
    <row r="33709" hidden="1" x14ac:dyDescent="0.25"/>
    <row r="33710" hidden="1" x14ac:dyDescent="0.25"/>
    <row r="33711" hidden="1" x14ac:dyDescent="0.25"/>
    <row r="33712" hidden="1" x14ac:dyDescent="0.25"/>
    <row r="33713" hidden="1" x14ac:dyDescent="0.25"/>
    <row r="33714" hidden="1" x14ac:dyDescent="0.25"/>
    <row r="33715" hidden="1" x14ac:dyDescent="0.25"/>
    <row r="33716" hidden="1" x14ac:dyDescent="0.25"/>
    <row r="33717" hidden="1" x14ac:dyDescent="0.25"/>
    <row r="33718" hidden="1" x14ac:dyDescent="0.25"/>
    <row r="33719" hidden="1" x14ac:dyDescent="0.25"/>
    <row r="33720" hidden="1" x14ac:dyDescent="0.25"/>
    <row r="33721" hidden="1" x14ac:dyDescent="0.25"/>
    <row r="33722" hidden="1" x14ac:dyDescent="0.25"/>
    <row r="33723" hidden="1" x14ac:dyDescent="0.25"/>
    <row r="33724" hidden="1" x14ac:dyDescent="0.25"/>
    <row r="33725" hidden="1" x14ac:dyDescent="0.25"/>
    <row r="33726" hidden="1" x14ac:dyDescent="0.25"/>
    <row r="33727" hidden="1" x14ac:dyDescent="0.25"/>
    <row r="33728" hidden="1" x14ac:dyDescent="0.25"/>
    <row r="33729" hidden="1" x14ac:dyDescent="0.25"/>
    <row r="33730" hidden="1" x14ac:dyDescent="0.25"/>
    <row r="33731" hidden="1" x14ac:dyDescent="0.25"/>
    <row r="33732" hidden="1" x14ac:dyDescent="0.25"/>
    <row r="33733" hidden="1" x14ac:dyDescent="0.25"/>
    <row r="33734" hidden="1" x14ac:dyDescent="0.25"/>
    <row r="33735" hidden="1" x14ac:dyDescent="0.25"/>
    <row r="33736" hidden="1" x14ac:dyDescent="0.25"/>
    <row r="33737" hidden="1" x14ac:dyDescent="0.25"/>
    <row r="33738" hidden="1" x14ac:dyDescent="0.25"/>
    <row r="33739" hidden="1" x14ac:dyDescent="0.25"/>
    <row r="33740" hidden="1" x14ac:dyDescent="0.25"/>
    <row r="33741" hidden="1" x14ac:dyDescent="0.25"/>
    <row r="33742" hidden="1" x14ac:dyDescent="0.25"/>
    <row r="33743" hidden="1" x14ac:dyDescent="0.25"/>
    <row r="33744" hidden="1" x14ac:dyDescent="0.25"/>
    <row r="33745" hidden="1" x14ac:dyDescent="0.25"/>
    <row r="33746" hidden="1" x14ac:dyDescent="0.25"/>
    <row r="33747" hidden="1" x14ac:dyDescent="0.25"/>
    <row r="33748" hidden="1" x14ac:dyDescent="0.25"/>
    <row r="33749" hidden="1" x14ac:dyDescent="0.25"/>
    <row r="33750" hidden="1" x14ac:dyDescent="0.25"/>
    <row r="33751" hidden="1" x14ac:dyDescent="0.25"/>
    <row r="33752" hidden="1" x14ac:dyDescent="0.25"/>
    <row r="33753" hidden="1" x14ac:dyDescent="0.25"/>
    <row r="33754" hidden="1" x14ac:dyDescent="0.25"/>
    <row r="33755" hidden="1" x14ac:dyDescent="0.25"/>
    <row r="33756" hidden="1" x14ac:dyDescent="0.25"/>
    <row r="33757" hidden="1" x14ac:dyDescent="0.25"/>
    <row r="33758" hidden="1" x14ac:dyDescent="0.25"/>
    <row r="33759" hidden="1" x14ac:dyDescent="0.25"/>
    <row r="33760" hidden="1" x14ac:dyDescent="0.25"/>
    <row r="33761" hidden="1" x14ac:dyDescent="0.25"/>
    <row r="33762" hidden="1" x14ac:dyDescent="0.25"/>
    <row r="33763" hidden="1" x14ac:dyDescent="0.25"/>
    <row r="33764" hidden="1" x14ac:dyDescent="0.25"/>
    <row r="33765" hidden="1" x14ac:dyDescent="0.25"/>
    <row r="33766" hidden="1" x14ac:dyDescent="0.25"/>
    <row r="33767" hidden="1" x14ac:dyDescent="0.25"/>
    <row r="33768" hidden="1" x14ac:dyDescent="0.25"/>
    <row r="33769" hidden="1" x14ac:dyDescent="0.25"/>
    <row r="33770" hidden="1" x14ac:dyDescent="0.25"/>
    <row r="33771" hidden="1" x14ac:dyDescent="0.25"/>
    <row r="33772" hidden="1" x14ac:dyDescent="0.25"/>
    <row r="33773" hidden="1" x14ac:dyDescent="0.25"/>
    <row r="33774" hidden="1" x14ac:dyDescent="0.25"/>
    <row r="33775" hidden="1" x14ac:dyDescent="0.25"/>
    <row r="33776" hidden="1" x14ac:dyDescent="0.25"/>
    <row r="33777" hidden="1" x14ac:dyDescent="0.25"/>
    <row r="33778" hidden="1" x14ac:dyDescent="0.25"/>
    <row r="33779" hidden="1" x14ac:dyDescent="0.25"/>
    <row r="33780" hidden="1" x14ac:dyDescent="0.25"/>
    <row r="33781" hidden="1" x14ac:dyDescent="0.25"/>
    <row r="33782" hidden="1" x14ac:dyDescent="0.25"/>
    <row r="33783" hidden="1" x14ac:dyDescent="0.25"/>
    <row r="33784" hidden="1" x14ac:dyDescent="0.25"/>
    <row r="33785" hidden="1" x14ac:dyDescent="0.25"/>
    <row r="33786" hidden="1" x14ac:dyDescent="0.25"/>
    <row r="33787" hidden="1" x14ac:dyDescent="0.25"/>
    <row r="33788" hidden="1" x14ac:dyDescent="0.25"/>
    <row r="33789" hidden="1" x14ac:dyDescent="0.25"/>
    <row r="33790" hidden="1" x14ac:dyDescent="0.25"/>
    <row r="33791" hidden="1" x14ac:dyDescent="0.25"/>
    <row r="33792" hidden="1" x14ac:dyDescent="0.25"/>
    <row r="33793" hidden="1" x14ac:dyDescent="0.25"/>
    <row r="33794" hidden="1" x14ac:dyDescent="0.25"/>
    <row r="33795" hidden="1" x14ac:dyDescent="0.25"/>
    <row r="33796" hidden="1" x14ac:dyDescent="0.25"/>
    <row r="33797" hidden="1" x14ac:dyDescent="0.25"/>
    <row r="33798" hidden="1" x14ac:dyDescent="0.25"/>
    <row r="33799" hidden="1" x14ac:dyDescent="0.25"/>
    <row r="33800" hidden="1" x14ac:dyDescent="0.25"/>
    <row r="33801" hidden="1" x14ac:dyDescent="0.25"/>
    <row r="33802" hidden="1" x14ac:dyDescent="0.25"/>
    <row r="33803" hidden="1" x14ac:dyDescent="0.25"/>
    <row r="33804" hidden="1" x14ac:dyDescent="0.25"/>
    <row r="33805" hidden="1" x14ac:dyDescent="0.25"/>
    <row r="33806" hidden="1" x14ac:dyDescent="0.25"/>
    <row r="33807" hidden="1" x14ac:dyDescent="0.25"/>
    <row r="33808" hidden="1" x14ac:dyDescent="0.25"/>
    <row r="33809" hidden="1" x14ac:dyDescent="0.25"/>
    <row r="33810" hidden="1" x14ac:dyDescent="0.25"/>
    <row r="33811" hidden="1" x14ac:dyDescent="0.25"/>
    <row r="33812" hidden="1" x14ac:dyDescent="0.25"/>
    <row r="33813" hidden="1" x14ac:dyDescent="0.25"/>
    <row r="33814" hidden="1" x14ac:dyDescent="0.25"/>
    <row r="33815" hidden="1" x14ac:dyDescent="0.25"/>
    <row r="33816" hidden="1" x14ac:dyDescent="0.25"/>
    <row r="33817" hidden="1" x14ac:dyDescent="0.25"/>
    <row r="33818" hidden="1" x14ac:dyDescent="0.25"/>
    <row r="33819" hidden="1" x14ac:dyDescent="0.25"/>
    <row r="33820" hidden="1" x14ac:dyDescent="0.25"/>
    <row r="33821" hidden="1" x14ac:dyDescent="0.25"/>
    <row r="33822" hidden="1" x14ac:dyDescent="0.25"/>
    <row r="33823" hidden="1" x14ac:dyDescent="0.25"/>
    <row r="33824" hidden="1" x14ac:dyDescent="0.25"/>
    <row r="33825" hidden="1" x14ac:dyDescent="0.25"/>
    <row r="33826" hidden="1" x14ac:dyDescent="0.25"/>
    <row r="33827" hidden="1" x14ac:dyDescent="0.25"/>
    <row r="33828" hidden="1" x14ac:dyDescent="0.25"/>
    <row r="33829" hidden="1" x14ac:dyDescent="0.25"/>
    <row r="33830" hidden="1" x14ac:dyDescent="0.25"/>
    <row r="33831" hidden="1" x14ac:dyDescent="0.25"/>
    <row r="33832" hidden="1" x14ac:dyDescent="0.25"/>
    <row r="33833" hidden="1" x14ac:dyDescent="0.25"/>
    <row r="33834" hidden="1" x14ac:dyDescent="0.25"/>
    <row r="33835" hidden="1" x14ac:dyDescent="0.25"/>
    <row r="33836" hidden="1" x14ac:dyDescent="0.25"/>
    <row r="33837" hidden="1" x14ac:dyDescent="0.25"/>
    <row r="33838" hidden="1" x14ac:dyDescent="0.25"/>
    <row r="33839" hidden="1" x14ac:dyDescent="0.25"/>
    <row r="33840" hidden="1" x14ac:dyDescent="0.25"/>
    <row r="33841" hidden="1" x14ac:dyDescent="0.25"/>
    <row r="33842" hidden="1" x14ac:dyDescent="0.25"/>
    <row r="33843" hidden="1" x14ac:dyDescent="0.25"/>
    <row r="33844" hidden="1" x14ac:dyDescent="0.25"/>
    <row r="33845" hidden="1" x14ac:dyDescent="0.25"/>
    <row r="33846" hidden="1" x14ac:dyDescent="0.25"/>
    <row r="33847" hidden="1" x14ac:dyDescent="0.25"/>
    <row r="33848" hidden="1" x14ac:dyDescent="0.25"/>
    <row r="33849" hidden="1" x14ac:dyDescent="0.25"/>
    <row r="33850" hidden="1" x14ac:dyDescent="0.25"/>
    <row r="33851" hidden="1" x14ac:dyDescent="0.25"/>
    <row r="33852" hidden="1" x14ac:dyDescent="0.25"/>
    <row r="33853" hidden="1" x14ac:dyDescent="0.25"/>
    <row r="33854" hidden="1" x14ac:dyDescent="0.25"/>
    <row r="33855" hidden="1" x14ac:dyDescent="0.25"/>
    <row r="33856" hidden="1" x14ac:dyDescent="0.25"/>
    <row r="33857" hidden="1" x14ac:dyDescent="0.25"/>
    <row r="33858" hidden="1" x14ac:dyDescent="0.25"/>
    <row r="33859" hidden="1" x14ac:dyDescent="0.25"/>
    <row r="33860" hidden="1" x14ac:dyDescent="0.25"/>
    <row r="33861" hidden="1" x14ac:dyDescent="0.25"/>
    <row r="33862" hidden="1" x14ac:dyDescent="0.25"/>
    <row r="33863" hidden="1" x14ac:dyDescent="0.25"/>
    <row r="33864" hidden="1" x14ac:dyDescent="0.25"/>
    <row r="33865" hidden="1" x14ac:dyDescent="0.25"/>
    <row r="33866" hidden="1" x14ac:dyDescent="0.25"/>
    <row r="33867" hidden="1" x14ac:dyDescent="0.25"/>
    <row r="33868" hidden="1" x14ac:dyDescent="0.25"/>
    <row r="33869" hidden="1" x14ac:dyDescent="0.25"/>
    <row r="33870" hidden="1" x14ac:dyDescent="0.25"/>
    <row r="33871" hidden="1" x14ac:dyDescent="0.25"/>
    <row r="33872" hidden="1" x14ac:dyDescent="0.25"/>
    <row r="33873" hidden="1" x14ac:dyDescent="0.25"/>
    <row r="33874" hidden="1" x14ac:dyDescent="0.25"/>
    <row r="33875" hidden="1" x14ac:dyDescent="0.25"/>
    <row r="33876" hidden="1" x14ac:dyDescent="0.25"/>
    <row r="33877" hidden="1" x14ac:dyDescent="0.25"/>
    <row r="33878" hidden="1" x14ac:dyDescent="0.25"/>
    <row r="33879" hidden="1" x14ac:dyDescent="0.25"/>
    <row r="33880" hidden="1" x14ac:dyDescent="0.25"/>
    <row r="33881" hidden="1" x14ac:dyDescent="0.25"/>
    <row r="33882" hidden="1" x14ac:dyDescent="0.25"/>
    <row r="33883" hidden="1" x14ac:dyDescent="0.25"/>
    <row r="33884" hidden="1" x14ac:dyDescent="0.25"/>
    <row r="33885" hidden="1" x14ac:dyDescent="0.25"/>
    <row r="33886" hidden="1" x14ac:dyDescent="0.25"/>
    <row r="33887" hidden="1" x14ac:dyDescent="0.25"/>
    <row r="33888" hidden="1" x14ac:dyDescent="0.25"/>
    <row r="33889" hidden="1" x14ac:dyDescent="0.25"/>
    <row r="33890" hidden="1" x14ac:dyDescent="0.25"/>
    <row r="33891" hidden="1" x14ac:dyDescent="0.25"/>
    <row r="33892" hidden="1" x14ac:dyDescent="0.25"/>
    <row r="33893" hidden="1" x14ac:dyDescent="0.25"/>
    <row r="33894" hidden="1" x14ac:dyDescent="0.25"/>
    <row r="33895" hidden="1" x14ac:dyDescent="0.25"/>
    <row r="33896" hidden="1" x14ac:dyDescent="0.25"/>
    <row r="33897" hidden="1" x14ac:dyDescent="0.25"/>
    <row r="33898" hidden="1" x14ac:dyDescent="0.25"/>
    <row r="33899" hidden="1" x14ac:dyDescent="0.25"/>
    <row r="33900" hidden="1" x14ac:dyDescent="0.25"/>
    <row r="33901" hidden="1" x14ac:dyDescent="0.25"/>
    <row r="33902" hidden="1" x14ac:dyDescent="0.25"/>
    <row r="33903" hidden="1" x14ac:dyDescent="0.25"/>
    <row r="33904" hidden="1" x14ac:dyDescent="0.25"/>
    <row r="33905" hidden="1" x14ac:dyDescent="0.25"/>
    <row r="33906" hidden="1" x14ac:dyDescent="0.25"/>
    <row r="33907" hidden="1" x14ac:dyDescent="0.25"/>
    <row r="33908" hidden="1" x14ac:dyDescent="0.25"/>
    <row r="33909" hidden="1" x14ac:dyDescent="0.25"/>
    <row r="33910" hidden="1" x14ac:dyDescent="0.25"/>
    <row r="33911" hidden="1" x14ac:dyDescent="0.25"/>
    <row r="33912" hidden="1" x14ac:dyDescent="0.25"/>
    <row r="33913" hidden="1" x14ac:dyDescent="0.25"/>
    <row r="33914" hidden="1" x14ac:dyDescent="0.25"/>
    <row r="33915" hidden="1" x14ac:dyDescent="0.25"/>
    <row r="33916" hidden="1" x14ac:dyDescent="0.25"/>
    <row r="33917" hidden="1" x14ac:dyDescent="0.25"/>
    <row r="33918" hidden="1" x14ac:dyDescent="0.25"/>
    <row r="33919" hidden="1" x14ac:dyDescent="0.25"/>
    <row r="33920" hidden="1" x14ac:dyDescent="0.25"/>
    <row r="33921" hidden="1" x14ac:dyDescent="0.25"/>
    <row r="33922" hidden="1" x14ac:dyDescent="0.25"/>
    <row r="33923" hidden="1" x14ac:dyDescent="0.25"/>
    <row r="33924" hidden="1" x14ac:dyDescent="0.25"/>
    <row r="33925" hidden="1" x14ac:dyDescent="0.25"/>
    <row r="33926" hidden="1" x14ac:dyDescent="0.25"/>
    <row r="33927" hidden="1" x14ac:dyDescent="0.25"/>
    <row r="33928" hidden="1" x14ac:dyDescent="0.25"/>
    <row r="33929" hidden="1" x14ac:dyDescent="0.25"/>
    <row r="33930" hidden="1" x14ac:dyDescent="0.25"/>
    <row r="33931" hidden="1" x14ac:dyDescent="0.25"/>
    <row r="33932" hidden="1" x14ac:dyDescent="0.25"/>
    <row r="33933" hidden="1" x14ac:dyDescent="0.25"/>
    <row r="33934" hidden="1" x14ac:dyDescent="0.25"/>
    <row r="33935" hidden="1" x14ac:dyDescent="0.25"/>
    <row r="33936" hidden="1" x14ac:dyDescent="0.25"/>
    <row r="33937" hidden="1" x14ac:dyDescent="0.25"/>
    <row r="33938" hidden="1" x14ac:dyDescent="0.25"/>
    <row r="33939" hidden="1" x14ac:dyDescent="0.25"/>
    <row r="33940" hidden="1" x14ac:dyDescent="0.25"/>
    <row r="33941" hidden="1" x14ac:dyDescent="0.25"/>
    <row r="33942" hidden="1" x14ac:dyDescent="0.25"/>
    <row r="33943" hidden="1" x14ac:dyDescent="0.25"/>
    <row r="33944" hidden="1" x14ac:dyDescent="0.25"/>
    <row r="33945" hidden="1" x14ac:dyDescent="0.25"/>
    <row r="33946" hidden="1" x14ac:dyDescent="0.25"/>
    <row r="33947" hidden="1" x14ac:dyDescent="0.25"/>
    <row r="33948" hidden="1" x14ac:dyDescent="0.25"/>
    <row r="33949" hidden="1" x14ac:dyDescent="0.25"/>
    <row r="33950" hidden="1" x14ac:dyDescent="0.25"/>
    <row r="33951" hidden="1" x14ac:dyDescent="0.25"/>
    <row r="33952" hidden="1" x14ac:dyDescent="0.25"/>
    <row r="33953" hidden="1" x14ac:dyDescent="0.25"/>
    <row r="33954" hidden="1" x14ac:dyDescent="0.25"/>
    <row r="33955" hidden="1" x14ac:dyDescent="0.25"/>
    <row r="33956" hidden="1" x14ac:dyDescent="0.25"/>
    <row r="33957" hidden="1" x14ac:dyDescent="0.25"/>
    <row r="33958" hidden="1" x14ac:dyDescent="0.25"/>
    <row r="33959" hidden="1" x14ac:dyDescent="0.25"/>
    <row r="33960" hidden="1" x14ac:dyDescent="0.25"/>
    <row r="33961" hidden="1" x14ac:dyDescent="0.25"/>
    <row r="33962" hidden="1" x14ac:dyDescent="0.25"/>
    <row r="33963" hidden="1" x14ac:dyDescent="0.25"/>
    <row r="33964" hidden="1" x14ac:dyDescent="0.25"/>
    <row r="33965" hidden="1" x14ac:dyDescent="0.25"/>
    <row r="33966" hidden="1" x14ac:dyDescent="0.25"/>
    <row r="33967" hidden="1" x14ac:dyDescent="0.25"/>
    <row r="33968" hidden="1" x14ac:dyDescent="0.25"/>
    <row r="33969" hidden="1" x14ac:dyDescent="0.25"/>
    <row r="33970" hidden="1" x14ac:dyDescent="0.25"/>
    <row r="33971" hidden="1" x14ac:dyDescent="0.25"/>
    <row r="33972" hidden="1" x14ac:dyDescent="0.25"/>
    <row r="33973" hidden="1" x14ac:dyDescent="0.25"/>
    <row r="33974" hidden="1" x14ac:dyDescent="0.25"/>
    <row r="33975" hidden="1" x14ac:dyDescent="0.25"/>
    <row r="33976" hidden="1" x14ac:dyDescent="0.25"/>
    <row r="33977" hidden="1" x14ac:dyDescent="0.25"/>
    <row r="33978" hidden="1" x14ac:dyDescent="0.25"/>
    <row r="33979" hidden="1" x14ac:dyDescent="0.25"/>
    <row r="33980" hidden="1" x14ac:dyDescent="0.25"/>
    <row r="33981" hidden="1" x14ac:dyDescent="0.25"/>
    <row r="33982" hidden="1" x14ac:dyDescent="0.25"/>
    <row r="33983" hidden="1" x14ac:dyDescent="0.25"/>
    <row r="33984" hidden="1" x14ac:dyDescent="0.25"/>
    <row r="33985" hidden="1" x14ac:dyDescent="0.25"/>
    <row r="33986" hidden="1" x14ac:dyDescent="0.25"/>
    <row r="33987" hidden="1" x14ac:dyDescent="0.25"/>
    <row r="33988" hidden="1" x14ac:dyDescent="0.25"/>
    <row r="33989" hidden="1" x14ac:dyDescent="0.25"/>
    <row r="33990" hidden="1" x14ac:dyDescent="0.25"/>
    <row r="33991" hidden="1" x14ac:dyDescent="0.25"/>
    <row r="33992" hidden="1" x14ac:dyDescent="0.25"/>
    <row r="33993" hidden="1" x14ac:dyDescent="0.25"/>
    <row r="33994" hidden="1" x14ac:dyDescent="0.25"/>
    <row r="33995" hidden="1" x14ac:dyDescent="0.25"/>
    <row r="33996" hidden="1" x14ac:dyDescent="0.25"/>
    <row r="33997" hidden="1" x14ac:dyDescent="0.25"/>
    <row r="33998" hidden="1" x14ac:dyDescent="0.25"/>
    <row r="33999" hidden="1" x14ac:dyDescent="0.25"/>
    <row r="34000" hidden="1" x14ac:dyDescent="0.25"/>
    <row r="34001" hidden="1" x14ac:dyDescent="0.25"/>
    <row r="34002" hidden="1" x14ac:dyDescent="0.25"/>
    <row r="34003" hidden="1" x14ac:dyDescent="0.25"/>
    <row r="34004" hidden="1" x14ac:dyDescent="0.25"/>
    <row r="34005" hidden="1" x14ac:dyDescent="0.25"/>
    <row r="34006" hidden="1" x14ac:dyDescent="0.25"/>
    <row r="34007" hidden="1" x14ac:dyDescent="0.25"/>
    <row r="34008" hidden="1" x14ac:dyDescent="0.25"/>
    <row r="34009" hidden="1" x14ac:dyDescent="0.25"/>
    <row r="34010" hidden="1" x14ac:dyDescent="0.25"/>
    <row r="34011" hidden="1" x14ac:dyDescent="0.25"/>
    <row r="34012" hidden="1" x14ac:dyDescent="0.25"/>
    <row r="34013" hidden="1" x14ac:dyDescent="0.25"/>
    <row r="34014" hidden="1" x14ac:dyDescent="0.25"/>
    <row r="34015" hidden="1" x14ac:dyDescent="0.25"/>
    <row r="34016" hidden="1" x14ac:dyDescent="0.25"/>
    <row r="34017" hidden="1" x14ac:dyDescent="0.25"/>
    <row r="34018" hidden="1" x14ac:dyDescent="0.25"/>
    <row r="34019" hidden="1" x14ac:dyDescent="0.25"/>
    <row r="34020" hidden="1" x14ac:dyDescent="0.25"/>
    <row r="34021" hidden="1" x14ac:dyDescent="0.25"/>
    <row r="34022" hidden="1" x14ac:dyDescent="0.25"/>
    <row r="34023" hidden="1" x14ac:dyDescent="0.25"/>
    <row r="34024" hidden="1" x14ac:dyDescent="0.25"/>
    <row r="34025" hidden="1" x14ac:dyDescent="0.25"/>
    <row r="34026" hidden="1" x14ac:dyDescent="0.25"/>
    <row r="34027" hidden="1" x14ac:dyDescent="0.25"/>
    <row r="34028" hidden="1" x14ac:dyDescent="0.25"/>
    <row r="34029" hidden="1" x14ac:dyDescent="0.25"/>
    <row r="34030" hidden="1" x14ac:dyDescent="0.25"/>
    <row r="34031" hidden="1" x14ac:dyDescent="0.25"/>
    <row r="34032" hidden="1" x14ac:dyDescent="0.25"/>
    <row r="34033" hidden="1" x14ac:dyDescent="0.25"/>
    <row r="34034" hidden="1" x14ac:dyDescent="0.25"/>
    <row r="34035" hidden="1" x14ac:dyDescent="0.25"/>
    <row r="34036" hidden="1" x14ac:dyDescent="0.25"/>
    <row r="34037" hidden="1" x14ac:dyDescent="0.25"/>
    <row r="34038" hidden="1" x14ac:dyDescent="0.25"/>
    <row r="34039" hidden="1" x14ac:dyDescent="0.25"/>
    <row r="34040" hidden="1" x14ac:dyDescent="0.25"/>
    <row r="34041" hidden="1" x14ac:dyDescent="0.25"/>
    <row r="34042" hidden="1" x14ac:dyDescent="0.25"/>
    <row r="34043" hidden="1" x14ac:dyDescent="0.25"/>
    <row r="34044" hidden="1" x14ac:dyDescent="0.25"/>
    <row r="34045" hidden="1" x14ac:dyDescent="0.25"/>
    <row r="34046" hidden="1" x14ac:dyDescent="0.25"/>
    <row r="34047" hidden="1" x14ac:dyDescent="0.25"/>
    <row r="34048" hidden="1" x14ac:dyDescent="0.25"/>
    <row r="34049" hidden="1" x14ac:dyDescent="0.25"/>
    <row r="34050" hidden="1" x14ac:dyDescent="0.25"/>
    <row r="34051" hidden="1" x14ac:dyDescent="0.25"/>
    <row r="34052" hidden="1" x14ac:dyDescent="0.25"/>
    <row r="34053" hidden="1" x14ac:dyDescent="0.25"/>
    <row r="34054" hidden="1" x14ac:dyDescent="0.25"/>
    <row r="34055" hidden="1" x14ac:dyDescent="0.25"/>
    <row r="34056" hidden="1" x14ac:dyDescent="0.25"/>
    <row r="34057" hidden="1" x14ac:dyDescent="0.25"/>
    <row r="34058" hidden="1" x14ac:dyDescent="0.25"/>
    <row r="34059" hidden="1" x14ac:dyDescent="0.25"/>
    <row r="34060" hidden="1" x14ac:dyDescent="0.25"/>
    <row r="34061" hidden="1" x14ac:dyDescent="0.25"/>
    <row r="34062" hidden="1" x14ac:dyDescent="0.25"/>
    <row r="34063" hidden="1" x14ac:dyDescent="0.25"/>
    <row r="34064" hidden="1" x14ac:dyDescent="0.25"/>
    <row r="34065" hidden="1" x14ac:dyDescent="0.25"/>
    <row r="34066" hidden="1" x14ac:dyDescent="0.25"/>
    <row r="34067" hidden="1" x14ac:dyDescent="0.25"/>
    <row r="34068" hidden="1" x14ac:dyDescent="0.25"/>
    <row r="34069" hidden="1" x14ac:dyDescent="0.25"/>
    <row r="34070" hidden="1" x14ac:dyDescent="0.25"/>
    <row r="34071" hidden="1" x14ac:dyDescent="0.25"/>
    <row r="34072" hidden="1" x14ac:dyDescent="0.25"/>
    <row r="34073" hidden="1" x14ac:dyDescent="0.25"/>
    <row r="34074" hidden="1" x14ac:dyDescent="0.25"/>
    <row r="34075" hidden="1" x14ac:dyDescent="0.25"/>
    <row r="34076" hidden="1" x14ac:dyDescent="0.25"/>
    <row r="34077" hidden="1" x14ac:dyDescent="0.25"/>
    <row r="34078" hidden="1" x14ac:dyDescent="0.25"/>
    <row r="34079" hidden="1" x14ac:dyDescent="0.25"/>
    <row r="34080" hidden="1" x14ac:dyDescent="0.25"/>
    <row r="34081" hidden="1" x14ac:dyDescent="0.25"/>
    <row r="34082" hidden="1" x14ac:dyDescent="0.25"/>
    <row r="34083" hidden="1" x14ac:dyDescent="0.25"/>
    <row r="34084" hidden="1" x14ac:dyDescent="0.25"/>
    <row r="34085" hidden="1" x14ac:dyDescent="0.25"/>
    <row r="34086" hidden="1" x14ac:dyDescent="0.25"/>
    <row r="34087" hidden="1" x14ac:dyDescent="0.25"/>
    <row r="34088" hidden="1" x14ac:dyDescent="0.25"/>
    <row r="34089" hidden="1" x14ac:dyDescent="0.25"/>
    <row r="34090" hidden="1" x14ac:dyDescent="0.25"/>
    <row r="34091" hidden="1" x14ac:dyDescent="0.25"/>
    <row r="34092" hidden="1" x14ac:dyDescent="0.25"/>
    <row r="34093" hidden="1" x14ac:dyDescent="0.25"/>
    <row r="34094" hidden="1" x14ac:dyDescent="0.25"/>
    <row r="34095" hidden="1" x14ac:dyDescent="0.25"/>
    <row r="34096" hidden="1" x14ac:dyDescent="0.25"/>
    <row r="34097" hidden="1" x14ac:dyDescent="0.25"/>
    <row r="34098" hidden="1" x14ac:dyDescent="0.25"/>
    <row r="34099" hidden="1" x14ac:dyDescent="0.25"/>
    <row r="34100" hidden="1" x14ac:dyDescent="0.25"/>
    <row r="34101" hidden="1" x14ac:dyDescent="0.25"/>
    <row r="34102" hidden="1" x14ac:dyDescent="0.25"/>
    <row r="34103" hidden="1" x14ac:dyDescent="0.25"/>
    <row r="34104" hidden="1" x14ac:dyDescent="0.25"/>
    <row r="34105" hidden="1" x14ac:dyDescent="0.25"/>
    <row r="34106" hidden="1" x14ac:dyDescent="0.25"/>
    <row r="34107" hidden="1" x14ac:dyDescent="0.25"/>
    <row r="34108" hidden="1" x14ac:dyDescent="0.25"/>
    <row r="34109" hidden="1" x14ac:dyDescent="0.25"/>
    <row r="34110" hidden="1" x14ac:dyDescent="0.25"/>
    <row r="34111" hidden="1" x14ac:dyDescent="0.25"/>
    <row r="34112" hidden="1" x14ac:dyDescent="0.25"/>
    <row r="34113" hidden="1" x14ac:dyDescent="0.25"/>
    <row r="34114" hidden="1" x14ac:dyDescent="0.25"/>
    <row r="34115" hidden="1" x14ac:dyDescent="0.25"/>
    <row r="34116" hidden="1" x14ac:dyDescent="0.25"/>
    <row r="34117" hidden="1" x14ac:dyDescent="0.25"/>
    <row r="34118" hidden="1" x14ac:dyDescent="0.25"/>
    <row r="34119" hidden="1" x14ac:dyDescent="0.25"/>
    <row r="34120" hidden="1" x14ac:dyDescent="0.25"/>
    <row r="34121" hidden="1" x14ac:dyDescent="0.25"/>
    <row r="34122" hidden="1" x14ac:dyDescent="0.25"/>
    <row r="34123" hidden="1" x14ac:dyDescent="0.25"/>
    <row r="34124" hidden="1" x14ac:dyDescent="0.25"/>
    <row r="34125" hidden="1" x14ac:dyDescent="0.25"/>
    <row r="34126" hidden="1" x14ac:dyDescent="0.25"/>
    <row r="34127" hidden="1" x14ac:dyDescent="0.25"/>
    <row r="34128" hidden="1" x14ac:dyDescent="0.25"/>
    <row r="34129" hidden="1" x14ac:dyDescent="0.25"/>
    <row r="34130" hidden="1" x14ac:dyDescent="0.25"/>
    <row r="34131" hidden="1" x14ac:dyDescent="0.25"/>
    <row r="34132" hidden="1" x14ac:dyDescent="0.25"/>
    <row r="34133" hidden="1" x14ac:dyDescent="0.25"/>
    <row r="34134" hidden="1" x14ac:dyDescent="0.25"/>
    <row r="34135" hidden="1" x14ac:dyDescent="0.25"/>
    <row r="34136" hidden="1" x14ac:dyDescent="0.25"/>
    <row r="34137" hidden="1" x14ac:dyDescent="0.25"/>
    <row r="34138" hidden="1" x14ac:dyDescent="0.25"/>
    <row r="34139" hidden="1" x14ac:dyDescent="0.25"/>
    <row r="34140" hidden="1" x14ac:dyDescent="0.25"/>
    <row r="34141" hidden="1" x14ac:dyDescent="0.25"/>
    <row r="34142" hidden="1" x14ac:dyDescent="0.25"/>
    <row r="34143" hidden="1" x14ac:dyDescent="0.25"/>
    <row r="34144" hidden="1" x14ac:dyDescent="0.25"/>
    <row r="34145" hidden="1" x14ac:dyDescent="0.25"/>
    <row r="34146" hidden="1" x14ac:dyDescent="0.25"/>
    <row r="34147" hidden="1" x14ac:dyDescent="0.25"/>
    <row r="34148" hidden="1" x14ac:dyDescent="0.25"/>
    <row r="34149" hidden="1" x14ac:dyDescent="0.25"/>
    <row r="34150" hidden="1" x14ac:dyDescent="0.25"/>
    <row r="34151" hidden="1" x14ac:dyDescent="0.25"/>
    <row r="34152" hidden="1" x14ac:dyDescent="0.25"/>
    <row r="34153" hidden="1" x14ac:dyDescent="0.25"/>
    <row r="34154" hidden="1" x14ac:dyDescent="0.25"/>
    <row r="34155" hidden="1" x14ac:dyDescent="0.25"/>
    <row r="34156" hidden="1" x14ac:dyDescent="0.25"/>
    <row r="34157" hidden="1" x14ac:dyDescent="0.25"/>
    <row r="34158" hidden="1" x14ac:dyDescent="0.25"/>
    <row r="34159" hidden="1" x14ac:dyDescent="0.25"/>
    <row r="34160" hidden="1" x14ac:dyDescent="0.25"/>
    <row r="34161" hidden="1" x14ac:dyDescent="0.25"/>
    <row r="34162" hidden="1" x14ac:dyDescent="0.25"/>
    <row r="34163" hidden="1" x14ac:dyDescent="0.25"/>
    <row r="34164" hidden="1" x14ac:dyDescent="0.25"/>
    <row r="34165" hidden="1" x14ac:dyDescent="0.25"/>
    <row r="34166" hidden="1" x14ac:dyDescent="0.25"/>
    <row r="34167" hidden="1" x14ac:dyDescent="0.25"/>
    <row r="34168" hidden="1" x14ac:dyDescent="0.25"/>
    <row r="34169" hidden="1" x14ac:dyDescent="0.25"/>
    <row r="34170" hidden="1" x14ac:dyDescent="0.25"/>
    <row r="34171" hidden="1" x14ac:dyDescent="0.25"/>
    <row r="34172" hidden="1" x14ac:dyDescent="0.25"/>
    <row r="34173" hidden="1" x14ac:dyDescent="0.25"/>
    <row r="34174" hidden="1" x14ac:dyDescent="0.25"/>
    <row r="34175" hidden="1" x14ac:dyDescent="0.25"/>
    <row r="34176" hidden="1" x14ac:dyDescent="0.25"/>
    <row r="34177" hidden="1" x14ac:dyDescent="0.25"/>
    <row r="34178" hidden="1" x14ac:dyDescent="0.25"/>
    <row r="34179" hidden="1" x14ac:dyDescent="0.25"/>
    <row r="34180" hidden="1" x14ac:dyDescent="0.25"/>
    <row r="34181" hidden="1" x14ac:dyDescent="0.25"/>
    <row r="34182" hidden="1" x14ac:dyDescent="0.25"/>
    <row r="34183" hidden="1" x14ac:dyDescent="0.25"/>
    <row r="34184" hidden="1" x14ac:dyDescent="0.25"/>
    <row r="34185" hidden="1" x14ac:dyDescent="0.25"/>
    <row r="34186" hidden="1" x14ac:dyDescent="0.25"/>
    <row r="34187" hidden="1" x14ac:dyDescent="0.25"/>
    <row r="34188" hidden="1" x14ac:dyDescent="0.25"/>
    <row r="34189" hidden="1" x14ac:dyDescent="0.25"/>
    <row r="34190" hidden="1" x14ac:dyDescent="0.25"/>
    <row r="34191" hidden="1" x14ac:dyDescent="0.25"/>
    <row r="34192" hidden="1" x14ac:dyDescent="0.25"/>
    <row r="34193" hidden="1" x14ac:dyDescent="0.25"/>
    <row r="34194" hidden="1" x14ac:dyDescent="0.25"/>
    <row r="34195" hidden="1" x14ac:dyDescent="0.25"/>
    <row r="34196" hidden="1" x14ac:dyDescent="0.25"/>
    <row r="34197" hidden="1" x14ac:dyDescent="0.25"/>
    <row r="34198" hidden="1" x14ac:dyDescent="0.25"/>
    <row r="34199" hidden="1" x14ac:dyDescent="0.25"/>
    <row r="34200" hidden="1" x14ac:dyDescent="0.25"/>
    <row r="34201" hidden="1" x14ac:dyDescent="0.25"/>
    <row r="34202" hidden="1" x14ac:dyDescent="0.25"/>
    <row r="34203" hidden="1" x14ac:dyDescent="0.25"/>
    <row r="34204" hidden="1" x14ac:dyDescent="0.25"/>
    <row r="34205" hidden="1" x14ac:dyDescent="0.25"/>
    <row r="34206" hidden="1" x14ac:dyDescent="0.25"/>
    <row r="34207" hidden="1" x14ac:dyDescent="0.25"/>
    <row r="34208" hidden="1" x14ac:dyDescent="0.25"/>
    <row r="34209" hidden="1" x14ac:dyDescent="0.25"/>
    <row r="34210" hidden="1" x14ac:dyDescent="0.25"/>
    <row r="34211" hidden="1" x14ac:dyDescent="0.25"/>
    <row r="34212" hidden="1" x14ac:dyDescent="0.25"/>
    <row r="34213" hidden="1" x14ac:dyDescent="0.25"/>
    <row r="34214" hidden="1" x14ac:dyDescent="0.25"/>
    <row r="34215" hidden="1" x14ac:dyDescent="0.25"/>
    <row r="34216" hidden="1" x14ac:dyDescent="0.25"/>
    <row r="34217" hidden="1" x14ac:dyDescent="0.25"/>
    <row r="34218" hidden="1" x14ac:dyDescent="0.25"/>
    <row r="34219" hidden="1" x14ac:dyDescent="0.25"/>
    <row r="34220" hidden="1" x14ac:dyDescent="0.25"/>
    <row r="34221" hidden="1" x14ac:dyDescent="0.25"/>
    <row r="34222" hidden="1" x14ac:dyDescent="0.25"/>
    <row r="34223" hidden="1" x14ac:dyDescent="0.25"/>
    <row r="34224" hidden="1" x14ac:dyDescent="0.25"/>
    <row r="34225" hidden="1" x14ac:dyDescent="0.25"/>
    <row r="34226" hidden="1" x14ac:dyDescent="0.25"/>
    <row r="34227" hidden="1" x14ac:dyDescent="0.25"/>
    <row r="34228" hidden="1" x14ac:dyDescent="0.25"/>
    <row r="34229" hidden="1" x14ac:dyDescent="0.25"/>
    <row r="34230" hidden="1" x14ac:dyDescent="0.25"/>
    <row r="34231" hidden="1" x14ac:dyDescent="0.25"/>
    <row r="34232" hidden="1" x14ac:dyDescent="0.25"/>
    <row r="34233" hidden="1" x14ac:dyDescent="0.25"/>
    <row r="34234" hidden="1" x14ac:dyDescent="0.25"/>
    <row r="34235" hidden="1" x14ac:dyDescent="0.25"/>
    <row r="34236" hidden="1" x14ac:dyDescent="0.25"/>
    <row r="34237" hidden="1" x14ac:dyDescent="0.25"/>
    <row r="34238" hidden="1" x14ac:dyDescent="0.25"/>
    <row r="34239" hidden="1" x14ac:dyDescent="0.25"/>
    <row r="34240" hidden="1" x14ac:dyDescent="0.25"/>
    <row r="34241" hidden="1" x14ac:dyDescent="0.25"/>
    <row r="34242" hidden="1" x14ac:dyDescent="0.25"/>
    <row r="34243" hidden="1" x14ac:dyDescent="0.25"/>
    <row r="34244" hidden="1" x14ac:dyDescent="0.25"/>
    <row r="34245" hidden="1" x14ac:dyDescent="0.25"/>
    <row r="34246" hidden="1" x14ac:dyDescent="0.25"/>
    <row r="34247" hidden="1" x14ac:dyDescent="0.25"/>
    <row r="34248" hidden="1" x14ac:dyDescent="0.25"/>
    <row r="34249" hidden="1" x14ac:dyDescent="0.25"/>
    <row r="34250" hidden="1" x14ac:dyDescent="0.25"/>
    <row r="34251" hidden="1" x14ac:dyDescent="0.25"/>
    <row r="34252" hidden="1" x14ac:dyDescent="0.25"/>
    <row r="34253" hidden="1" x14ac:dyDescent="0.25"/>
    <row r="34254" hidden="1" x14ac:dyDescent="0.25"/>
    <row r="34255" hidden="1" x14ac:dyDescent="0.25"/>
    <row r="34256" hidden="1" x14ac:dyDescent="0.25"/>
    <row r="34257" hidden="1" x14ac:dyDescent="0.25"/>
    <row r="34258" hidden="1" x14ac:dyDescent="0.25"/>
    <row r="34259" hidden="1" x14ac:dyDescent="0.25"/>
    <row r="34260" hidden="1" x14ac:dyDescent="0.25"/>
    <row r="34261" hidden="1" x14ac:dyDescent="0.25"/>
    <row r="34262" hidden="1" x14ac:dyDescent="0.25"/>
    <row r="34263" hidden="1" x14ac:dyDescent="0.25"/>
    <row r="34264" hidden="1" x14ac:dyDescent="0.25"/>
    <row r="34265" hidden="1" x14ac:dyDescent="0.25"/>
    <row r="34266" hidden="1" x14ac:dyDescent="0.25"/>
    <row r="34267" hidden="1" x14ac:dyDescent="0.25"/>
    <row r="34268" hidden="1" x14ac:dyDescent="0.25"/>
    <row r="34269" hidden="1" x14ac:dyDescent="0.25"/>
    <row r="34270" hidden="1" x14ac:dyDescent="0.25"/>
    <row r="34271" hidden="1" x14ac:dyDescent="0.25"/>
    <row r="34272" hidden="1" x14ac:dyDescent="0.25"/>
    <row r="34273" hidden="1" x14ac:dyDescent="0.25"/>
    <row r="34274" hidden="1" x14ac:dyDescent="0.25"/>
    <row r="34275" hidden="1" x14ac:dyDescent="0.25"/>
    <row r="34276" hidden="1" x14ac:dyDescent="0.25"/>
    <row r="34277" hidden="1" x14ac:dyDescent="0.25"/>
    <row r="34278" hidden="1" x14ac:dyDescent="0.25"/>
    <row r="34279" hidden="1" x14ac:dyDescent="0.25"/>
    <row r="34280" hidden="1" x14ac:dyDescent="0.25"/>
    <row r="34281" hidden="1" x14ac:dyDescent="0.25"/>
    <row r="34282" hidden="1" x14ac:dyDescent="0.25"/>
    <row r="34283" hidden="1" x14ac:dyDescent="0.25"/>
    <row r="34284" hidden="1" x14ac:dyDescent="0.25"/>
    <row r="34285" hidden="1" x14ac:dyDescent="0.25"/>
    <row r="34286" hidden="1" x14ac:dyDescent="0.25"/>
    <row r="34287" hidden="1" x14ac:dyDescent="0.25"/>
    <row r="34288" hidden="1" x14ac:dyDescent="0.25"/>
    <row r="34289" hidden="1" x14ac:dyDescent="0.25"/>
    <row r="34290" hidden="1" x14ac:dyDescent="0.25"/>
    <row r="34291" hidden="1" x14ac:dyDescent="0.25"/>
    <row r="34292" hidden="1" x14ac:dyDescent="0.25"/>
    <row r="34293" hidden="1" x14ac:dyDescent="0.25"/>
    <row r="34294" hidden="1" x14ac:dyDescent="0.25"/>
    <row r="34295" hidden="1" x14ac:dyDescent="0.25"/>
    <row r="34296" hidden="1" x14ac:dyDescent="0.25"/>
    <row r="34297" hidden="1" x14ac:dyDescent="0.25"/>
    <row r="34298" hidden="1" x14ac:dyDescent="0.25"/>
    <row r="34299" hidden="1" x14ac:dyDescent="0.25"/>
    <row r="34300" hidden="1" x14ac:dyDescent="0.25"/>
    <row r="34301" hidden="1" x14ac:dyDescent="0.25"/>
    <row r="34302" hidden="1" x14ac:dyDescent="0.25"/>
    <row r="34303" hidden="1" x14ac:dyDescent="0.25"/>
    <row r="34304" hidden="1" x14ac:dyDescent="0.25"/>
    <row r="34305" hidden="1" x14ac:dyDescent="0.25"/>
    <row r="34306" hidden="1" x14ac:dyDescent="0.25"/>
    <row r="34307" hidden="1" x14ac:dyDescent="0.25"/>
    <row r="34308" hidden="1" x14ac:dyDescent="0.25"/>
    <row r="34309" hidden="1" x14ac:dyDescent="0.25"/>
    <row r="34310" hidden="1" x14ac:dyDescent="0.25"/>
    <row r="34311" hidden="1" x14ac:dyDescent="0.25"/>
    <row r="34312" hidden="1" x14ac:dyDescent="0.25"/>
    <row r="34313" hidden="1" x14ac:dyDescent="0.25"/>
    <row r="34314" hidden="1" x14ac:dyDescent="0.25"/>
    <row r="34315" hidden="1" x14ac:dyDescent="0.25"/>
    <row r="34316" hidden="1" x14ac:dyDescent="0.25"/>
    <row r="34317" hidden="1" x14ac:dyDescent="0.25"/>
    <row r="34318" hidden="1" x14ac:dyDescent="0.25"/>
    <row r="34319" hidden="1" x14ac:dyDescent="0.25"/>
    <row r="34320" hidden="1" x14ac:dyDescent="0.25"/>
    <row r="34321" hidden="1" x14ac:dyDescent="0.25"/>
    <row r="34322" hidden="1" x14ac:dyDescent="0.25"/>
    <row r="34323" hidden="1" x14ac:dyDescent="0.25"/>
    <row r="34324" hidden="1" x14ac:dyDescent="0.25"/>
    <row r="34325" hidden="1" x14ac:dyDescent="0.25"/>
    <row r="34326" hidden="1" x14ac:dyDescent="0.25"/>
    <row r="34327" hidden="1" x14ac:dyDescent="0.25"/>
    <row r="34328" hidden="1" x14ac:dyDescent="0.25"/>
    <row r="34329" hidden="1" x14ac:dyDescent="0.25"/>
    <row r="34330" hidden="1" x14ac:dyDescent="0.25"/>
    <row r="34331" hidden="1" x14ac:dyDescent="0.25"/>
    <row r="34332" hidden="1" x14ac:dyDescent="0.25"/>
    <row r="34333" hidden="1" x14ac:dyDescent="0.25"/>
    <row r="34334" hidden="1" x14ac:dyDescent="0.25"/>
    <row r="34335" hidden="1" x14ac:dyDescent="0.25"/>
    <row r="34336" hidden="1" x14ac:dyDescent="0.25"/>
    <row r="34337" hidden="1" x14ac:dyDescent="0.25"/>
    <row r="34338" hidden="1" x14ac:dyDescent="0.25"/>
    <row r="34339" hidden="1" x14ac:dyDescent="0.25"/>
    <row r="34340" hidden="1" x14ac:dyDescent="0.25"/>
    <row r="34341" hidden="1" x14ac:dyDescent="0.25"/>
    <row r="34342" hidden="1" x14ac:dyDescent="0.25"/>
    <row r="34343" hidden="1" x14ac:dyDescent="0.25"/>
    <row r="34344" hidden="1" x14ac:dyDescent="0.25"/>
    <row r="34345" hidden="1" x14ac:dyDescent="0.25"/>
    <row r="34346" hidden="1" x14ac:dyDescent="0.25"/>
    <row r="34347" hidden="1" x14ac:dyDescent="0.25"/>
    <row r="34348" hidden="1" x14ac:dyDescent="0.25"/>
    <row r="34349" hidden="1" x14ac:dyDescent="0.25"/>
    <row r="34350" hidden="1" x14ac:dyDescent="0.25"/>
    <row r="34351" hidden="1" x14ac:dyDescent="0.25"/>
    <row r="34352" hidden="1" x14ac:dyDescent="0.25"/>
    <row r="34353" hidden="1" x14ac:dyDescent="0.25"/>
    <row r="34354" hidden="1" x14ac:dyDescent="0.25"/>
    <row r="34355" hidden="1" x14ac:dyDescent="0.25"/>
    <row r="34356" hidden="1" x14ac:dyDescent="0.25"/>
    <row r="34357" hidden="1" x14ac:dyDescent="0.25"/>
    <row r="34358" hidden="1" x14ac:dyDescent="0.25"/>
    <row r="34359" hidden="1" x14ac:dyDescent="0.25"/>
    <row r="34360" hidden="1" x14ac:dyDescent="0.25"/>
    <row r="34361" hidden="1" x14ac:dyDescent="0.25"/>
    <row r="34362" hidden="1" x14ac:dyDescent="0.25"/>
    <row r="34363" hidden="1" x14ac:dyDescent="0.25"/>
    <row r="34364" hidden="1" x14ac:dyDescent="0.25"/>
    <row r="34365" hidden="1" x14ac:dyDescent="0.25"/>
    <row r="34366" hidden="1" x14ac:dyDescent="0.25"/>
    <row r="34367" hidden="1" x14ac:dyDescent="0.25"/>
    <row r="34368" hidden="1" x14ac:dyDescent="0.25"/>
    <row r="34369" hidden="1" x14ac:dyDescent="0.25"/>
    <row r="34370" hidden="1" x14ac:dyDescent="0.25"/>
    <row r="34371" hidden="1" x14ac:dyDescent="0.25"/>
    <row r="34372" hidden="1" x14ac:dyDescent="0.25"/>
    <row r="34373" hidden="1" x14ac:dyDescent="0.25"/>
    <row r="34374" hidden="1" x14ac:dyDescent="0.25"/>
    <row r="34375" hidden="1" x14ac:dyDescent="0.25"/>
    <row r="34376" hidden="1" x14ac:dyDescent="0.25"/>
    <row r="34377" hidden="1" x14ac:dyDescent="0.25"/>
    <row r="34378" hidden="1" x14ac:dyDescent="0.25"/>
    <row r="34379" hidden="1" x14ac:dyDescent="0.25"/>
    <row r="34380" hidden="1" x14ac:dyDescent="0.25"/>
    <row r="34381" hidden="1" x14ac:dyDescent="0.25"/>
    <row r="34382" hidden="1" x14ac:dyDescent="0.25"/>
    <row r="34383" hidden="1" x14ac:dyDescent="0.25"/>
    <row r="34384" hidden="1" x14ac:dyDescent="0.25"/>
    <row r="34385" hidden="1" x14ac:dyDescent="0.25"/>
    <row r="34386" hidden="1" x14ac:dyDescent="0.25"/>
    <row r="34387" hidden="1" x14ac:dyDescent="0.25"/>
    <row r="34388" hidden="1" x14ac:dyDescent="0.25"/>
    <row r="34389" hidden="1" x14ac:dyDescent="0.25"/>
    <row r="34390" hidden="1" x14ac:dyDescent="0.25"/>
    <row r="34391" hidden="1" x14ac:dyDescent="0.25"/>
    <row r="34392" hidden="1" x14ac:dyDescent="0.25"/>
    <row r="34393" hidden="1" x14ac:dyDescent="0.25"/>
    <row r="34394" hidden="1" x14ac:dyDescent="0.25"/>
    <row r="34395" hidden="1" x14ac:dyDescent="0.25"/>
    <row r="34396" hidden="1" x14ac:dyDescent="0.25"/>
    <row r="34397" hidden="1" x14ac:dyDescent="0.25"/>
    <row r="34398" hidden="1" x14ac:dyDescent="0.25"/>
    <row r="34399" hidden="1" x14ac:dyDescent="0.25"/>
    <row r="34400" hidden="1" x14ac:dyDescent="0.25"/>
    <row r="34401" hidden="1" x14ac:dyDescent="0.25"/>
    <row r="34402" hidden="1" x14ac:dyDescent="0.25"/>
    <row r="34403" hidden="1" x14ac:dyDescent="0.25"/>
    <row r="34404" hidden="1" x14ac:dyDescent="0.25"/>
    <row r="34405" hidden="1" x14ac:dyDescent="0.25"/>
    <row r="34406" hidden="1" x14ac:dyDescent="0.25"/>
    <row r="34407" hidden="1" x14ac:dyDescent="0.25"/>
    <row r="34408" hidden="1" x14ac:dyDescent="0.25"/>
    <row r="34409" hidden="1" x14ac:dyDescent="0.25"/>
    <row r="34410" hidden="1" x14ac:dyDescent="0.25"/>
    <row r="34411" hidden="1" x14ac:dyDescent="0.25"/>
    <row r="34412" hidden="1" x14ac:dyDescent="0.25"/>
    <row r="34413" hidden="1" x14ac:dyDescent="0.25"/>
    <row r="34414" hidden="1" x14ac:dyDescent="0.25"/>
    <row r="34415" hidden="1" x14ac:dyDescent="0.25"/>
    <row r="34416" hidden="1" x14ac:dyDescent="0.25"/>
    <row r="34417" hidden="1" x14ac:dyDescent="0.25"/>
    <row r="34418" hidden="1" x14ac:dyDescent="0.25"/>
    <row r="34419" hidden="1" x14ac:dyDescent="0.25"/>
    <row r="34420" hidden="1" x14ac:dyDescent="0.25"/>
    <row r="34421" hidden="1" x14ac:dyDescent="0.25"/>
    <row r="34422" hidden="1" x14ac:dyDescent="0.25"/>
    <row r="34423" hidden="1" x14ac:dyDescent="0.25"/>
    <row r="34424" hidden="1" x14ac:dyDescent="0.25"/>
    <row r="34425" hidden="1" x14ac:dyDescent="0.25"/>
    <row r="34426" hidden="1" x14ac:dyDescent="0.25"/>
    <row r="34427" hidden="1" x14ac:dyDescent="0.25"/>
    <row r="34428" hidden="1" x14ac:dyDescent="0.25"/>
    <row r="34429" hidden="1" x14ac:dyDescent="0.25"/>
    <row r="34430" hidden="1" x14ac:dyDescent="0.25"/>
    <row r="34431" hidden="1" x14ac:dyDescent="0.25"/>
    <row r="34432" hidden="1" x14ac:dyDescent="0.25"/>
    <row r="34433" hidden="1" x14ac:dyDescent="0.25"/>
    <row r="34434" hidden="1" x14ac:dyDescent="0.25"/>
    <row r="34435" hidden="1" x14ac:dyDescent="0.25"/>
    <row r="34436" hidden="1" x14ac:dyDescent="0.25"/>
    <row r="34437" hidden="1" x14ac:dyDescent="0.25"/>
    <row r="34438" hidden="1" x14ac:dyDescent="0.25"/>
    <row r="34439" hidden="1" x14ac:dyDescent="0.25"/>
    <row r="34440" hidden="1" x14ac:dyDescent="0.25"/>
    <row r="34441" hidden="1" x14ac:dyDescent="0.25"/>
    <row r="34442" hidden="1" x14ac:dyDescent="0.25"/>
    <row r="34443" hidden="1" x14ac:dyDescent="0.25"/>
    <row r="34444" hidden="1" x14ac:dyDescent="0.25"/>
    <row r="34445" hidden="1" x14ac:dyDescent="0.25"/>
    <row r="34446" hidden="1" x14ac:dyDescent="0.25"/>
    <row r="34447" hidden="1" x14ac:dyDescent="0.25"/>
    <row r="34448" hidden="1" x14ac:dyDescent="0.25"/>
    <row r="34449" hidden="1" x14ac:dyDescent="0.25"/>
    <row r="34450" hidden="1" x14ac:dyDescent="0.25"/>
    <row r="34451" hidden="1" x14ac:dyDescent="0.25"/>
    <row r="34452" hidden="1" x14ac:dyDescent="0.25"/>
    <row r="34453" hidden="1" x14ac:dyDescent="0.25"/>
    <row r="34454" hidden="1" x14ac:dyDescent="0.25"/>
    <row r="34455" hidden="1" x14ac:dyDescent="0.25"/>
    <row r="34456" hidden="1" x14ac:dyDescent="0.25"/>
    <row r="34457" hidden="1" x14ac:dyDescent="0.25"/>
    <row r="34458" hidden="1" x14ac:dyDescent="0.25"/>
    <row r="34459" hidden="1" x14ac:dyDescent="0.25"/>
    <row r="34460" hidden="1" x14ac:dyDescent="0.25"/>
    <row r="34461" hidden="1" x14ac:dyDescent="0.25"/>
    <row r="34462" hidden="1" x14ac:dyDescent="0.25"/>
    <row r="34463" hidden="1" x14ac:dyDescent="0.25"/>
    <row r="34464" hidden="1" x14ac:dyDescent="0.25"/>
    <row r="34465" hidden="1" x14ac:dyDescent="0.25"/>
    <row r="34466" hidden="1" x14ac:dyDescent="0.25"/>
    <row r="34467" hidden="1" x14ac:dyDescent="0.25"/>
    <row r="34468" hidden="1" x14ac:dyDescent="0.25"/>
    <row r="34469" hidden="1" x14ac:dyDescent="0.25"/>
    <row r="34470" hidden="1" x14ac:dyDescent="0.25"/>
    <row r="34471" hidden="1" x14ac:dyDescent="0.25"/>
    <row r="34472" hidden="1" x14ac:dyDescent="0.25"/>
    <row r="34473" hidden="1" x14ac:dyDescent="0.25"/>
    <row r="34474" hidden="1" x14ac:dyDescent="0.25"/>
    <row r="34475" hidden="1" x14ac:dyDescent="0.25"/>
    <row r="34476" hidden="1" x14ac:dyDescent="0.25"/>
    <row r="34477" hidden="1" x14ac:dyDescent="0.25"/>
    <row r="34478" hidden="1" x14ac:dyDescent="0.25"/>
    <row r="34479" hidden="1" x14ac:dyDescent="0.25"/>
    <row r="34480" hidden="1" x14ac:dyDescent="0.25"/>
    <row r="34481" hidden="1" x14ac:dyDescent="0.25"/>
    <row r="34482" hidden="1" x14ac:dyDescent="0.25"/>
    <row r="34483" hidden="1" x14ac:dyDescent="0.25"/>
    <row r="34484" hidden="1" x14ac:dyDescent="0.25"/>
    <row r="34485" hidden="1" x14ac:dyDescent="0.25"/>
    <row r="34486" hidden="1" x14ac:dyDescent="0.25"/>
    <row r="34487" hidden="1" x14ac:dyDescent="0.25"/>
    <row r="34488" hidden="1" x14ac:dyDescent="0.25"/>
    <row r="34489" hidden="1" x14ac:dyDescent="0.25"/>
    <row r="34490" hidden="1" x14ac:dyDescent="0.25"/>
    <row r="34491" hidden="1" x14ac:dyDescent="0.25"/>
    <row r="34492" hidden="1" x14ac:dyDescent="0.25"/>
    <row r="34493" hidden="1" x14ac:dyDescent="0.25"/>
    <row r="34494" hidden="1" x14ac:dyDescent="0.25"/>
    <row r="34495" hidden="1" x14ac:dyDescent="0.25"/>
    <row r="34496" hidden="1" x14ac:dyDescent="0.25"/>
    <row r="34497" hidden="1" x14ac:dyDescent="0.25"/>
    <row r="34498" hidden="1" x14ac:dyDescent="0.25"/>
    <row r="34499" hidden="1" x14ac:dyDescent="0.25"/>
    <row r="34500" hidden="1" x14ac:dyDescent="0.25"/>
    <row r="34501" hidden="1" x14ac:dyDescent="0.25"/>
    <row r="34502" hidden="1" x14ac:dyDescent="0.25"/>
    <row r="34503" hidden="1" x14ac:dyDescent="0.25"/>
    <row r="34504" hidden="1" x14ac:dyDescent="0.25"/>
    <row r="34505" hidden="1" x14ac:dyDescent="0.25"/>
    <row r="34506" hidden="1" x14ac:dyDescent="0.25"/>
    <row r="34507" hidden="1" x14ac:dyDescent="0.25"/>
    <row r="34508" hidden="1" x14ac:dyDescent="0.25"/>
    <row r="34509" hidden="1" x14ac:dyDescent="0.25"/>
    <row r="34510" hidden="1" x14ac:dyDescent="0.25"/>
    <row r="34511" hidden="1" x14ac:dyDescent="0.25"/>
    <row r="34512" hidden="1" x14ac:dyDescent="0.25"/>
    <row r="34513" hidden="1" x14ac:dyDescent="0.25"/>
    <row r="34514" hidden="1" x14ac:dyDescent="0.25"/>
    <row r="34515" hidden="1" x14ac:dyDescent="0.25"/>
    <row r="34516" hidden="1" x14ac:dyDescent="0.25"/>
    <row r="34517" hidden="1" x14ac:dyDescent="0.25"/>
    <row r="34518" hidden="1" x14ac:dyDescent="0.25"/>
    <row r="34519" hidden="1" x14ac:dyDescent="0.25"/>
    <row r="34520" hidden="1" x14ac:dyDescent="0.25"/>
    <row r="34521" hidden="1" x14ac:dyDescent="0.25"/>
    <row r="34522" hidden="1" x14ac:dyDescent="0.25"/>
    <row r="34523" hidden="1" x14ac:dyDescent="0.25"/>
    <row r="34524" hidden="1" x14ac:dyDescent="0.25"/>
    <row r="34525" hidden="1" x14ac:dyDescent="0.25"/>
    <row r="34526" hidden="1" x14ac:dyDescent="0.25"/>
    <row r="34527" hidden="1" x14ac:dyDescent="0.25"/>
    <row r="34528" hidden="1" x14ac:dyDescent="0.25"/>
    <row r="34529" hidden="1" x14ac:dyDescent="0.25"/>
    <row r="34530" hidden="1" x14ac:dyDescent="0.25"/>
    <row r="34531" hidden="1" x14ac:dyDescent="0.25"/>
    <row r="34532" hidden="1" x14ac:dyDescent="0.25"/>
    <row r="34533" hidden="1" x14ac:dyDescent="0.25"/>
    <row r="34534" hidden="1" x14ac:dyDescent="0.25"/>
    <row r="34535" hidden="1" x14ac:dyDescent="0.25"/>
    <row r="34536" hidden="1" x14ac:dyDescent="0.25"/>
    <row r="34537" hidden="1" x14ac:dyDescent="0.25"/>
    <row r="34538" hidden="1" x14ac:dyDescent="0.25"/>
    <row r="34539" hidden="1" x14ac:dyDescent="0.25"/>
    <row r="34540" hidden="1" x14ac:dyDescent="0.25"/>
    <row r="34541" hidden="1" x14ac:dyDescent="0.25"/>
    <row r="34542" hidden="1" x14ac:dyDescent="0.25"/>
    <row r="34543" hidden="1" x14ac:dyDescent="0.25"/>
    <row r="34544" hidden="1" x14ac:dyDescent="0.25"/>
    <row r="34545" hidden="1" x14ac:dyDescent="0.25"/>
    <row r="34546" hidden="1" x14ac:dyDescent="0.25"/>
    <row r="34547" hidden="1" x14ac:dyDescent="0.25"/>
    <row r="34548" hidden="1" x14ac:dyDescent="0.25"/>
    <row r="34549" hidden="1" x14ac:dyDescent="0.25"/>
    <row r="34550" hidden="1" x14ac:dyDescent="0.25"/>
    <row r="34551" hidden="1" x14ac:dyDescent="0.25"/>
    <row r="34552" hidden="1" x14ac:dyDescent="0.25"/>
    <row r="34553" hidden="1" x14ac:dyDescent="0.25"/>
    <row r="34554" hidden="1" x14ac:dyDescent="0.25"/>
    <row r="34555" hidden="1" x14ac:dyDescent="0.25"/>
    <row r="34556" hidden="1" x14ac:dyDescent="0.25"/>
    <row r="34557" hidden="1" x14ac:dyDescent="0.25"/>
    <row r="34558" hidden="1" x14ac:dyDescent="0.25"/>
    <row r="34559" hidden="1" x14ac:dyDescent="0.25"/>
    <row r="34560" hidden="1" x14ac:dyDescent="0.25"/>
    <row r="34561" hidden="1" x14ac:dyDescent="0.25"/>
    <row r="34562" hidden="1" x14ac:dyDescent="0.25"/>
    <row r="34563" hidden="1" x14ac:dyDescent="0.25"/>
    <row r="34564" hidden="1" x14ac:dyDescent="0.25"/>
    <row r="34565" hidden="1" x14ac:dyDescent="0.25"/>
    <row r="34566" hidden="1" x14ac:dyDescent="0.25"/>
    <row r="34567" hidden="1" x14ac:dyDescent="0.25"/>
    <row r="34568" hidden="1" x14ac:dyDescent="0.25"/>
    <row r="34569" hidden="1" x14ac:dyDescent="0.25"/>
    <row r="34570" hidden="1" x14ac:dyDescent="0.25"/>
    <row r="34571" hidden="1" x14ac:dyDescent="0.25"/>
    <row r="34572" hidden="1" x14ac:dyDescent="0.25"/>
    <row r="34573" hidden="1" x14ac:dyDescent="0.25"/>
    <row r="34574" hidden="1" x14ac:dyDescent="0.25"/>
    <row r="34575" hidden="1" x14ac:dyDescent="0.25"/>
    <row r="34576" hidden="1" x14ac:dyDescent="0.25"/>
    <row r="34577" hidden="1" x14ac:dyDescent="0.25"/>
    <row r="34578" hidden="1" x14ac:dyDescent="0.25"/>
    <row r="34579" hidden="1" x14ac:dyDescent="0.25"/>
    <row r="34580" hidden="1" x14ac:dyDescent="0.25"/>
    <row r="34581" hidden="1" x14ac:dyDescent="0.25"/>
    <row r="34582" hidden="1" x14ac:dyDescent="0.25"/>
    <row r="34583" hidden="1" x14ac:dyDescent="0.25"/>
    <row r="34584" hidden="1" x14ac:dyDescent="0.25"/>
    <row r="34585" hidden="1" x14ac:dyDescent="0.25"/>
    <row r="34586" hidden="1" x14ac:dyDescent="0.25"/>
    <row r="34587" hidden="1" x14ac:dyDescent="0.25"/>
    <row r="34588" hidden="1" x14ac:dyDescent="0.25"/>
    <row r="34589" hidden="1" x14ac:dyDescent="0.25"/>
    <row r="34590" hidden="1" x14ac:dyDescent="0.25"/>
    <row r="34591" hidden="1" x14ac:dyDescent="0.25"/>
    <row r="34592" hidden="1" x14ac:dyDescent="0.25"/>
    <row r="34593" hidden="1" x14ac:dyDescent="0.25"/>
    <row r="34594" hidden="1" x14ac:dyDescent="0.25"/>
    <row r="34595" hidden="1" x14ac:dyDescent="0.25"/>
    <row r="34596" hidden="1" x14ac:dyDescent="0.25"/>
    <row r="34597" hidden="1" x14ac:dyDescent="0.25"/>
    <row r="34598" hidden="1" x14ac:dyDescent="0.25"/>
    <row r="34599" hidden="1" x14ac:dyDescent="0.25"/>
    <row r="34600" hidden="1" x14ac:dyDescent="0.25"/>
    <row r="34601" hidden="1" x14ac:dyDescent="0.25"/>
    <row r="34602" hidden="1" x14ac:dyDescent="0.25"/>
    <row r="34603" hidden="1" x14ac:dyDescent="0.25"/>
    <row r="34604" hidden="1" x14ac:dyDescent="0.25"/>
    <row r="34605" hidden="1" x14ac:dyDescent="0.25"/>
    <row r="34606" hidden="1" x14ac:dyDescent="0.25"/>
    <row r="34607" hidden="1" x14ac:dyDescent="0.25"/>
    <row r="34608" hidden="1" x14ac:dyDescent="0.25"/>
    <row r="34609" hidden="1" x14ac:dyDescent="0.25"/>
    <row r="34610" hidden="1" x14ac:dyDescent="0.25"/>
    <row r="34611" hidden="1" x14ac:dyDescent="0.25"/>
    <row r="34612" hidden="1" x14ac:dyDescent="0.25"/>
    <row r="34613" hidden="1" x14ac:dyDescent="0.25"/>
    <row r="34614" hidden="1" x14ac:dyDescent="0.25"/>
    <row r="34615" hidden="1" x14ac:dyDescent="0.25"/>
    <row r="34616" hidden="1" x14ac:dyDescent="0.25"/>
    <row r="34617" hidden="1" x14ac:dyDescent="0.25"/>
    <row r="34618" hidden="1" x14ac:dyDescent="0.25"/>
    <row r="34619" hidden="1" x14ac:dyDescent="0.25"/>
    <row r="34620" hidden="1" x14ac:dyDescent="0.25"/>
    <row r="34621" hidden="1" x14ac:dyDescent="0.25"/>
    <row r="34622" hidden="1" x14ac:dyDescent="0.25"/>
    <row r="34623" hidden="1" x14ac:dyDescent="0.25"/>
    <row r="34624" hidden="1" x14ac:dyDescent="0.25"/>
    <row r="34625" hidden="1" x14ac:dyDescent="0.25"/>
    <row r="34626" hidden="1" x14ac:dyDescent="0.25"/>
    <row r="34627" hidden="1" x14ac:dyDescent="0.25"/>
    <row r="34628" hidden="1" x14ac:dyDescent="0.25"/>
    <row r="34629" hidden="1" x14ac:dyDescent="0.25"/>
    <row r="34630" hidden="1" x14ac:dyDescent="0.25"/>
    <row r="34631" hidden="1" x14ac:dyDescent="0.25"/>
    <row r="34632" hidden="1" x14ac:dyDescent="0.25"/>
    <row r="34633" hidden="1" x14ac:dyDescent="0.25"/>
    <row r="34634" hidden="1" x14ac:dyDescent="0.25"/>
    <row r="34635" hidden="1" x14ac:dyDescent="0.25"/>
    <row r="34636" hidden="1" x14ac:dyDescent="0.25"/>
    <row r="34637" hidden="1" x14ac:dyDescent="0.25"/>
    <row r="34638" hidden="1" x14ac:dyDescent="0.25"/>
    <row r="34639" hidden="1" x14ac:dyDescent="0.25"/>
    <row r="34640" hidden="1" x14ac:dyDescent="0.25"/>
    <row r="34641" hidden="1" x14ac:dyDescent="0.25"/>
    <row r="34642" hidden="1" x14ac:dyDescent="0.25"/>
    <row r="34643" hidden="1" x14ac:dyDescent="0.25"/>
    <row r="34644" hidden="1" x14ac:dyDescent="0.25"/>
    <row r="34645" hidden="1" x14ac:dyDescent="0.25"/>
    <row r="34646" hidden="1" x14ac:dyDescent="0.25"/>
    <row r="34647" hidden="1" x14ac:dyDescent="0.25"/>
    <row r="34648" hidden="1" x14ac:dyDescent="0.25"/>
    <row r="34649" hidden="1" x14ac:dyDescent="0.25"/>
    <row r="34650" hidden="1" x14ac:dyDescent="0.25"/>
    <row r="34651" hidden="1" x14ac:dyDescent="0.25"/>
    <row r="34652" hidden="1" x14ac:dyDescent="0.25"/>
    <row r="34653" hidden="1" x14ac:dyDescent="0.25"/>
    <row r="34654" hidden="1" x14ac:dyDescent="0.25"/>
    <row r="34655" hidden="1" x14ac:dyDescent="0.25"/>
    <row r="34656" hidden="1" x14ac:dyDescent="0.25"/>
    <row r="34657" hidden="1" x14ac:dyDescent="0.25"/>
    <row r="34658" hidden="1" x14ac:dyDescent="0.25"/>
    <row r="34659" hidden="1" x14ac:dyDescent="0.25"/>
    <row r="34660" hidden="1" x14ac:dyDescent="0.25"/>
    <row r="34661" hidden="1" x14ac:dyDescent="0.25"/>
    <row r="34662" hidden="1" x14ac:dyDescent="0.25"/>
    <row r="34663" hidden="1" x14ac:dyDescent="0.25"/>
    <row r="34664" hidden="1" x14ac:dyDescent="0.25"/>
    <row r="34665" hidden="1" x14ac:dyDescent="0.25"/>
    <row r="34666" hidden="1" x14ac:dyDescent="0.25"/>
    <row r="34667" hidden="1" x14ac:dyDescent="0.25"/>
    <row r="34668" hidden="1" x14ac:dyDescent="0.25"/>
    <row r="34669" hidden="1" x14ac:dyDescent="0.25"/>
    <row r="34670" hidden="1" x14ac:dyDescent="0.25"/>
    <row r="34671" hidden="1" x14ac:dyDescent="0.25"/>
    <row r="34672" hidden="1" x14ac:dyDescent="0.25"/>
    <row r="34673" hidden="1" x14ac:dyDescent="0.25"/>
    <row r="34674" hidden="1" x14ac:dyDescent="0.25"/>
    <row r="34675" hidden="1" x14ac:dyDescent="0.25"/>
    <row r="34676" hidden="1" x14ac:dyDescent="0.25"/>
    <row r="34677" hidden="1" x14ac:dyDescent="0.25"/>
    <row r="34678" hidden="1" x14ac:dyDescent="0.25"/>
    <row r="34679" hidden="1" x14ac:dyDescent="0.25"/>
    <row r="34680" hidden="1" x14ac:dyDescent="0.25"/>
    <row r="34681" hidden="1" x14ac:dyDescent="0.25"/>
    <row r="34682" hidden="1" x14ac:dyDescent="0.25"/>
    <row r="34683" hidden="1" x14ac:dyDescent="0.25"/>
    <row r="34684" hidden="1" x14ac:dyDescent="0.25"/>
    <row r="34685" hidden="1" x14ac:dyDescent="0.25"/>
    <row r="34686" hidden="1" x14ac:dyDescent="0.25"/>
    <row r="34687" hidden="1" x14ac:dyDescent="0.25"/>
    <row r="34688" hidden="1" x14ac:dyDescent="0.25"/>
    <row r="34689" hidden="1" x14ac:dyDescent="0.25"/>
    <row r="34690" hidden="1" x14ac:dyDescent="0.25"/>
    <row r="34691" hidden="1" x14ac:dyDescent="0.25"/>
    <row r="34692" hidden="1" x14ac:dyDescent="0.25"/>
    <row r="34693" hidden="1" x14ac:dyDescent="0.25"/>
    <row r="34694" hidden="1" x14ac:dyDescent="0.25"/>
    <row r="34695" hidden="1" x14ac:dyDescent="0.25"/>
    <row r="34696" hidden="1" x14ac:dyDescent="0.25"/>
    <row r="34697" hidden="1" x14ac:dyDescent="0.25"/>
    <row r="34698" hidden="1" x14ac:dyDescent="0.25"/>
    <row r="34699" hidden="1" x14ac:dyDescent="0.25"/>
    <row r="34700" hidden="1" x14ac:dyDescent="0.25"/>
    <row r="34701" hidden="1" x14ac:dyDescent="0.25"/>
    <row r="34702" hidden="1" x14ac:dyDescent="0.25"/>
    <row r="34703" hidden="1" x14ac:dyDescent="0.25"/>
    <row r="34704" hidden="1" x14ac:dyDescent="0.25"/>
    <row r="34705" hidden="1" x14ac:dyDescent="0.25"/>
    <row r="34706" hidden="1" x14ac:dyDescent="0.25"/>
    <row r="34707" hidden="1" x14ac:dyDescent="0.25"/>
    <row r="34708" hidden="1" x14ac:dyDescent="0.25"/>
    <row r="34709" hidden="1" x14ac:dyDescent="0.25"/>
    <row r="34710" hidden="1" x14ac:dyDescent="0.25"/>
    <row r="34711" hidden="1" x14ac:dyDescent="0.25"/>
    <row r="34712" hidden="1" x14ac:dyDescent="0.25"/>
    <row r="34713" hidden="1" x14ac:dyDescent="0.25"/>
    <row r="34714" hidden="1" x14ac:dyDescent="0.25"/>
    <row r="34715" hidden="1" x14ac:dyDescent="0.25"/>
    <row r="34716" hidden="1" x14ac:dyDescent="0.25"/>
    <row r="34717" hidden="1" x14ac:dyDescent="0.25"/>
    <row r="34718" hidden="1" x14ac:dyDescent="0.25"/>
    <row r="34719" hidden="1" x14ac:dyDescent="0.25"/>
    <row r="34720" hidden="1" x14ac:dyDescent="0.25"/>
    <row r="34721" hidden="1" x14ac:dyDescent="0.25"/>
    <row r="34722" hidden="1" x14ac:dyDescent="0.25"/>
    <row r="34723" hidden="1" x14ac:dyDescent="0.25"/>
    <row r="34724" hidden="1" x14ac:dyDescent="0.25"/>
    <row r="34725" hidden="1" x14ac:dyDescent="0.25"/>
    <row r="34726" hidden="1" x14ac:dyDescent="0.25"/>
    <row r="34727" hidden="1" x14ac:dyDescent="0.25"/>
    <row r="34728" hidden="1" x14ac:dyDescent="0.25"/>
    <row r="34729" hidden="1" x14ac:dyDescent="0.25"/>
    <row r="34730" hidden="1" x14ac:dyDescent="0.25"/>
    <row r="34731" hidden="1" x14ac:dyDescent="0.25"/>
    <row r="34732" hidden="1" x14ac:dyDescent="0.25"/>
    <row r="34733" hidden="1" x14ac:dyDescent="0.25"/>
    <row r="34734" hidden="1" x14ac:dyDescent="0.25"/>
    <row r="34735" hidden="1" x14ac:dyDescent="0.25"/>
    <row r="34736" hidden="1" x14ac:dyDescent="0.25"/>
    <row r="34737" hidden="1" x14ac:dyDescent="0.25"/>
    <row r="34738" hidden="1" x14ac:dyDescent="0.25"/>
    <row r="34739" hidden="1" x14ac:dyDescent="0.25"/>
    <row r="34740" hidden="1" x14ac:dyDescent="0.25"/>
    <row r="34741" hidden="1" x14ac:dyDescent="0.25"/>
    <row r="34742" hidden="1" x14ac:dyDescent="0.25"/>
    <row r="34743" hidden="1" x14ac:dyDescent="0.25"/>
    <row r="34744" hidden="1" x14ac:dyDescent="0.25"/>
    <row r="34745" hidden="1" x14ac:dyDescent="0.25"/>
    <row r="34746" hidden="1" x14ac:dyDescent="0.25"/>
    <row r="34747" hidden="1" x14ac:dyDescent="0.25"/>
    <row r="34748" hidden="1" x14ac:dyDescent="0.25"/>
    <row r="34749" hidden="1" x14ac:dyDescent="0.25"/>
    <row r="34750" hidden="1" x14ac:dyDescent="0.25"/>
    <row r="34751" hidden="1" x14ac:dyDescent="0.25"/>
    <row r="34752" hidden="1" x14ac:dyDescent="0.25"/>
    <row r="34753" hidden="1" x14ac:dyDescent="0.25"/>
    <row r="34754" hidden="1" x14ac:dyDescent="0.25"/>
    <row r="34755" hidden="1" x14ac:dyDescent="0.25"/>
    <row r="34756" hidden="1" x14ac:dyDescent="0.25"/>
    <row r="34757" hidden="1" x14ac:dyDescent="0.25"/>
    <row r="34758" hidden="1" x14ac:dyDescent="0.25"/>
    <row r="34759" hidden="1" x14ac:dyDescent="0.25"/>
    <row r="34760" hidden="1" x14ac:dyDescent="0.25"/>
    <row r="34761" hidden="1" x14ac:dyDescent="0.25"/>
    <row r="34762" hidden="1" x14ac:dyDescent="0.25"/>
    <row r="34763" hidden="1" x14ac:dyDescent="0.25"/>
    <row r="34764" hidden="1" x14ac:dyDescent="0.25"/>
    <row r="34765" hidden="1" x14ac:dyDescent="0.25"/>
    <row r="34766" hidden="1" x14ac:dyDescent="0.25"/>
    <row r="34767" hidden="1" x14ac:dyDescent="0.25"/>
    <row r="34768" hidden="1" x14ac:dyDescent="0.25"/>
    <row r="34769" hidden="1" x14ac:dyDescent="0.25"/>
    <row r="34770" hidden="1" x14ac:dyDescent="0.25"/>
    <row r="34771" hidden="1" x14ac:dyDescent="0.25"/>
    <row r="34772" hidden="1" x14ac:dyDescent="0.25"/>
    <row r="34773" hidden="1" x14ac:dyDescent="0.25"/>
    <row r="34774" hidden="1" x14ac:dyDescent="0.25"/>
    <row r="34775" hidden="1" x14ac:dyDescent="0.25"/>
    <row r="34776" hidden="1" x14ac:dyDescent="0.25"/>
    <row r="34777" hidden="1" x14ac:dyDescent="0.25"/>
    <row r="34778" hidden="1" x14ac:dyDescent="0.25"/>
    <row r="34779" hidden="1" x14ac:dyDescent="0.25"/>
    <row r="34780" hidden="1" x14ac:dyDescent="0.25"/>
    <row r="34781" hidden="1" x14ac:dyDescent="0.25"/>
    <row r="34782" hidden="1" x14ac:dyDescent="0.25"/>
    <row r="34783" hidden="1" x14ac:dyDescent="0.25"/>
    <row r="34784" hidden="1" x14ac:dyDescent="0.25"/>
    <row r="34785" hidden="1" x14ac:dyDescent="0.25"/>
    <row r="34786" hidden="1" x14ac:dyDescent="0.25"/>
    <row r="34787" hidden="1" x14ac:dyDescent="0.25"/>
    <row r="34788" hidden="1" x14ac:dyDescent="0.25"/>
    <row r="34789" hidden="1" x14ac:dyDescent="0.25"/>
    <row r="34790" hidden="1" x14ac:dyDescent="0.25"/>
    <row r="34791" hidden="1" x14ac:dyDescent="0.25"/>
    <row r="34792" hidden="1" x14ac:dyDescent="0.25"/>
    <row r="34793" hidden="1" x14ac:dyDescent="0.25"/>
    <row r="34794" hidden="1" x14ac:dyDescent="0.25"/>
    <row r="34795" hidden="1" x14ac:dyDescent="0.25"/>
    <row r="34796" hidden="1" x14ac:dyDescent="0.25"/>
    <row r="34797" hidden="1" x14ac:dyDescent="0.25"/>
    <row r="34798" hidden="1" x14ac:dyDescent="0.25"/>
    <row r="34799" hidden="1" x14ac:dyDescent="0.25"/>
    <row r="34800" hidden="1" x14ac:dyDescent="0.25"/>
    <row r="34801" hidden="1" x14ac:dyDescent="0.25"/>
    <row r="34802" hidden="1" x14ac:dyDescent="0.25"/>
    <row r="34803" hidden="1" x14ac:dyDescent="0.25"/>
    <row r="34804" hidden="1" x14ac:dyDescent="0.25"/>
    <row r="34805" hidden="1" x14ac:dyDescent="0.25"/>
    <row r="34806" hidden="1" x14ac:dyDescent="0.25"/>
    <row r="34807" hidden="1" x14ac:dyDescent="0.25"/>
    <row r="34808" hidden="1" x14ac:dyDescent="0.25"/>
    <row r="34809" hidden="1" x14ac:dyDescent="0.25"/>
    <row r="34810" hidden="1" x14ac:dyDescent="0.25"/>
    <row r="34811" hidden="1" x14ac:dyDescent="0.25"/>
    <row r="34812" hidden="1" x14ac:dyDescent="0.25"/>
    <row r="34813" hidden="1" x14ac:dyDescent="0.25"/>
    <row r="34814" hidden="1" x14ac:dyDescent="0.25"/>
    <row r="34815" hidden="1" x14ac:dyDescent="0.25"/>
    <row r="34816" hidden="1" x14ac:dyDescent="0.25"/>
    <row r="34817" hidden="1" x14ac:dyDescent="0.25"/>
    <row r="34818" hidden="1" x14ac:dyDescent="0.25"/>
    <row r="34819" hidden="1" x14ac:dyDescent="0.25"/>
    <row r="34820" hidden="1" x14ac:dyDescent="0.25"/>
    <row r="34821" hidden="1" x14ac:dyDescent="0.25"/>
    <row r="34822" hidden="1" x14ac:dyDescent="0.25"/>
    <row r="34823" hidden="1" x14ac:dyDescent="0.25"/>
    <row r="34824" hidden="1" x14ac:dyDescent="0.25"/>
    <row r="34825" hidden="1" x14ac:dyDescent="0.25"/>
    <row r="34826" hidden="1" x14ac:dyDescent="0.25"/>
    <row r="34827" hidden="1" x14ac:dyDescent="0.25"/>
    <row r="34828" hidden="1" x14ac:dyDescent="0.25"/>
    <row r="34829" hidden="1" x14ac:dyDescent="0.25"/>
    <row r="34830" hidden="1" x14ac:dyDescent="0.25"/>
    <row r="34831" hidden="1" x14ac:dyDescent="0.25"/>
    <row r="34832" hidden="1" x14ac:dyDescent="0.25"/>
    <row r="34833" hidden="1" x14ac:dyDescent="0.25"/>
    <row r="34834" hidden="1" x14ac:dyDescent="0.25"/>
    <row r="34835" hidden="1" x14ac:dyDescent="0.25"/>
    <row r="34836" hidden="1" x14ac:dyDescent="0.25"/>
    <row r="34837" hidden="1" x14ac:dyDescent="0.25"/>
    <row r="34838" hidden="1" x14ac:dyDescent="0.25"/>
    <row r="34839" hidden="1" x14ac:dyDescent="0.25"/>
    <row r="34840" hidden="1" x14ac:dyDescent="0.25"/>
    <row r="34841" hidden="1" x14ac:dyDescent="0.25"/>
    <row r="34842" hidden="1" x14ac:dyDescent="0.25"/>
    <row r="34843" hidden="1" x14ac:dyDescent="0.25"/>
    <row r="34844" hidden="1" x14ac:dyDescent="0.25"/>
    <row r="34845" hidden="1" x14ac:dyDescent="0.25"/>
    <row r="34846" hidden="1" x14ac:dyDescent="0.25"/>
    <row r="34847" hidden="1" x14ac:dyDescent="0.25"/>
    <row r="34848" hidden="1" x14ac:dyDescent="0.25"/>
    <row r="34849" hidden="1" x14ac:dyDescent="0.25"/>
    <row r="34850" hidden="1" x14ac:dyDescent="0.25"/>
    <row r="34851" hidden="1" x14ac:dyDescent="0.25"/>
    <row r="34852" hidden="1" x14ac:dyDescent="0.25"/>
    <row r="34853" hidden="1" x14ac:dyDescent="0.25"/>
    <row r="34854" hidden="1" x14ac:dyDescent="0.25"/>
    <row r="34855" hidden="1" x14ac:dyDescent="0.25"/>
    <row r="34856" hidden="1" x14ac:dyDescent="0.25"/>
    <row r="34857" hidden="1" x14ac:dyDescent="0.25"/>
    <row r="34858" hidden="1" x14ac:dyDescent="0.25"/>
    <row r="34859" hidden="1" x14ac:dyDescent="0.25"/>
    <row r="34860" hidden="1" x14ac:dyDescent="0.25"/>
    <row r="34861" hidden="1" x14ac:dyDescent="0.25"/>
    <row r="34862" hidden="1" x14ac:dyDescent="0.25"/>
    <row r="34863" hidden="1" x14ac:dyDescent="0.25"/>
    <row r="34864" hidden="1" x14ac:dyDescent="0.25"/>
    <row r="34865" hidden="1" x14ac:dyDescent="0.25"/>
    <row r="34866" hidden="1" x14ac:dyDescent="0.25"/>
    <row r="34867" hidden="1" x14ac:dyDescent="0.25"/>
    <row r="34868" hidden="1" x14ac:dyDescent="0.25"/>
    <row r="34869" hidden="1" x14ac:dyDescent="0.25"/>
    <row r="34870" hidden="1" x14ac:dyDescent="0.25"/>
    <row r="34871" hidden="1" x14ac:dyDescent="0.25"/>
    <row r="34872" hidden="1" x14ac:dyDescent="0.25"/>
    <row r="34873" hidden="1" x14ac:dyDescent="0.25"/>
    <row r="34874" hidden="1" x14ac:dyDescent="0.25"/>
    <row r="34875" hidden="1" x14ac:dyDescent="0.25"/>
    <row r="34876" hidden="1" x14ac:dyDescent="0.25"/>
    <row r="34877" hidden="1" x14ac:dyDescent="0.25"/>
    <row r="34878" hidden="1" x14ac:dyDescent="0.25"/>
    <row r="34879" hidden="1" x14ac:dyDescent="0.25"/>
    <row r="34880" hidden="1" x14ac:dyDescent="0.25"/>
    <row r="34881" hidden="1" x14ac:dyDescent="0.25"/>
    <row r="34882" hidden="1" x14ac:dyDescent="0.25"/>
    <row r="34883" hidden="1" x14ac:dyDescent="0.25"/>
    <row r="34884" hidden="1" x14ac:dyDescent="0.25"/>
    <row r="34885" hidden="1" x14ac:dyDescent="0.25"/>
    <row r="34886" hidden="1" x14ac:dyDescent="0.25"/>
    <row r="34887" hidden="1" x14ac:dyDescent="0.25"/>
    <row r="34888" hidden="1" x14ac:dyDescent="0.25"/>
    <row r="34889" hidden="1" x14ac:dyDescent="0.25"/>
    <row r="34890" hidden="1" x14ac:dyDescent="0.25"/>
    <row r="34891" hidden="1" x14ac:dyDescent="0.25"/>
    <row r="34892" hidden="1" x14ac:dyDescent="0.25"/>
    <row r="34893" hidden="1" x14ac:dyDescent="0.25"/>
    <row r="34894" hidden="1" x14ac:dyDescent="0.25"/>
    <row r="34895" hidden="1" x14ac:dyDescent="0.25"/>
    <row r="34896" hidden="1" x14ac:dyDescent="0.25"/>
    <row r="34897" hidden="1" x14ac:dyDescent="0.25"/>
    <row r="34898" hidden="1" x14ac:dyDescent="0.25"/>
    <row r="34899" hidden="1" x14ac:dyDescent="0.25"/>
    <row r="34900" hidden="1" x14ac:dyDescent="0.25"/>
    <row r="34901" hidden="1" x14ac:dyDescent="0.25"/>
    <row r="34902" hidden="1" x14ac:dyDescent="0.25"/>
    <row r="34903" hidden="1" x14ac:dyDescent="0.25"/>
    <row r="34904" hidden="1" x14ac:dyDescent="0.25"/>
    <row r="34905" hidden="1" x14ac:dyDescent="0.25"/>
    <row r="34906" hidden="1" x14ac:dyDescent="0.25"/>
    <row r="34907" hidden="1" x14ac:dyDescent="0.25"/>
    <row r="34908" hidden="1" x14ac:dyDescent="0.25"/>
    <row r="34909" hidden="1" x14ac:dyDescent="0.25"/>
    <row r="34910" hidden="1" x14ac:dyDescent="0.25"/>
    <row r="34911" hidden="1" x14ac:dyDescent="0.25"/>
    <row r="34912" hidden="1" x14ac:dyDescent="0.25"/>
    <row r="34913" hidden="1" x14ac:dyDescent="0.25"/>
    <row r="34914" hidden="1" x14ac:dyDescent="0.25"/>
    <row r="34915" hidden="1" x14ac:dyDescent="0.25"/>
    <row r="34916" hidden="1" x14ac:dyDescent="0.25"/>
    <row r="34917" hidden="1" x14ac:dyDescent="0.25"/>
    <row r="34918" hidden="1" x14ac:dyDescent="0.25"/>
    <row r="34919" hidden="1" x14ac:dyDescent="0.25"/>
    <row r="34920" hidden="1" x14ac:dyDescent="0.25"/>
    <row r="34921" hidden="1" x14ac:dyDescent="0.25"/>
    <row r="34922" hidden="1" x14ac:dyDescent="0.25"/>
    <row r="34923" hidden="1" x14ac:dyDescent="0.25"/>
    <row r="34924" hidden="1" x14ac:dyDescent="0.25"/>
    <row r="34925" hidden="1" x14ac:dyDescent="0.25"/>
    <row r="34926" hidden="1" x14ac:dyDescent="0.25"/>
    <row r="34927" hidden="1" x14ac:dyDescent="0.25"/>
    <row r="34928" hidden="1" x14ac:dyDescent="0.25"/>
    <row r="34929" hidden="1" x14ac:dyDescent="0.25"/>
    <row r="34930" hidden="1" x14ac:dyDescent="0.25"/>
    <row r="34931" hidden="1" x14ac:dyDescent="0.25"/>
    <row r="34932" hidden="1" x14ac:dyDescent="0.25"/>
    <row r="34933" hidden="1" x14ac:dyDescent="0.25"/>
    <row r="34934" hidden="1" x14ac:dyDescent="0.25"/>
    <row r="34935" hidden="1" x14ac:dyDescent="0.25"/>
    <row r="34936" hidden="1" x14ac:dyDescent="0.25"/>
    <row r="34937" hidden="1" x14ac:dyDescent="0.25"/>
    <row r="34938" hidden="1" x14ac:dyDescent="0.25"/>
    <row r="34939" hidden="1" x14ac:dyDescent="0.25"/>
    <row r="34940" hidden="1" x14ac:dyDescent="0.25"/>
    <row r="34941" hidden="1" x14ac:dyDescent="0.25"/>
    <row r="34942" hidden="1" x14ac:dyDescent="0.25"/>
    <row r="34943" hidden="1" x14ac:dyDescent="0.25"/>
    <row r="34944" hidden="1" x14ac:dyDescent="0.25"/>
    <row r="34945" hidden="1" x14ac:dyDescent="0.25"/>
    <row r="34946" hidden="1" x14ac:dyDescent="0.25"/>
    <row r="34947" hidden="1" x14ac:dyDescent="0.25"/>
    <row r="34948" hidden="1" x14ac:dyDescent="0.25"/>
    <row r="34949" hidden="1" x14ac:dyDescent="0.25"/>
    <row r="34950" hidden="1" x14ac:dyDescent="0.25"/>
    <row r="34951" hidden="1" x14ac:dyDescent="0.25"/>
    <row r="34952" hidden="1" x14ac:dyDescent="0.25"/>
    <row r="34953" hidden="1" x14ac:dyDescent="0.25"/>
    <row r="34954" hidden="1" x14ac:dyDescent="0.25"/>
    <row r="34955" hidden="1" x14ac:dyDescent="0.25"/>
    <row r="34956" hidden="1" x14ac:dyDescent="0.25"/>
    <row r="34957" hidden="1" x14ac:dyDescent="0.25"/>
    <row r="34958" hidden="1" x14ac:dyDescent="0.25"/>
    <row r="34959" hidden="1" x14ac:dyDescent="0.25"/>
    <row r="34960" hidden="1" x14ac:dyDescent="0.25"/>
    <row r="34961" hidden="1" x14ac:dyDescent="0.25"/>
    <row r="34962" hidden="1" x14ac:dyDescent="0.25"/>
    <row r="34963" hidden="1" x14ac:dyDescent="0.25"/>
    <row r="34964" hidden="1" x14ac:dyDescent="0.25"/>
    <row r="34965" hidden="1" x14ac:dyDescent="0.25"/>
    <row r="34966" hidden="1" x14ac:dyDescent="0.25"/>
    <row r="34967" hidden="1" x14ac:dyDescent="0.25"/>
    <row r="34968" hidden="1" x14ac:dyDescent="0.25"/>
    <row r="34969" hidden="1" x14ac:dyDescent="0.25"/>
    <row r="34970" hidden="1" x14ac:dyDescent="0.25"/>
    <row r="34971" hidden="1" x14ac:dyDescent="0.25"/>
    <row r="34972" hidden="1" x14ac:dyDescent="0.25"/>
    <row r="34973" hidden="1" x14ac:dyDescent="0.25"/>
    <row r="34974" hidden="1" x14ac:dyDescent="0.25"/>
    <row r="34975" hidden="1" x14ac:dyDescent="0.25"/>
    <row r="34976" hidden="1" x14ac:dyDescent="0.25"/>
    <row r="34977" hidden="1" x14ac:dyDescent="0.25"/>
    <row r="34978" hidden="1" x14ac:dyDescent="0.25"/>
    <row r="34979" hidden="1" x14ac:dyDescent="0.25"/>
    <row r="34980" hidden="1" x14ac:dyDescent="0.25"/>
    <row r="34981" hidden="1" x14ac:dyDescent="0.25"/>
    <row r="34982" hidden="1" x14ac:dyDescent="0.25"/>
    <row r="34983" hidden="1" x14ac:dyDescent="0.25"/>
    <row r="34984" hidden="1" x14ac:dyDescent="0.25"/>
    <row r="34985" hidden="1" x14ac:dyDescent="0.25"/>
    <row r="34986" hidden="1" x14ac:dyDescent="0.25"/>
    <row r="34987" hidden="1" x14ac:dyDescent="0.25"/>
    <row r="34988" hidden="1" x14ac:dyDescent="0.25"/>
    <row r="34989" hidden="1" x14ac:dyDescent="0.25"/>
    <row r="34990" hidden="1" x14ac:dyDescent="0.25"/>
    <row r="34991" hidden="1" x14ac:dyDescent="0.25"/>
    <row r="34992" hidden="1" x14ac:dyDescent="0.25"/>
    <row r="34993" hidden="1" x14ac:dyDescent="0.25"/>
    <row r="34994" hidden="1" x14ac:dyDescent="0.25"/>
    <row r="34995" hidden="1" x14ac:dyDescent="0.25"/>
    <row r="34996" hidden="1" x14ac:dyDescent="0.25"/>
    <row r="34997" hidden="1" x14ac:dyDescent="0.25"/>
    <row r="34998" hidden="1" x14ac:dyDescent="0.25"/>
    <row r="34999" hidden="1" x14ac:dyDescent="0.25"/>
    <row r="35000" hidden="1" x14ac:dyDescent="0.25"/>
    <row r="35001" hidden="1" x14ac:dyDescent="0.25"/>
    <row r="35002" hidden="1" x14ac:dyDescent="0.25"/>
    <row r="35003" hidden="1" x14ac:dyDescent="0.25"/>
    <row r="35004" hidden="1" x14ac:dyDescent="0.25"/>
    <row r="35005" hidden="1" x14ac:dyDescent="0.25"/>
    <row r="35006" hidden="1" x14ac:dyDescent="0.25"/>
    <row r="35007" hidden="1" x14ac:dyDescent="0.25"/>
    <row r="35008" hidden="1" x14ac:dyDescent="0.25"/>
    <row r="35009" hidden="1" x14ac:dyDescent="0.25"/>
    <row r="35010" hidden="1" x14ac:dyDescent="0.25"/>
    <row r="35011" hidden="1" x14ac:dyDescent="0.25"/>
    <row r="35012" hidden="1" x14ac:dyDescent="0.25"/>
    <row r="35013" hidden="1" x14ac:dyDescent="0.25"/>
    <row r="35014" hidden="1" x14ac:dyDescent="0.25"/>
    <row r="35015" hidden="1" x14ac:dyDescent="0.25"/>
    <row r="35016" hidden="1" x14ac:dyDescent="0.25"/>
    <row r="35017" hidden="1" x14ac:dyDescent="0.25"/>
    <row r="35018" hidden="1" x14ac:dyDescent="0.25"/>
    <row r="35019" hidden="1" x14ac:dyDescent="0.25"/>
    <row r="35020" hidden="1" x14ac:dyDescent="0.25"/>
    <row r="35021" hidden="1" x14ac:dyDescent="0.25"/>
    <row r="35022" hidden="1" x14ac:dyDescent="0.25"/>
    <row r="35023" hidden="1" x14ac:dyDescent="0.25"/>
    <row r="35024" hidden="1" x14ac:dyDescent="0.25"/>
    <row r="35025" hidden="1" x14ac:dyDescent="0.25"/>
    <row r="35026" hidden="1" x14ac:dyDescent="0.25"/>
    <row r="35027" hidden="1" x14ac:dyDescent="0.25"/>
    <row r="35028" hidden="1" x14ac:dyDescent="0.25"/>
    <row r="35029" hidden="1" x14ac:dyDescent="0.25"/>
    <row r="35030" hidden="1" x14ac:dyDescent="0.25"/>
    <row r="35031" hidden="1" x14ac:dyDescent="0.25"/>
    <row r="35032" hidden="1" x14ac:dyDescent="0.25"/>
    <row r="35033" hidden="1" x14ac:dyDescent="0.25"/>
    <row r="35034" hidden="1" x14ac:dyDescent="0.25"/>
    <row r="35035" hidden="1" x14ac:dyDescent="0.25"/>
    <row r="35036" hidden="1" x14ac:dyDescent="0.25"/>
    <row r="35037" hidden="1" x14ac:dyDescent="0.25"/>
    <row r="35038" hidden="1" x14ac:dyDescent="0.25"/>
    <row r="35039" hidden="1" x14ac:dyDescent="0.25"/>
    <row r="35040" hidden="1" x14ac:dyDescent="0.25"/>
    <row r="35041" hidden="1" x14ac:dyDescent="0.25"/>
    <row r="35042" hidden="1" x14ac:dyDescent="0.25"/>
    <row r="35043" hidden="1" x14ac:dyDescent="0.25"/>
    <row r="35044" hidden="1" x14ac:dyDescent="0.25"/>
    <row r="35045" hidden="1" x14ac:dyDescent="0.25"/>
    <row r="35046" hidden="1" x14ac:dyDescent="0.25"/>
    <row r="35047" hidden="1" x14ac:dyDescent="0.25"/>
    <row r="35048" hidden="1" x14ac:dyDescent="0.25"/>
    <row r="35049" hidden="1" x14ac:dyDescent="0.25"/>
    <row r="35050" hidden="1" x14ac:dyDescent="0.25"/>
    <row r="35051" hidden="1" x14ac:dyDescent="0.25"/>
    <row r="35052" hidden="1" x14ac:dyDescent="0.25"/>
    <row r="35053" hidden="1" x14ac:dyDescent="0.25"/>
    <row r="35054" hidden="1" x14ac:dyDescent="0.25"/>
    <row r="35055" hidden="1" x14ac:dyDescent="0.25"/>
    <row r="35056" hidden="1" x14ac:dyDescent="0.25"/>
    <row r="35057" hidden="1" x14ac:dyDescent="0.25"/>
    <row r="35058" hidden="1" x14ac:dyDescent="0.25"/>
    <row r="35059" hidden="1" x14ac:dyDescent="0.25"/>
    <row r="35060" hidden="1" x14ac:dyDescent="0.25"/>
    <row r="35061" hidden="1" x14ac:dyDescent="0.25"/>
    <row r="35062" hidden="1" x14ac:dyDescent="0.25"/>
    <row r="35063" hidden="1" x14ac:dyDescent="0.25"/>
    <row r="35064" hidden="1" x14ac:dyDescent="0.25"/>
    <row r="35065" hidden="1" x14ac:dyDescent="0.25"/>
    <row r="35066" hidden="1" x14ac:dyDescent="0.25"/>
    <row r="35067" hidden="1" x14ac:dyDescent="0.25"/>
    <row r="35068" hidden="1" x14ac:dyDescent="0.25"/>
    <row r="35069" hidden="1" x14ac:dyDescent="0.25"/>
    <row r="35070" hidden="1" x14ac:dyDescent="0.25"/>
    <row r="35071" hidden="1" x14ac:dyDescent="0.25"/>
    <row r="35072" hidden="1" x14ac:dyDescent="0.25"/>
    <row r="35073" hidden="1" x14ac:dyDescent="0.25"/>
    <row r="35074" hidden="1" x14ac:dyDescent="0.25"/>
    <row r="35075" hidden="1" x14ac:dyDescent="0.25"/>
    <row r="35076" hidden="1" x14ac:dyDescent="0.25"/>
    <row r="35077" hidden="1" x14ac:dyDescent="0.25"/>
    <row r="35078" hidden="1" x14ac:dyDescent="0.25"/>
    <row r="35079" hidden="1" x14ac:dyDescent="0.25"/>
    <row r="35080" hidden="1" x14ac:dyDescent="0.25"/>
    <row r="35081" hidden="1" x14ac:dyDescent="0.25"/>
    <row r="35082" hidden="1" x14ac:dyDescent="0.25"/>
    <row r="35083" hidden="1" x14ac:dyDescent="0.25"/>
    <row r="35084" hidden="1" x14ac:dyDescent="0.25"/>
    <row r="35085" hidden="1" x14ac:dyDescent="0.25"/>
    <row r="35086" hidden="1" x14ac:dyDescent="0.25"/>
    <row r="35087" hidden="1" x14ac:dyDescent="0.25"/>
    <row r="35088" hidden="1" x14ac:dyDescent="0.25"/>
    <row r="35089" hidden="1" x14ac:dyDescent="0.25"/>
    <row r="35090" hidden="1" x14ac:dyDescent="0.25"/>
    <row r="35091" hidden="1" x14ac:dyDescent="0.25"/>
    <row r="35092" hidden="1" x14ac:dyDescent="0.25"/>
    <row r="35093" hidden="1" x14ac:dyDescent="0.25"/>
    <row r="35094" hidden="1" x14ac:dyDescent="0.25"/>
    <row r="35095" hidden="1" x14ac:dyDescent="0.25"/>
    <row r="35096" hidden="1" x14ac:dyDescent="0.25"/>
    <row r="35097" hidden="1" x14ac:dyDescent="0.25"/>
    <row r="35098" hidden="1" x14ac:dyDescent="0.25"/>
    <row r="35099" hidden="1" x14ac:dyDescent="0.25"/>
    <row r="35100" hidden="1" x14ac:dyDescent="0.25"/>
    <row r="35101" hidden="1" x14ac:dyDescent="0.25"/>
    <row r="35102" hidden="1" x14ac:dyDescent="0.25"/>
    <row r="35103" hidden="1" x14ac:dyDescent="0.25"/>
    <row r="35104" hidden="1" x14ac:dyDescent="0.25"/>
    <row r="35105" hidden="1" x14ac:dyDescent="0.25"/>
    <row r="35106" hidden="1" x14ac:dyDescent="0.25"/>
    <row r="35107" hidden="1" x14ac:dyDescent="0.25"/>
    <row r="35108" hidden="1" x14ac:dyDescent="0.25"/>
    <row r="35109" hidden="1" x14ac:dyDescent="0.25"/>
    <row r="35110" hidden="1" x14ac:dyDescent="0.25"/>
    <row r="35111" hidden="1" x14ac:dyDescent="0.25"/>
    <row r="35112" hidden="1" x14ac:dyDescent="0.25"/>
    <row r="35113" hidden="1" x14ac:dyDescent="0.25"/>
    <row r="35114" hidden="1" x14ac:dyDescent="0.25"/>
    <row r="35115" hidden="1" x14ac:dyDescent="0.25"/>
    <row r="35116" hidden="1" x14ac:dyDescent="0.25"/>
    <row r="35117" hidden="1" x14ac:dyDescent="0.25"/>
    <row r="35118" hidden="1" x14ac:dyDescent="0.25"/>
    <row r="35119" hidden="1" x14ac:dyDescent="0.25"/>
    <row r="35120" hidden="1" x14ac:dyDescent="0.25"/>
    <row r="35121" hidden="1" x14ac:dyDescent="0.25"/>
    <row r="35122" hidden="1" x14ac:dyDescent="0.25"/>
    <row r="35123" hidden="1" x14ac:dyDescent="0.25"/>
    <row r="35124" hidden="1" x14ac:dyDescent="0.25"/>
    <row r="35125" hidden="1" x14ac:dyDescent="0.25"/>
    <row r="35126" hidden="1" x14ac:dyDescent="0.25"/>
    <row r="35127" hidden="1" x14ac:dyDescent="0.25"/>
    <row r="35128" hidden="1" x14ac:dyDescent="0.25"/>
    <row r="35129" hidden="1" x14ac:dyDescent="0.25"/>
    <row r="35130" hidden="1" x14ac:dyDescent="0.25"/>
    <row r="35131" hidden="1" x14ac:dyDescent="0.25"/>
    <row r="35132" hidden="1" x14ac:dyDescent="0.25"/>
    <row r="35133" hidden="1" x14ac:dyDescent="0.25"/>
    <row r="35134" hidden="1" x14ac:dyDescent="0.25"/>
    <row r="35135" hidden="1" x14ac:dyDescent="0.25"/>
    <row r="35136" hidden="1" x14ac:dyDescent="0.25"/>
    <row r="35137" hidden="1" x14ac:dyDescent="0.25"/>
    <row r="35138" hidden="1" x14ac:dyDescent="0.25"/>
    <row r="35139" hidden="1" x14ac:dyDescent="0.25"/>
    <row r="35140" hidden="1" x14ac:dyDescent="0.25"/>
    <row r="35141" hidden="1" x14ac:dyDescent="0.25"/>
    <row r="35142" hidden="1" x14ac:dyDescent="0.25"/>
    <row r="35143" hidden="1" x14ac:dyDescent="0.25"/>
    <row r="35144" hidden="1" x14ac:dyDescent="0.25"/>
    <row r="35145" hidden="1" x14ac:dyDescent="0.25"/>
    <row r="35146" hidden="1" x14ac:dyDescent="0.25"/>
    <row r="35147" hidden="1" x14ac:dyDescent="0.25"/>
    <row r="35148" hidden="1" x14ac:dyDescent="0.25"/>
    <row r="35149" hidden="1" x14ac:dyDescent="0.25"/>
    <row r="35150" hidden="1" x14ac:dyDescent="0.25"/>
    <row r="35151" hidden="1" x14ac:dyDescent="0.25"/>
    <row r="35152" hidden="1" x14ac:dyDescent="0.25"/>
    <row r="35153" hidden="1" x14ac:dyDescent="0.25"/>
    <row r="35154" hidden="1" x14ac:dyDescent="0.25"/>
    <row r="35155" hidden="1" x14ac:dyDescent="0.25"/>
    <row r="35156" hidden="1" x14ac:dyDescent="0.25"/>
    <row r="35157" hidden="1" x14ac:dyDescent="0.25"/>
    <row r="35158" hidden="1" x14ac:dyDescent="0.25"/>
    <row r="35159" hidden="1" x14ac:dyDescent="0.25"/>
    <row r="35160" hidden="1" x14ac:dyDescent="0.25"/>
    <row r="35161" hidden="1" x14ac:dyDescent="0.25"/>
    <row r="35162" hidden="1" x14ac:dyDescent="0.25"/>
    <row r="35163" hidden="1" x14ac:dyDescent="0.25"/>
    <row r="35164" hidden="1" x14ac:dyDescent="0.25"/>
    <row r="35165" hidden="1" x14ac:dyDescent="0.25"/>
    <row r="35166" hidden="1" x14ac:dyDescent="0.25"/>
    <row r="35167" hidden="1" x14ac:dyDescent="0.25"/>
    <row r="35168" hidden="1" x14ac:dyDescent="0.25"/>
    <row r="35169" hidden="1" x14ac:dyDescent="0.25"/>
    <row r="35170" hidden="1" x14ac:dyDescent="0.25"/>
    <row r="35171" hidden="1" x14ac:dyDescent="0.25"/>
    <row r="35172" hidden="1" x14ac:dyDescent="0.25"/>
    <row r="35173" hidden="1" x14ac:dyDescent="0.25"/>
    <row r="35174" hidden="1" x14ac:dyDescent="0.25"/>
    <row r="35175" hidden="1" x14ac:dyDescent="0.25"/>
    <row r="35176" hidden="1" x14ac:dyDescent="0.25"/>
    <row r="35177" hidden="1" x14ac:dyDescent="0.25"/>
    <row r="35178" hidden="1" x14ac:dyDescent="0.25"/>
    <row r="35179" hidden="1" x14ac:dyDescent="0.25"/>
    <row r="35180" hidden="1" x14ac:dyDescent="0.25"/>
    <row r="35181" hidden="1" x14ac:dyDescent="0.25"/>
    <row r="35182" hidden="1" x14ac:dyDescent="0.25"/>
    <row r="35183" hidden="1" x14ac:dyDescent="0.25"/>
    <row r="35184" hidden="1" x14ac:dyDescent="0.25"/>
    <row r="35185" hidden="1" x14ac:dyDescent="0.25"/>
    <row r="35186" hidden="1" x14ac:dyDescent="0.25"/>
    <row r="35187" hidden="1" x14ac:dyDescent="0.25"/>
    <row r="35188" hidden="1" x14ac:dyDescent="0.25"/>
    <row r="35189" hidden="1" x14ac:dyDescent="0.25"/>
    <row r="35190" hidden="1" x14ac:dyDescent="0.25"/>
    <row r="35191" hidden="1" x14ac:dyDescent="0.25"/>
    <row r="35192" hidden="1" x14ac:dyDescent="0.25"/>
    <row r="35193" hidden="1" x14ac:dyDescent="0.25"/>
    <row r="35194" hidden="1" x14ac:dyDescent="0.25"/>
    <row r="35195" hidden="1" x14ac:dyDescent="0.25"/>
    <row r="35196" hidden="1" x14ac:dyDescent="0.25"/>
    <row r="35197" hidden="1" x14ac:dyDescent="0.25"/>
    <row r="35198" hidden="1" x14ac:dyDescent="0.25"/>
    <row r="35199" hidden="1" x14ac:dyDescent="0.25"/>
    <row r="35200" hidden="1" x14ac:dyDescent="0.25"/>
    <row r="35201" hidden="1" x14ac:dyDescent="0.25"/>
    <row r="35202" hidden="1" x14ac:dyDescent="0.25"/>
    <row r="35203" hidden="1" x14ac:dyDescent="0.25"/>
    <row r="35204" hidden="1" x14ac:dyDescent="0.25"/>
    <row r="35205" hidden="1" x14ac:dyDescent="0.25"/>
    <row r="35206" hidden="1" x14ac:dyDescent="0.25"/>
    <row r="35207" hidden="1" x14ac:dyDescent="0.25"/>
    <row r="35208" hidden="1" x14ac:dyDescent="0.25"/>
    <row r="35209" hidden="1" x14ac:dyDescent="0.25"/>
    <row r="35210" hidden="1" x14ac:dyDescent="0.25"/>
    <row r="35211" hidden="1" x14ac:dyDescent="0.25"/>
    <row r="35212" hidden="1" x14ac:dyDescent="0.25"/>
    <row r="35213" hidden="1" x14ac:dyDescent="0.25"/>
    <row r="35214" hidden="1" x14ac:dyDescent="0.25"/>
    <row r="35215" hidden="1" x14ac:dyDescent="0.25"/>
    <row r="35216" hidden="1" x14ac:dyDescent="0.25"/>
    <row r="35217" hidden="1" x14ac:dyDescent="0.25"/>
    <row r="35218" hidden="1" x14ac:dyDescent="0.25"/>
    <row r="35219" hidden="1" x14ac:dyDescent="0.25"/>
    <row r="35220" hidden="1" x14ac:dyDescent="0.25"/>
    <row r="35221" hidden="1" x14ac:dyDescent="0.25"/>
    <row r="35222" hidden="1" x14ac:dyDescent="0.25"/>
    <row r="35223" hidden="1" x14ac:dyDescent="0.25"/>
    <row r="35224" hidden="1" x14ac:dyDescent="0.25"/>
    <row r="35225" hidden="1" x14ac:dyDescent="0.25"/>
    <row r="35226" hidden="1" x14ac:dyDescent="0.25"/>
    <row r="35227" hidden="1" x14ac:dyDescent="0.25"/>
    <row r="35228" hidden="1" x14ac:dyDescent="0.25"/>
    <row r="35229" hidden="1" x14ac:dyDescent="0.25"/>
    <row r="35230" hidden="1" x14ac:dyDescent="0.25"/>
    <row r="35231" hidden="1" x14ac:dyDescent="0.25"/>
    <row r="35232" hidden="1" x14ac:dyDescent="0.25"/>
    <row r="35233" hidden="1" x14ac:dyDescent="0.25"/>
    <row r="35234" hidden="1" x14ac:dyDescent="0.25"/>
    <row r="35235" hidden="1" x14ac:dyDescent="0.25"/>
    <row r="35236" hidden="1" x14ac:dyDescent="0.25"/>
    <row r="35237" hidden="1" x14ac:dyDescent="0.25"/>
    <row r="35238" hidden="1" x14ac:dyDescent="0.25"/>
    <row r="35239" hidden="1" x14ac:dyDescent="0.25"/>
    <row r="35240" hidden="1" x14ac:dyDescent="0.25"/>
    <row r="35241" hidden="1" x14ac:dyDescent="0.25"/>
    <row r="35242" hidden="1" x14ac:dyDescent="0.25"/>
    <row r="35243" hidden="1" x14ac:dyDescent="0.25"/>
    <row r="35244" hidden="1" x14ac:dyDescent="0.25"/>
    <row r="35245" hidden="1" x14ac:dyDescent="0.25"/>
    <row r="35246" hidden="1" x14ac:dyDescent="0.25"/>
    <row r="35247" hidden="1" x14ac:dyDescent="0.25"/>
    <row r="35248" hidden="1" x14ac:dyDescent="0.25"/>
    <row r="35249" hidden="1" x14ac:dyDescent="0.25"/>
    <row r="35250" hidden="1" x14ac:dyDescent="0.25"/>
    <row r="35251" hidden="1" x14ac:dyDescent="0.25"/>
    <row r="35252" hidden="1" x14ac:dyDescent="0.25"/>
    <row r="35253" hidden="1" x14ac:dyDescent="0.25"/>
    <row r="35254" hidden="1" x14ac:dyDescent="0.25"/>
    <row r="35255" hidden="1" x14ac:dyDescent="0.25"/>
    <row r="35256" hidden="1" x14ac:dyDescent="0.25"/>
    <row r="35257" hidden="1" x14ac:dyDescent="0.25"/>
    <row r="35258" hidden="1" x14ac:dyDescent="0.25"/>
    <row r="35259" hidden="1" x14ac:dyDescent="0.25"/>
    <row r="35260" hidden="1" x14ac:dyDescent="0.25"/>
    <row r="35261" hidden="1" x14ac:dyDescent="0.25"/>
    <row r="35262" hidden="1" x14ac:dyDescent="0.25"/>
    <row r="35263" hidden="1" x14ac:dyDescent="0.25"/>
    <row r="35264" hidden="1" x14ac:dyDescent="0.25"/>
    <row r="35265" hidden="1" x14ac:dyDescent="0.25"/>
    <row r="35266" hidden="1" x14ac:dyDescent="0.25"/>
    <row r="35267" hidden="1" x14ac:dyDescent="0.25"/>
    <row r="35268" hidden="1" x14ac:dyDescent="0.25"/>
    <row r="35269" hidden="1" x14ac:dyDescent="0.25"/>
    <row r="35270" hidden="1" x14ac:dyDescent="0.25"/>
    <row r="35271" hidden="1" x14ac:dyDescent="0.25"/>
    <row r="35272" hidden="1" x14ac:dyDescent="0.25"/>
    <row r="35273" hidden="1" x14ac:dyDescent="0.25"/>
    <row r="35274" hidden="1" x14ac:dyDescent="0.25"/>
    <row r="35275" hidden="1" x14ac:dyDescent="0.25"/>
    <row r="35276" hidden="1" x14ac:dyDescent="0.25"/>
    <row r="35277" hidden="1" x14ac:dyDescent="0.25"/>
    <row r="35278" hidden="1" x14ac:dyDescent="0.25"/>
    <row r="35279" hidden="1" x14ac:dyDescent="0.25"/>
    <row r="35280" hidden="1" x14ac:dyDescent="0.25"/>
    <row r="35281" hidden="1" x14ac:dyDescent="0.25"/>
    <row r="35282" hidden="1" x14ac:dyDescent="0.25"/>
    <row r="35283" hidden="1" x14ac:dyDescent="0.25"/>
    <row r="35284" hidden="1" x14ac:dyDescent="0.25"/>
    <row r="35285" hidden="1" x14ac:dyDescent="0.25"/>
    <row r="35286" hidden="1" x14ac:dyDescent="0.25"/>
    <row r="35287" hidden="1" x14ac:dyDescent="0.25"/>
    <row r="35288" hidden="1" x14ac:dyDescent="0.25"/>
    <row r="35289" hidden="1" x14ac:dyDescent="0.25"/>
    <row r="35290" hidden="1" x14ac:dyDescent="0.25"/>
    <row r="35291" hidden="1" x14ac:dyDescent="0.25"/>
    <row r="35292" hidden="1" x14ac:dyDescent="0.25"/>
    <row r="35293" hidden="1" x14ac:dyDescent="0.25"/>
    <row r="35294" hidden="1" x14ac:dyDescent="0.25"/>
    <row r="35295" hidden="1" x14ac:dyDescent="0.25"/>
    <row r="35296" hidden="1" x14ac:dyDescent="0.25"/>
    <row r="35297" hidden="1" x14ac:dyDescent="0.25"/>
    <row r="35298" hidden="1" x14ac:dyDescent="0.25"/>
    <row r="35299" hidden="1" x14ac:dyDescent="0.25"/>
    <row r="35300" hidden="1" x14ac:dyDescent="0.25"/>
    <row r="35301" hidden="1" x14ac:dyDescent="0.25"/>
    <row r="35302" hidden="1" x14ac:dyDescent="0.25"/>
    <row r="35303" hidden="1" x14ac:dyDescent="0.25"/>
    <row r="35304" hidden="1" x14ac:dyDescent="0.25"/>
    <row r="35305" hidden="1" x14ac:dyDescent="0.25"/>
    <row r="35306" hidden="1" x14ac:dyDescent="0.25"/>
    <row r="35307" hidden="1" x14ac:dyDescent="0.25"/>
    <row r="35308" hidden="1" x14ac:dyDescent="0.25"/>
    <row r="35309" hidden="1" x14ac:dyDescent="0.25"/>
    <row r="35310" hidden="1" x14ac:dyDescent="0.25"/>
    <row r="35311" hidden="1" x14ac:dyDescent="0.25"/>
    <row r="35312" hidden="1" x14ac:dyDescent="0.25"/>
    <row r="35313" hidden="1" x14ac:dyDescent="0.25"/>
    <row r="35314" hidden="1" x14ac:dyDescent="0.25"/>
    <row r="35315" hidden="1" x14ac:dyDescent="0.25"/>
    <row r="35316" hidden="1" x14ac:dyDescent="0.25"/>
    <row r="35317" hidden="1" x14ac:dyDescent="0.25"/>
    <row r="35318" hidden="1" x14ac:dyDescent="0.25"/>
    <row r="35319" hidden="1" x14ac:dyDescent="0.25"/>
    <row r="35320" hidden="1" x14ac:dyDescent="0.25"/>
    <row r="35321" hidden="1" x14ac:dyDescent="0.25"/>
    <row r="35322" hidden="1" x14ac:dyDescent="0.25"/>
    <row r="35323" hidden="1" x14ac:dyDescent="0.25"/>
    <row r="35324" hidden="1" x14ac:dyDescent="0.25"/>
    <row r="35325" hidden="1" x14ac:dyDescent="0.25"/>
    <row r="35326" hidden="1" x14ac:dyDescent="0.25"/>
    <row r="35327" hidden="1" x14ac:dyDescent="0.25"/>
    <row r="35328" hidden="1" x14ac:dyDescent="0.25"/>
    <row r="35329" hidden="1" x14ac:dyDescent="0.25"/>
    <row r="35330" hidden="1" x14ac:dyDescent="0.25"/>
    <row r="35331" hidden="1" x14ac:dyDescent="0.25"/>
    <row r="35332" hidden="1" x14ac:dyDescent="0.25"/>
    <row r="35333" hidden="1" x14ac:dyDescent="0.25"/>
    <row r="35334" hidden="1" x14ac:dyDescent="0.25"/>
    <row r="35335" hidden="1" x14ac:dyDescent="0.25"/>
    <row r="35336" hidden="1" x14ac:dyDescent="0.25"/>
    <row r="35337" hidden="1" x14ac:dyDescent="0.25"/>
    <row r="35338" hidden="1" x14ac:dyDescent="0.25"/>
    <row r="35339" hidden="1" x14ac:dyDescent="0.25"/>
    <row r="35340" hidden="1" x14ac:dyDescent="0.25"/>
    <row r="35341" hidden="1" x14ac:dyDescent="0.25"/>
    <row r="35342" hidden="1" x14ac:dyDescent="0.25"/>
    <row r="35343" hidden="1" x14ac:dyDescent="0.25"/>
    <row r="35344" hidden="1" x14ac:dyDescent="0.25"/>
    <row r="35345" hidden="1" x14ac:dyDescent="0.25"/>
    <row r="35346" hidden="1" x14ac:dyDescent="0.25"/>
    <row r="35347" hidden="1" x14ac:dyDescent="0.25"/>
    <row r="35348" hidden="1" x14ac:dyDescent="0.25"/>
    <row r="35349" hidden="1" x14ac:dyDescent="0.25"/>
    <row r="35350" hidden="1" x14ac:dyDescent="0.25"/>
    <row r="35351" hidden="1" x14ac:dyDescent="0.25"/>
    <row r="35352" hidden="1" x14ac:dyDescent="0.25"/>
    <row r="35353" hidden="1" x14ac:dyDescent="0.25"/>
    <row r="35354" hidden="1" x14ac:dyDescent="0.25"/>
    <row r="35355" hidden="1" x14ac:dyDescent="0.25"/>
    <row r="35356" hidden="1" x14ac:dyDescent="0.25"/>
    <row r="35357" hidden="1" x14ac:dyDescent="0.25"/>
    <row r="35358" hidden="1" x14ac:dyDescent="0.25"/>
    <row r="35359" hidden="1" x14ac:dyDescent="0.25"/>
    <row r="35360" hidden="1" x14ac:dyDescent="0.25"/>
    <row r="35361" hidden="1" x14ac:dyDescent="0.25"/>
    <row r="35362" hidden="1" x14ac:dyDescent="0.25"/>
    <row r="35363" hidden="1" x14ac:dyDescent="0.25"/>
    <row r="35364" hidden="1" x14ac:dyDescent="0.25"/>
    <row r="35365" hidden="1" x14ac:dyDescent="0.25"/>
    <row r="35366" hidden="1" x14ac:dyDescent="0.25"/>
    <row r="35367" hidden="1" x14ac:dyDescent="0.25"/>
    <row r="35368" hidden="1" x14ac:dyDescent="0.25"/>
    <row r="35369" hidden="1" x14ac:dyDescent="0.25"/>
    <row r="35370" hidden="1" x14ac:dyDescent="0.25"/>
    <row r="35371" hidden="1" x14ac:dyDescent="0.25"/>
    <row r="35372" hidden="1" x14ac:dyDescent="0.25"/>
    <row r="35373" hidden="1" x14ac:dyDescent="0.25"/>
    <row r="35374" hidden="1" x14ac:dyDescent="0.25"/>
    <row r="35375" hidden="1" x14ac:dyDescent="0.25"/>
    <row r="35376" hidden="1" x14ac:dyDescent="0.25"/>
    <row r="35377" hidden="1" x14ac:dyDescent="0.25"/>
    <row r="35378" hidden="1" x14ac:dyDescent="0.25"/>
    <row r="35379" hidden="1" x14ac:dyDescent="0.25"/>
    <row r="35380" hidden="1" x14ac:dyDescent="0.25"/>
    <row r="35381" hidden="1" x14ac:dyDescent="0.25"/>
    <row r="35382" hidden="1" x14ac:dyDescent="0.25"/>
    <row r="35383" hidden="1" x14ac:dyDescent="0.25"/>
    <row r="35384" hidden="1" x14ac:dyDescent="0.25"/>
    <row r="35385" hidden="1" x14ac:dyDescent="0.25"/>
    <row r="35386" hidden="1" x14ac:dyDescent="0.25"/>
    <row r="35387" hidden="1" x14ac:dyDescent="0.25"/>
    <row r="35388" hidden="1" x14ac:dyDescent="0.25"/>
    <row r="35389" hidden="1" x14ac:dyDescent="0.25"/>
    <row r="35390" hidden="1" x14ac:dyDescent="0.25"/>
    <row r="35391" hidden="1" x14ac:dyDescent="0.25"/>
    <row r="35392" hidden="1" x14ac:dyDescent="0.25"/>
    <row r="35393" hidden="1" x14ac:dyDescent="0.25"/>
    <row r="35394" hidden="1" x14ac:dyDescent="0.25"/>
    <row r="35395" hidden="1" x14ac:dyDescent="0.25"/>
    <row r="35396" hidden="1" x14ac:dyDescent="0.25"/>
    <row r="35397" hidden="1" x14ac:dyDescent="0.25"/>
    <row r="35398" hidden="1" x14ac:dyDescent="0.25"/>
    <row r="35399" hidden="1" x14ac:dyDescent="0.25"/>
    <row r="35400" hidden="1" x14ac:dyDescent="0.25"/>
    <row r="35401" hidden="1" x14ac:dyDescent="0.25"/>
    <row r="35402" hidden="1" x14ac:dyDescent="0.25"/>
    <row r="35403" hidden="1" x14ac:dyDescent="0.25"/>
    <row r="35404" hidden="1" x14ac:dyDescent="0.25"/>
    <row r="35405" hidden="1" x14ac:dyDescent="0.25"/>
    <row r="35406" hidden="1" x14ac:dyDescent="0.25"/>
    <row r="35407" hidden="1" x14ac:dyDescent="0.25"/>
    <row r="35408" hidden="1" x14ac:dyDescent="0.25"/>
    <row r="35409" hidden="1" x14ac:dyDescent="0.25"/>
    <row r="35410" hidden="1" x14ac:dyDescent="0.25"/>
    <row r="35411" hidden="1" x14ac:dyDescent="0.25"/>
    <row r="35412" hidden="1" x14ac:dyDescent="0.25"/>
    <row r="35413" hidden="1" x14ac:dyDescent="0.25"/>
    <row r="35414" hidden="1" x14ac:dyDescent="0.25"/>
    <row r="35415" hidden="1" x14ac:dyDescent="0.25"/>
    <row r="35416" hidden="1" x14ac:dyDescent="0.25"/>
    <row r="35417" hidden="1" x14ac:dyDescent="0.25"/>
    <row r="35418" hidden="1" x14ac:dyDescent="0.25"/>
    <row r="35419" hidden="1" x14ac:dyDescent="0.25"/>
    <row r="35420" hidden="1" x14ac:dyDescent="0.25"/>
    <row r="35421" hidden="1" x14ac:dyDescent="0.25"/>
    <row r="35422" hidden="1" x14ac:dyDescent="0.25"/>
    <row r="35423" hidden="1" x14ac:dyDescent="0.25"/>
    <row r="35424" hidden="1" x14ac:dyDescent="0.25"/>
    <row r="35425" hidden="1" x14ac:dyDescent="0.25"/>
    <row r="35426" hidden="1" x14ac:dyDescent="0.25"/>
    <row r="35427" hidden="1" x14ac:dyDescent="0.25"/>
    <row r="35428" hidden="1" x14ac:dyDescent="0.25"/>
    <row r="35429" hidden="1" x14ac:dyDescent="0.25"/>
    <row r="35430" hidden="1" x14ac:dyDescent="0.25"/>
    <row r="35431" hidden="1" x14ac:dyDescent="0.25"/>
    <row r="35432" hidden="1" x14ac:dyDescent="0.25"/>
    <row r="35433" hidden="1" x14ac:dyDescent="0.25"/>
    <row r="35434" hidden="1" x14ac:dyDescent="0.25"/>
    <row r="35435" hidden="1" x14ac:dyDescent="0.25"/>
    <row r="35436" hidden="1" x14ac:dyDescent="0.25"/>
    <row r="35437" hidden="1" x14ac:dyDescent="0.25"/>
    <row r="35438" hidden="1" x14ac:dyDescent="0.25"/>
    <row r="35439" hidden="1" x14ac:dyDescent="0.25"/>
    <row r="35440" hidden="1" x14ac:dyDescent="0.25"/>
    <row r="35441" hidden="1" x14ac:dyDescent="0.25"/>
    <row r="35442" hidden="1" x14ac:dyDescent="0.25"/>
    <row r="35443" hidden="1" x14ac:dyDescent="0.25"/>
    <row r="35444" hidden="1" x14ac:dyDescent="0.25"/>
    <row r="35445" hidden="1" x14ac:dyDescent="0.25"/>
    <row r="35446" hidden="1" x14ac:dyDescent="0.25"/>
    <row r="35447" hidden="1" x14ac:dyDescent="0.25"/>
    <row r="35448" hidden="1" x14ac:dyDescent="0.25"/>
    <row r="35449" hidden="1" x14ac:dyDescent="0.25"/>
    <row r="35450" hidden="1" x14ac:dyDescent="0.25"/>
    <row r="35451" hidden="1" x14ac:dyDescent="0.25"/>
    <row r="35452" hidden="1" x14ac:dyDescent="0.25"/>
    <row r="35453" hidden="1" x14ac:dyDescent="0.25"/>
    <row r="35454" hidden="1" x14ac:dyDescent="0.25"/>
    <row r="35455" hidden="1" x14ac:dyDescent="0.25"/>
    <row r="35456" hidden="1" x14ac:dyDescent="0.25"/>
    <row r="35457" hidden="1" x14ac:dyDescent="0.25"/>
    <row r="35458" hidden="1" x14ac:dyDescent="0.25"/>
    <row r="35459" hidden="1" x14ac:dyDescent="0.25"/>
    <row r="35460" hidden="1" x14ac:dyDescent="0.25"/>
    <row r="35461" hidden="1" x14ac:dyDescent="0.25"/>
    <row r="35462" hidden="1" x14ac:dyDescent="0.25"/>
    <row r="35463" hidden="1" x14ac:dyDescent="0.25"/>
    <row r="35464" hidden="1" x14ac:dyDescent="0.25"/>
    <row r="35465" hidden="1" x14ac:dyDescent="0.25"/>
    <row r="35466" hidden="1" x14ac:dyDescent="0.25"/>
    <row r="35467" hidden="1" x14ac:dyDescent="0.25"/>
    <row r="35468" hidden="1" x14ac:dyDescent="0.25"/>
    <row r="35469" hidden="1" x14ac:dyDescent="0.25"/>
    <row r="35470" hidden="1" x14ac:dyDescent="0.25"/>
    <row r="35471" hidden="1" x14ac:dyDescent="0.25"/>
    <row r="35472" hidden="1" x14ac:dyDescent="0.25"/>
    <row r="35473" hidden="1" x14ac:dyDescent="0.25"/>
    <row r="35474" hidden="1" x14ac:dyDescent="0.25"/>
    <row r="35475" hidden="1" x14ac:dyDescent="0.25"/>
    <row r="35476" hidden="1" x14ac:dyDescent="0.25"/>
    <row r="35477" hidden="1" x14ac:dyDescent="0.25"/>
    <row r="35478" hidden="1" x14ac:dyDescent="0.25"/>
    <row r="35479" hidden="1" x14ac:dyDescent="0.25"/>
    <row r="35480" hidden="1" x14ac:dyDescent="0.25"/>
    <row r="35481" hidden="1" x14ac:dyDescent="0.25"/>
    <row r="35482" hidden="1" x14ac:dyDescent="0.25"/>
    <row r="35483" hidden="1" x14ac:dyDescent="0.25"/>
    <row r="35484" hidden="1" x14ac:dyDescent="0.25"/>
    <row r="35485" hidden="1" x14ac:dyDescent="0.25"/>
    <row r="35486" hidden="1" x14ac:dyDescent="0.25"/>
    <row r="35487" hidden="1" x14ac:dyDescent="0.25"/>
    <row r="35488" hidden="1" x14ac:dyDescent="0.25"/>
    <row r="35489" hidden="1" x14ac:dyDescent="0.25"/>
    <row r="35490" hidden="1" x14ac:dyDescent="0.25"/>
    <row r="35491" hidden="1" x14ac:dyDescent="0.25"/>
    <row r="35492" hidden="1" x14ac:dyDescent="0.25"/>
    <row r="35493" hidden="1" x14ac:dyDescent="0.25"/>
    <row r="35494" hidden="1" x14ac:dyDescent="0.25"/>
    <row r="35495" hidden="1" x14ac:dyDescent="0.25"/>
    <row r="35496" hidden="1" x14ac:dyDescent="0.25"/>
    <row r="35497" hidden="1" x14ac:dyDescent="0.25"/>
    <row r="35498" hidden="1" x14ac:dyDescent="0.25"/>
    <row r="35499" hidden="1" x14ac:dyDescent="0.25"/>
    <row r="35500" hidden="1" x14ac:dyDescent="0.25"/>
    <row r="35501" hidden="1" x14ac:dyDescent="0.25"/>
    <row r="35502" hidden="1" x14ac:dyDescent="0.25"/>
    <row r="35503" hidden="1" x14ac:dyDescent="0.25"/>
    <row r="35504" hidden="1" x14ac:dyDescent="0.25"/>
    <row r="35505" hidden="1" x14ac:dyDescent="0.25"/>
    <row r="35506" hidden="1" x14ac:dyDescent="0.25"/>
    <row r="35507" hidden="1" x14ac:dyDescent="0.25"/>
    <row r="35508" hidden="1" x14ac:dyDescent="0.25"/>
    <row r="35509" hidden="1" x14ac:dyDescent="0.25"/>
    <row r="35510" hidden="1" x14ac:dyDescent="0.25"/>
    <row r="35511" hidden="1" x14ac:dyDescent="0.25"/>
    <row r="35512" hidden="1" x14ac:dyDescent="0.25"/>
    <row r="35513" hidden="1" x14ac:dyDescent="0.25"/>
    <row r="35514" hidden="1" x14ac:dyDescent="0.25"/>
    <row r="35515" hidden="1" x14ac:dyDescent="0.25"/>
    <row r="35516" hidden="1" x14ac:dyDescent="0.25"/>
    <row r="35517" hidden="1" x14ac:dyDescent="0.25"/>
    <row r="35518" hidden="1" x14ac:dyDescent="0.25"/>
    <row r="35519" hidden="1" x14ac:dyDescent="0.25"/>
    <row r="35520" hidden="1" x14ac:dyDescent="0.25"/>
    <row r="35521" hidden="1" x14ac:dyDescent="0.25"/>
    <row r="35522" hidden="1" x14ac:dyDescent="0.25"/>
    <row r="35523" hidden="1" x14ac:dyDescent="0.25"/>
    <row r="35524" hidden="1" x14ac:dyDescent="0.25"/>
    <row r="35525" hidden="1" x14ac:dyDescent="0.25"/>
    <row r="35526" hidden="1" x14ac:dyDescent="0.25"/>
    <row r="35527" hidden="1" x14ac:dyDescent="0.25"/>
    <row r="35528" hidden="1" x14ac:dyDescent="0.25"/>
    <row r="35529" hidden="1" x14ac:dyDescent="0.25"/>
    <row r="35530" hidden="1" x14ac:dyDescent="0.25"/>
    <row r="35531" hidden="1" x14ac:dyDescent="0.25"/>
    <row r="35532" hidden="1" x14ac:dyDescent="0.25"/>
    <row r="35533" hidden="1" x14ac:dyDescent="0.25"/>
    <row r="35534" hidden="1" x14ac:dyDescent="0.25"/>
    <row r="35535" hidden="1" x14ac:dyDescent="0.25"/>
    <row r="35536" hidden="1" x14ac:dyDescent="0.25"/>
    <row r="35537" hidden="1" x14ac:dyDescent="0.25"/>
    <row r="35538" hidden="1" x14ac:dyDescent="0.25"/>
    <row r="35539" hidden="1" x14ac:dyDescent="0.25"/>
    <row r="35540" hidden="1" x14ac:dyDescent="0.25"/>
    <row r="35541" hidden="1" x14ac:dyDescent="0.25"/>
    <row r="35542" hidden="1" x14ac:dyDescent="0.25"/>
    <row r="35543" hidden="1" x14ac:dyDescent="0.25"/>
    <row r="35544" hidden="1" x14ac:dyDescent="0.25"/>
    <row r="35545" hidden="1" x14ac:dyDescent="0.25"/>
    <row r="35546" hidden="1" x14ac:dyDescent="0.25"/>
    <row r="35547" hidden="1" x14ac:dyDescent="0.25"/>
    <row r="35548" hidden="1" x14ac:dyDescent="0.25"/>
    <row r="35549" hidden="1" x14ac:dyDescent="0.25"/>
    <row r="35550" hidden="1" x14ac:dyDescent="0.25"/>
    <row r="35551" hidden="1" x14ac:dyDescent="0.25"/>
    <row r="35552" hidden="1" x14ac:dyDescent="0.25"/>
    <row r="35553" hidden="1" x14ac:dyDescent="0.25"/>
    <row r="35554" hidden="1" x14ac:dyDescent="0.25"/>
    <row r="35555" hidden="1" x14ac:dyDescent="0.25"/>
    <row r="35556" hidden="1" x14ac:dyDescent="0.25"/>
    <row r="35557" hidden="1" x14ac:dyDescent="0.25"/>
    <row r="35558" hidden="1" x14ac:dyDescent="0.25"/>
    <row r="35559" hidden="1" x14ac:dyDescent="0.25"/>
    <row r="35560" hidden="1" x14ac:dyDescent="0.25"/>
    <row r="35561" hidden="1" x14ac:dyDescent="0.25"/>
    <row r="35562" hidden="1" x14ac:dyDescent="0.25"/>
    <row r="35563" hidden="1" x14ac:dyDescent="0.25"/>
    <row r="35564" hidden="1" x14ac:dyDescent="0.25"/>
    <row r="35565" hidden="1" x14ac:dyDescent="0.25"/>
    <row r="35566" hidden="1" x14ac:dyDescent="0.25"/>
    <row r="35567" hidden="1" x14ac:dyDescent="0.25"/>
    <row r="35568" hidden="1" x14ac:dyDescent="0.25"/>
    <row r="35569" hidden="1" x14ac:dyDescent="0.25"/>
    <row r="35570" hidden="1" x14ac:dyDescent="0.25"/>
    <row r="35571" hidden="1" x14ac:dyDescent="0.25"/>
    <row r="35572" hidden="1" x14ac:dyDescent="0.25"/>
    <row r="35573" hidden="1" x14ac:dyDescent="0.25"/>
    <row r="35574" hidden="1" x14ac:dyDescent="0.25"/>
    <row r="35575" hidden="1" x14ac:dyDescent="0.25"/>
    <row r="35576" hidden="1" x14ac:dyDescent="0.25"/>
    <row r="35577" hidden="1" x14ac:dyDescent="0.25"/>
    <row r="35578" hidden="1" x14ac:dyDescent="0.25"/>
    <row r="35579" hidden="1" x14ac:dyDescent="0.25"/>
    <row r="35580" hidden="1" x14ac:dyDescent="0.25"/>
    <row r="35581" hidden="1" x14ac:dyDescent="0.25"/>
    <row r="35582" hidden="1" x14ac:dyDescent="0.25"/>
    <row r="35583" hidden="1" x14ac:dyDescent="0.25"/>
    <row r="35584" hidden="1" x14ac:dyDescent="0.25"/>
    <row r="35585" hidden="1" x14ac:dyDescent="0.25"/>
    <row r="35586" hidden="1" x14ac:dyDescent="0.25"/>
    <row r="35587" hidden="1" x14ac:dyDescent="0.25"/>
    <row r="35588" hidden="1" x14ac:dyDescent="0.25"/>
    <row r="35589" hidden="1" x14ac:dyDescent="0.25"/>
    <row r="35590" hidden="1" x14ac:dyDescent="0.25"/>
    <row r="35591" hidden="1" x14ac:dyDescent="0.25"/>
    <row r="35592" hidden="1" x14ac:dyDescent="0.25"/>
    <row r="35593" hidden="1" x14ac:dyDescent="0.25"/>
    <row r="35594" hidden="1" x14ac:dyDescent="0.25"/>
    <row r="35595" hidden="1" x14ac:dyDescent="0.25"/>
    <row r="35596" hidden="1" x14ac:dyDescent="0.25"/>
    <row r="35597" hidden="1" x14ac:dyDescent="0.25"/>
    <row r="35598" hidden="1" x14ac:dyDescent="0.25"/>
    <row r="35599" hidden="1" x14ac:dyDescent="0.25"/>
    <row r="35600" hidden="1" x14ac:dyDescent="0.25"/>
    <row r="35601" hidden="1" x14ac:dyDescent="0.25"/>
    <row r="35602" hidden="1" x14ac:dyDescent="0.25"/>
    <row r="35603" hidden="1" x14ac:dyDescent="0.25"/>
    <row r="35604" hidden="1" x14ac:dyDescent="0.25"/>
    <row r="35605" hidden="1" x14ac:dyDescent="0.25"/>
    <row r="35606" hidden="1" x14ac:dyDescent="0.25"/>
    <row r="35607" hidden="1" x14ac:dyDescent="0.25"/>
    <row r="35608" hidden="1" x14ac:dyDescent="0.25"/>
    <row r="35609" hidden="1" x14ac:dyDescent="0.25"/>
    <row r="35610" hidden="1" x14ac:dyDescent="0.25"/>
    <row r="35611" hidden="1" x14ac:dyDescent="0.25"/>
    <row r="35612" hidden="1" x14ac:dyDescent="0.25"/>
    <row r="35613" hidden="1" x14ac:dyDescent="0.25"/>
    <row r="35614" hidden="1" x14ac:dyDescent="0.25"/>
    <row r="35615" hidden="1" x14ac:dyDescent="0.25"/>
    <row r="35616" hidden="1" x14ac:dyDescent="0.25"/>
    <row r="35617" hidden="1" x14ac:dyDescent="0.25"/>
    <row r="35618" hidden="1" x14ac:dyDescent="0.25"/>
    <row r="35619" hidden="1" x14ac:dyDescent="0.25"/>
    <row r="35620" hidden="1" x14ac:dyDescent="0.25"/>
    <row r="35621" hidden="1" x14ac:dyDescent="0.25"/>
    <row r="35622" hidden="1" x14ac:dyDescent="0.25"/>
    <row r="35623" hidden="1" x14ac:dyDescent="0.25"/>
    <row r="35624" hidden="1" x14ac:dyDescent="0.25"/>
    <row r="35625" hidden="1" x14ac:dyDescent="0.25"/>
    <row r="35626" hidden="1" x14ac:dyDescent="0.25"/>
    <row r="35627" hidden="1" x14ac:dyDescent="0.25"/>
    <row r="35628" hidden="1" x14ac:dyDescent="0.25"/>
    <row r="35629" hidden="1" x14ac:dyDescent="0.25"/>
    <row r="35630" hidden="1" x14ac:dyDescent="0.25"/>
    <row r="35631" hidden="1" x14ac:dyDescent="0.25"/>
    <row r="35632" hidden="1" x14ac:dyDescent="0.25"/>
    <row r="35633" hidden="1" x14ac:dyDescent="0.25"/>
    <row r="35634" hidden="1" x14ac:dyDescent="0.25"/>
    <row r="35635" hidden="1" x14ac:dyDescent="0.25"/>
    <row r="35636" hidden="1" x14ac:dyDescent="0.25"/>
    <row r="35637" hidden="1" x14ac:dyDescent="0.25"/>
    <row r="35638" hidden="1" x14ac:dyDescent="0.25"/>
    <row r="35639" hidden="1" x14ac:dyDescent="0.25"/>
    <row r="35640" hidden="1" x14ac:dyDescent="0.25"/>
    <row r="35641" hidden="1" x14ac:dyDescent="0.25"/>
    <row r="35642" hidden="1" x14ac:dyDescent="0.25"/>
    <row r="35643" hidden="1" x14ac:dyDescent="0.25"/>
    <row r="35644" hidden="1" x14ac:dyDescent="0.25"/>
    <row r="35645" hidden="1" x14ac:dyDescent="0.25"/>
    <row r="35646" hidden="1" x14ac:dyDescent="0.25"/>
    <row r="35647" hidden="1" x14ac:dyDescent="0.25"/>
    <row r="35648" hidden="1" x14ac:dyDescent="0.25"/>
    <row r="35649" hidden="1" x14ac:dyDescent="0.25"/>
    <row r="35650" hidden="1" x14ac:dyDescent="0.25"/>
    <row r="35651" hidden="1" x14ac:dyDescent="0.25"/>
    <row r="35652" hidden="1" x14ac:dyDescent="0.25"/>
    <row r="35653" hidden="1" x14ac:dyDescent="0.25"/>
    <row r="35654" hidden="1" x14ac:dyDescent="0.25"/>
    <row r="35655" hidden="1" x14ac:dyDescent="0.25"/>
    <row r="35656" hidden="1" x14ac:dyDescent="0.25"/>
    <row r="35657" hidden="1" x14ac:dyDescent="0.25"/>
    <row r="35658" hidden="1" x14ac:dyDescent="0.25"/>
    <row r="35659" hidden="1" x14ac:dyDescent="0.25"/>
    <row r="35660" hidden="1" x14ac:dyDescent="0.25"/>
    <row r="35661" hidden="1" x14ac:dyDescent="0.25"/>
    <row r="35662" hidden="1" x14ac:dyDescent="0.25"/>
    <row r="35663" hidden="1" x14ac:dyDescent="0.25"/>
    <row r="35664" hidden="1" x14ac:dyDescent="0.25"/>
    <row r="35665" hidden="1" x14ac:dyDescent="0.25"/>
    <row r="35666" hidden="1" x14ac:dyDescent="0.25"/>
    <row r="35667" hidden="1" x14ac:dyDescent="0.25"/>
    <row r="35668" hidden="1" x14ac:dyDescent="0.25"/>
    <row r="35669" hidden="1" x14ac:dyDescent="0.25"/>
    <row r="35670" hidden="1" x14ac:dyDescent="0.25"/>
    <row r="35671" hidden="1" x14ac:dyDescent="0.25"/>
    <row r="35672" hidden="1" x14ac:dyDescent="0.25"/>
    <row r="35673" hidden="1" x14ac:dyDescent="0.25"/>
    <row r="35674" hidden="1" x14ac:dyDescent="0.25"/>
    <row r="35675" hidden="1" x14ac:dyDescent="0.25"/>
    <row r="35676" hidden="1" x14ac:dyDescent="0.25"/>
    <row r="35677" hidden="1" x14ac:dyDescent="0.25"/>
    <row r="35678" hidden="1" x14ac:dyDescent="0.25"/>
    <row r="35679" hidden="1" x14ac:dyDescent="0.25"/>
    <row r="35680" hidden="1" x14ac:dyDescent="0.25"/>
    <row r="35681" hidden="1" x14ac:dyDescent="0.25"/>
    <row r="35682" hidden="1" x14ac:dyDescent="0.25"/>
    <row r="35683" hidden="1" x14ac:dyDescent="0.25"/>
    <row r="35684" hidden="1" x14ac:dyDescent="0.25"/>
    <row r="35685" hidden="1" x14ac:dyDescent="0.25"/>
    <row r="35686" hidden="1" x14ac:dyDescent="0.25"/>
    <row r="35687" hidden="1" x14ac:dyDescent="0.25"/>
    <row r="35688" hidden="1" x14ac:dyDescent="0.25"/>
    <row r="35689" hidden="1" x14ac:dyDescent="0.25"/>
    <row r="35690" hidden="1" x14ac:dyDescent="0.25"/>
    <row r="35691" hidden="1" x14ac:dyDescent="0.25"/>
    <row r="35692" hidden="1" x14ac:dyDescent="0.25"/>
    <row r="35693" hidden="1" x14ac:dyDescent="0.25"/>
    <row r="35694" hidden="1" x14ac:dyDescent="0.25"/>
    <row r="35695" hidden="1" x14ac:dyDescent="0.25"/>
    <row r="35696" hidden="1" x14ac:dyDescent="0.25"/>
    <row r="35697" hidden="1" x14ac:dyDescent="0.25"/>
    <row r="35698" hidden="1" x14ac:dyDescent="0.25"/>
    <row r="35699" hidden="1" x14ac:dyDescent="0.25"/>
    <row r="35700" hidden="1" x14ac:dyDescent="0.25"/>
    <row r="35701" hidden="1" x14ac:dyDescent="0.25"/>
    <row r="35702" hidden="1" x14ac:dyDescent="0.25"/>
    <row r="35703" hidden="1" x14ac:dyDescent="0.25"/>
    <row r="35704" hidden="1" x14ac:dyDescent="0.25"/>
    <row r="35705" hidden="1" x14ac:dyDescent="0.25"/>
    <row r="35706" hidden="1" x14ac:dyDescent="0.25"/>
    <row r="35707" hidden="1" x14ac:dyDescent="0.25"/>
    <row r="35708" hidden="1" x14ac:dyDescent="0.25"/>
    <row r="35709" hidden="1" x14ac:dyDescent="0.25"/>
    <row r="35710" hidden="1" x14ac:dyDescent="0.25"/>
    <row r="35711" hidden="1" x14ac:dyDescent="0.25"/>
    <row r="35712" hidden="1" x14ac:dyDescent="0.25"/>
    <row r="35713" hidden="1" x14ac:dyDescent="0.25"/>
    <row r="35714" hidden="1" x14ac:dyDescent="0.25"/>
    <row r="35715" hidden="1" x14ac:dyDescent="0.25"/>
    <row r="35716" hidden="1" x14ac:dyDescent="0.25"/>
    <row r="35717" hidden="1" x14ac:dyDescent="0.25"/>
    <row r="35718" hidden="1" x14ac:dyDescent="0.25"/>
    <row r="35719" hidden="1" x14ac:dyDescent="0.25"/>
    <row r="35720" hidden="1" x14ac:dyDescent="0.25"/>
    <row r="35721" hidden="1" x14ac:dyDescent="0.25"/>
    <row r="35722" hidden="1" x14ac:dyDescent="0.25"/>
    <row r="35723" hidden="1" x14ac:dyDescent="0.25"/>
    <row r="35724" hidden="1" x14ac:dyDescent="0.25"/>
    <row r="35725" hidden="1" x14ac:dyDescent="0.25"/>
    <row r="35726" hidden="1" x14ac:dyDescent="0.25"/>
    <row r="35727" hidden="1" x14ac:dyDescent="0.25"/>
    <row r="35728" hidden="1" x14ac:dyDescent="0.25"/>
    <row r="35729" hidden="1" x14ac:dyDescent="0.25"/>
    <row r="35730" hidden="1" x14ac:dyDescent="0.25"/>
    <row r="35731" hidden="1" x14ac:dyDescent="0.25"/>
    <row r="35732" hidden="1" x14ac:dyDescent="0.25"/>
    <row r="35733" hidden="1" x14ac:dyDescent="0.25"/>
    <row r="35734" hidden="1" x14ac:dyDescent="0.25"/>
    <row r="35735" hidden="1" x14ac:dyDescent="0.25"/>
    <row r="35736" hidden="1" x14ac:dyDescent="0.25"/>
    <row r="35737" hidden="1" x14ac:dyDescent="0.25"/>
    <row r="35738" hidden="1" x14ac:dyDescent="0.25"/>
    <row r="35739" hidden="1" x14ac:dyDescent="0.25"/>
    <row r="35740" hidden="1" x14ac:dyDescent="0.25"/>
    <row r="35741" hidden="1" x14ac:dyDescent="0.25"/>
    <row r="35742" hidden="1" x14ac:dyDescent="0.25"/>
    <row r="35743" hidden="1" x14ac:dyDescent="0.25"/>
    <row r="35744" hidden="1" x14ac:dyDescent="0.25"/>
    <row r="35745" hidden="1" x14ac:dyDescent="0.25"/>
    <row r="35746" hidden="1" x14ac:dyDescent="0.25"/>
    <row r="35747" hidden="1" x14ac:dyDescent="0.25"/>
    <row r="35748" hidden="1" x14ac:dyDescent="0.25"/>
    <row r="35749" hidden="1" x14ac:dyDescent="0.25"/>
    <row r="35750" hidden="1" x14ac:dyDescent="0.25"/>
    <row r="35751" hidden="1" x14ac:dyDescent="0.25"/>
    <row r="35752" hidden="1" x14ac:dyDescent="0.25"/>
    <row r="35753" hidden="1" x14ac:dyDescent="0.25"/>
    <row r="35754" hidden="1" x14ac:dyDescent="0.25"/>
    <row r="35755" hidden="1" x14ac:dyDescent="0.25"/>
    <row r="35756" hidden="1" x14ac:dyDescent="0.25"/>
    <row r="35757" hidden="1" x14ac:dyDescent="0.25"/>
    <row r="35758" hidden="1" x14ac:dyDescent="0.25"/>
    <row r="35759" hidden="1" x14ac:dyDescent="0.25"/>
    <row r="35760" hidden="1" x14ac:dyDescent="0.25"/>
    <row r="35761" hidden="1" x14ac:dyDescent="0.25"/>
    <row r="35762" hidden="1" x14ac:dyDescent="0.25"/>
    <row r="35763" hidden="1" x14ac:dyDescent="0.25"/>
    <row r="35764" hidden="1" x14ac:dyDescent="0.25"/>
    <row r="35765" hidden="1" x14ac:dyDescent="0.25"/>
    <row r="35766" hidden="1" x14ac:dyDescent="0.25"/>
    <row r="35767" hidden="1" x14ac:dyDescent="0.25"/>
    <row r="35768" hidden="1" x14ac:dyDescent="0.25"/>
    <row r="35769" hidden="1" x14ac:dyDescent="0.25"/>
    <row r="35770" hidden="1" x14ac:dyDescent="0.25"/>
    <row r="35771" hidden="1" x14ac:dyDescent="0.25"/>
    <row r="35772" hidden="1" x14ac:dyDescent="0.25"/>
    <row r="35773" hidden="1" x14ac:dyDescent="0.25"/>
    <row r="35774" hidden="1" x14ac:dyDescent="0.25"/>
    <row r="35775" hidden="1" x14ac:dyDescent="0.25"/>
    <row r="35776" hidden="1" x14ac:dyDescent="0.25"/>
    <row r="35777" hidden="1" x14ac:dyDescent="0.25"/>
    <row r="35778" hidden="1" x14ac:dyDescent="0.25"/>
    <row r="35779" hidden="1" x14ac:dyDescent="0.25"/>
    <row r="35780" hidden="1" x14ac:dyDescent="0.25"/>
    <row r="35781" hidden="1" x14ac:dyDescent="0.25"/>
    <row r="35782" hidden="1" x14ac:dyDescent="0.25"/>
    <row r="35783" hidden="1" x14ac:dyDescent="0.25"/>
    <row r="35784" hidden="1" x14ac:dyDescent="0.25"/>
    <row r="35785" hidden="1" x14ac:dyDescent="0.25"/>
    <row r="35786" hidden="1" x14ac:dyDescent="0.25"/>
    <row r="35787" hidden="1" x14ac:dyDescent="0.25"/>
    <row r="35788" hidden="1" x14ac:dyDescent="0.25"/>
    <row r="35789" hidden="1" x14ac:dyDescent="0.25"/>
    <row r="35790" hidden="1" x14ac:dyDescent="0.25"/>
    <row r="35791" hidden="1" x14ac:dyDescent="0.25"/>
    <row r="35792" hidden="1" x14ac:dyDescent="0.25"/>
    <row r="35793" hidden="1" x14ac:dyDescent="0.25"/>
    <row r="35794" hidden="1" x14ac:dyDescent="0.25"/>
    <row r="35795" hidden="1" x14ac:dyDescent="0.25"/>
    <row r="35796" hidden="1" x14ac:dyDescent="0.25"/>
    <row r="35797" hidden="1" x14ac:dyDescent="0.25"/>
    <row r="35798" hidden="1" x14ac:dyDescent="0.25"/>
    <row r="35799" hidden="1" x14ac:dyDescent="0.25"/>
    <row r="35800" hidden="1" x14ac:dyDescent="0.25"/>
    <row r="35801" hidden="1" x14ac:dyDescent="0.25"/>
    <row r="35802" hidden="1" x14ac:dyDescent="0.25"/>
    <row r="35803" hidden="1" x14ac:dyDescent="0.25"/>
    <row r="35804" hidden="1" x14ac:dyDescent="0.25"/>
    <row r="35805" hidden="1" x14ac:dyDescent="0.25"/>
    <row r="35806" hidden="1" x14ac:dyDescent="0.25"/>
    <row r="35807" hidden="1" x14ac:dyDescent="0.25"/>
    <row r="35808" hidden="1" x14ac:dyDescent="0.25"/>
    <row r="35809" hidden="1" x14ac:dyDescent="0.25"/>
    <row r="35810" hidden="1" x14ac:dyDescent="0.25"/>
    <row r="35811" hidden="1" x14ac:dyDescent="0.25"/>
    <row r="35812" hidden="1" x14ac:dyDescent="0.25"/>
    <row r="35813" hidden="1" x14ac:dyDescent="0.25"/>
    <row r="35814" hidden="1" x14ac:dyDescent="0.25"/>
    <row r="35815" hidden="1" x14ac:dyDescent="0.25"/>
    <row r="35816" hidden="1" x14ac:dyDescent="0.25"/>
    <row r="35817" hidden="1" x14ac:dyDescent="0.25"/>
    <row r="35818" hidden="1" x14ac:dyDescent="0.25"/>
    <row r="35819" hidden="1" x14ac:dyDescent="0.25"/>
    <row r="35820" hidden="1" x14ac:dyDescent="0.25"/>
    <row r="35821" hidden="1" x14ac:dyDescent="0.25"/>
    <row r="35822" hidden="1" x14ac:dyDescent="0.25"/>
    <row r="35823" hidden="1" x14ac:dyDescent="0.25"/>
    <row r="35824" hidden="1" x14ac:dyDescent="0.25"/>
    <row r="35825" hidden="1" x14ac:dyDescent="0.25"/>
    <row r="35826" hidden="1" x14ac:dyDescent="0.25"/>
    <row r="35827" hidden="1" x14ac:dyDescent="0.25"/>
    <row r="35828" hidden="1" x14ac:dyDescent="0.25"/>
    <row r="35829" hidden="1" x14ac:dyDescent="0.25"/>
    <row r="35830" hidden="1" x14ac:dyDescent="0.25"/>
    <row r="35831" hidden="1" x14ac:dyDescent="0.25"/>
    <row r="35832" hidden="1" x14ac:dyDescent="0.25"/>
    <row r="35833" hidden="1" x14ac:dyDescent="0.25"/>
    <row r="35834" hidden="1" x14ac:dyDescent="0.25"/>
    <row r="35835" hidden="1" x14ac:dyDescent="0.25"/>
    <row r="35836" hidden="1" x14ac:dyDescent="0.25"/>
    <row r="35837" hidden="1" x14ac:dyDescent="0.25"/>
    <row r="35838" hidden="1" x14ac:dyDescent="0.25"/>
    <row r="35839" hidden="1" x14ac:dyDescent="0.25"/>
    <row r="35840" hidden="1" x14ac:dyDescent="0.25"/>
    <row r="35841" hidden="1" x14ac:dyDescent="0.25"/>
    <row r="35842" hidden="1" x14ac:dyDescent="0.25"/>
    <row r="35843" hidden="1" x14ac:dyDescent="0.25"/>
    <row r="35844" hidden="1" x14ac:dyDescent="0.25"/>
    <row r="35845" hidden="1" x14ac:dyDescent="0.25"/>
    <row r="35846" hidden="1" x14ac:dyDescent="0.25"/>
    <row r="35847" hidden="1" x14ac:dyDescent="0.25"/>
    <row r="35848" hidden="1" x14ac:dyDescent="0.25"/>
    <row r="35849" hidden="1" x14ac:dyDescent="0.25"/>
    <row r="35850" hidden="1" x14ac:dyDescent="0.25"/>
    <row r="35851" hidden="1" x14ac:dyDescent="0.25"/>
    <row r="35852" hidden="1" x14ac:dyDescent="0.25"/>
    <row r="35853" hidden="1" x14ac:dyDescent="0.25"/>
    <row r="35854" hidden="1" x14ac:dyDescent="0.25"/>
    <row r="35855" hidden="1" x14ac:dyDescent="0.25"/>
    <row r="35856" hidden="1" x14ac:dyDescent="0.25"/>
    <row r="35857" hidden="1" x14ac:dyDescent="0.25"/>
    <row r="35858" hidden="1" x14ac:dyDescent="0.25"/>
    <row r="35859" hidden="1" x14ac:dyDescent="0.25"/>
    <row r="35860" hidden="1" x14ac:dyDescent="0.25"/>
    <row r="35861" hidden="1" x14ac:dyDescent="0.25"/>
    <row r="35862" hidden="1" x14ac:dyDescent="0.25"/>
    <row r="35863" hidden="1" x14ac:dyDescent="0.25"/>
    <row r="35864" hidden="1" x14ac:dyDescent="0.25"/>
    <row r="35865" hidden="1" x14ac:dyDescent="0.25"/>
    <row r="35866" hidden="1" x14ac:dyDescent="0.25"/>
    <row r="35867" hidden="1" x14ac:dyDescent="0.25"/>
    <row r="35868" hidden="1" x14ac:dyDescent="0.25"/>
    <row r="35869" hidden="1" x14ac:dyDescent="0.25"/>
    <row r="35870" hidden="1" x14ac:dyDescent="0.25"/>
    <row r="35871" hidden="1" x14ac:dyDescent="0.25"/>
    <row r="35872" hidden="1" x14ac:dyDescent="0.25"/>
    <row r="35873" hidden="1" x14ac:dyDescent="0.25"/>
    <row r="35874" hidden="1" x14ac:dyDescent="0.25"/>
    <row r="35875" hidden="1" x14ac:dyDescent="0.25"/>
    <row r="35876" hidden="1" x14ac:dyDescent="0.25"/>
    <row r="35877" hidden="1" x14ac:dyDescent="0.25"/>
    <row r="35878" hidden="1" x14ac:dyDescent="0.25"/>
    <row r="35879" hidden="1" x14ac:dyDescent="0.25"/>
    <row r="35880" hidden="1" x14ac:dyDescent="0.25"/>
    <row r="35881" hidden="1" x14ac:dyDescent="0.25"/>
    <row r="35882" hidden="1" x14ac:dyDescent="0.25"/>
    <row r="35883" hidden="1" x14ac:dyDescent="0.25"/>
    <row r="35884" hidden="1" x14ac:dyDescent="0.25"/>
    <row r="35885" hidden="1" x14ac:dyDescent="0.25"/>
    <row r="35886" hidden="1" x14ac:dyDescent="0.25"/>
    <row r="35887" hidden="1" x14ac:dyDescent="0.25"/>
    <row r="35888" hidden="1" x14ac:dyDescent="0.25"/>
    <row r="35889" hidden="1" x14ac:dyDescent="0.25"/>
    <row r="35890" hidden="1" x14ac:dyDescent="0.25"/>
    <row r="35891" hidden="1" x14ac:dyDescent="0.25"/>
    <row r="35892" hidden="1" x14ac:dyDescent="0.25"/>
    <row r="35893" hidden="1" x14ac:dyDescent="0.25"/>
    <row r="35894" hidden="1" x14ac:dyDescent="0.25"/>
    <row r="35895" hidden="1" x14ac:dyDescent="0.25"/>
    <row r="35896" hidden="1" x14ac:dyDescent="0.25"/>
    <row r="35897" hidden="1" x14ac:dyDescent="0.25"/>
    <row r="35898" hidden="1" x14ac:dyDescent="0.25"/>
    <row r="35899" hidden="1" x14ac:dyDescent="0.25"/>
    <row r="35900" hidden="1" x14ac:dyDescent="0.25"/>
    <row r="35901" hidden="1" x14ac:dyDescent="0.25"/>
    <row r="35902" hidden="1" x14ac:dyDescent="0.25"/>
    <row r="35903" hidden="1" x14ac:dyDescent="0.25"/>
    <row r="35904" hidden="1" x14ac:dyDescent="0.25"/>
    <row r="35905" hidden="1" x14ac:dyDescent="0.25"/>
    <row r="35906" hidden="1" x14ac:dyDescent="0.25"/>
    <row r="35907" hidden="1" x14ac:dyDescent="0.25"/>
    <row r="35908" hidden="1" x14ac:dyDescent="0.25"/>
    <row r="35909" hidden="1" x14ac:dyDescent="0.25"/>
    <row r="35910" hidden="1" x14ac:dyDescent="0.25"/>
    <row r="35911" hidden="1" x14ac:dyDescent="0.25"/>
    <row r="35912" hidden="1" x14ac:dyDescent="0.25"/>
    <row r="35913" hidden="1" x14ac:dyDescent="0.25"/>
    <row r="35914" hidden="1" x14ac:dyDescent="0.25"/>
    <row r="35915" hidden="1" x14ac:dyDescent="0.25"/>
    <row r="35916" hidden="1" x14ac:dyDescent="0.25"/>
    <row r="35917" hidden="1" x14ac:dyDescent="0.25"/>
    <row r="35918" hidden="1" x14ac:dyDescent="0.25"/>
    <row r="35919" hidden="1" x14ac:dyDescent="0.25"/>
    <row r="35920" hidden="1" x14ac:dyDescent="0.25"/>
    <row r="35921" hidden="1" x14ac:dyDescent="0.25"/>
    <row r="35922" hidden="1" x14ac:dyDescent="0.25"/>
    <row r="35923" hidden="1" x14ac:dyDescent="0.25"/>
    <row r="35924" hidden="1" x14ac:dyDescent="0.25"/>
    <row r="35925" hidden="1" x14ac:dyDescent="0.25"/>
    <row r="35926" hidden="1" x14ac:dyDescent="0.25"/>
    <row r="35927" hidden="1" x14ac:dyDescent="0.25"/>
    <row r="35928" hidden="1" x14ac:dyDescent="0.25"/>
    <row r="35929" hidden="1" x14ac:dyDescent="0.25"/>
    <row r="35930" hidden="1" x14ac:dyDescent="0.25"/>
    <row r="35931" hidden="1" x14ac:dyDescent="0.25"/>
    <row r="35932" hidden="1" x14ac:dyDescent="0.25"/>
    <row r="35933" hidden="1" x14ac:dyDescent="0.25"/>
    <row r="35934" hidden="1" x14ac:dyDescent="0.25"/>
    <row r="35935" hidden="1" x14ac:dyDescent="0.25"/>
    <row r="35936" hidden="1" x14ac:dyDescent="0.25"/>
    <row r="35937" hidden="1" x14ac:dyDescent="0.25"/>
    <row r="35938" hidden="1" x14ac:dyDescent="0.25"/>
    <row r="35939" hidden="1" x14ac:dyDescent="0.25"/>
    <row r="35940" hidden="1" x14ac:dyDescent="0.25"/>
    <row r="35941" hidden="1" x14ac:dyDescent="0.25"/>
    <row r="35942" hidden="1" x14ac:dyDescent="0.25"/>
    <row r="35943" hidden="1" x14ac:dyDescent="0.25"/>
    <row r="35944" hidden="1" x14ac:dyDescent="0.25"/>
    <row r="35945" hidden="1" x14ac:dyDescent="0.25"/>
    <row r="35946" hidden="1" x14ac:dyDescent="0.25"/>
    <row r="35947" hidden="1" x14ac:dyDescent="0.25"/>
    <row r="35948" hidden="1" x14ac:dyDescent="0.25"/>
    <row r="35949" hidden="1" x14ac:dyDescent="0.25"/>
    <row r="35950" hidden="1" x14ac:dyDescent="0.25"/>
    <row r="35951" hidden="1" x14ac:dyDescent="0.25"/>
    <row r="35952" hidden="1" x14ac:dyDescent="0.25"/>
    <row r="35953" hidden="1" x14ac:dyDescent="0.25"/>
    <row r="35954" hidden="1" x14ac:dyDescent="0.25"/>
    <row r="35955" hidden="1" x14ac:dyDescent="0.25"/>
    <row r="35956" hidden="1" x14ac:dyDescent="0.25"/>
    <row r="35957" hidden="1" x14ac:dyDescent="0.25"/>
    <row r="35958" hidden="1" x14ac:dyDescent="0.25"/>
    <row r="35959" hidden="1" x14ac:dyDescent="0.25"/>
    <row r="35960" hidden="1" x14ac:dyDescent="0.25"/>
    <row r="35961" hidden="1" x14ac:dyDescent="0.25"/>
    <row r="35962" hidden="1" x14ac:dyDescent="0.25"/>
    <row r="35963" hidden="1" x14ac:dyDescent="0.25"/>
    <row r="35964" hidden="1" x14ac:dyDescent="0.25"/>
    <row r="35965" hidden="1" x14ac:dyDescent="0.25"/>
    <row r="35966" hidden="1" x14ac:dyDescent="0.25"/>
    <row r="35967" hidden="1" x14ac:dyDescent="0.25"/>
    <row r="35968" hidden="1" x14ac:dyDescent="0.25"/>
    <row r="35969" hidden="1" x14ac:dyDescent="0.25"/>
    <row r="35970" hidden="1" x14ac:dyDescent="0.25"/>
    <row r="35971" hidden="1" x14ac:dyDescent="0.25"/>
    <row r="35972" hidden="1" x14ac:dyDescent="0.25"/>
    <row r="35973" hidden="1" x14ac:dyDescent="0.25"/>
    <row r="35974" hidden="1" x14ac:dyDescent="0.25"/>
    <row r="35975" hidden="1" x14ac:dyDescent="0.25"/>
    <row r="35976" hidden="1" x14ac:dyDescent="0.25"/>
    <row r="35977" hidden="1" x14ac:dyDescent="0.25"/>
    <row r="35978" hidden="1" x14ac:dyDescent="0.25"/>
    <row r="35979" hidden="1" x14ac:dyDescent="0.25"/>
    <row r="35980" hidden="1" x14ac:dyDescent="0.25"/>
    <row r="35981" hidden="1" x14ac:dyDescent="0.25"/>
    <row r="35982" hidden="1" x14ac:dyDescent="0.25"/>
    <row r="35983" hidden="1" x14ac:dyDescent="0.25"/>
    <row r="35984" hidden="1" x14ac:dyDescent="0.25"/>
    <row r="35985" hidden="1" x14ac:dyDescent="0.25"/>
    <row r="35986" hidden="1" x14ac:dyDescent="0.25"/>
    <row r="35987" hidden="1" x14ac:dyDescent="0.25"/>
    <row r="35988" hidden="1" x14ac:dyDescent="0.25"/>
    <row r="35989" hidden="1" x14ac:dyDescent="0.25"/>
    <row r="35990" hidden="1" x14ac:dyDescent="0.25"/>
    <row r="35991" hidden="1" x14ac:dyDescent="0.25"/>
    <row r="35992" hidden="1" x14ac:dyDescent="0.25"/>
    <row r="35993" hidden="1" x14ac:dyDescent="0.25"/>
    <row r="35994" hidden="1" x14ac:dyDescent="0.25"/>
    <row r="35995" hidden="1" x14ac:dyDescent="0.25"/>
    <row r="35996" hidden="1" x14ac:dyDescent="0.25"/>
    <row r="35997" hidden="1" x14ac:dyDescent="0.25"/>
    <row r="35998" hidden="1" x14ac:dyDescent="0.25"/>
    <row r="35999" hidden="1" x14ac:dyDescent="0.25"/>
    <row r="36000" hidden="1" x14ac:dyDescent="0.25"/>
    <row r="36001" hidden="1" x14ac:dyDescent="0.25"/>
    <row r="36002" hidden="1" x14ac:dyDescent="0.25"/>
    <row r="36003" hidden="1" x14ac:dyDescent="0.25"/>
    <row r="36004" hidden="1" x14ac:dyDescent="0.25"/>
    <row r="36005" hidden="1" x14ac:dyDescent="0.25"/>
    <row r="36006" hidden="1" x14ac:dyDescent="0.25"/>
    <row r="36007" hidden="1" x14ac:dyDescent="0.25"/>
    <row r="36008" hidden="1" x14ac:dyDescent="0.25"/>
    <row r="36009" hidden="1" x14ac:dyDescent="0.25"/>
    <row r="36010" hidden="1" x14ac:dyDescent="0.25"/>
    <row r="36011" hidden="1" x14ac:dyDescent="0.25"/>
    <row r="36012" hidden="1" x14ac:dyDescent="0.25"/>
    <row r="36013" hidden="1" x14ac:dyDescent="0.25"/>
    <row r="36014" hidden="1" x14ac:dyDescent="0.25"/>
    <row r="36015" hidden="1" x14ac:dyDescent="0.25"/>
    <row r="36016" hidden="1" x14ac:dyDescent="0.25"/>
    <row r="36017" hidden="1" x14ac:dyDescent="0.25"/>
    <row r="36018" hidden="1" x14ac:dyDescent="0.25"/>
    <row r="36019" hidden="1" x14ac:dyDescent="0.25"/>
    <row r="36020" hidden="1" x14ac:dyDescent="0.25"/>
    <row r="36021" hidden="1" x14ac:dyDescent="0.25"/>
    <row r="36022" hidden="1" x14ac:dyDescent="0.25"/>
    <row r="36023" hidden="1" x14ac:dyDescent="0.25"/>
    <row r="36024" hidden="1" x14ac:dyDescent="0.25"/>
    <row r="36025" hidden="1" x14ac:dyDescent="0.25"/>
    <row r="36026" hidden="1" x14ac:dyDescent="0.25"/>
    <row r="36027" hidden="1" x14ac:dyDescent="0.25"/>
    <row r="36028" hidden="1" x14ac:dyDescent="0.25"/>
    <row r="36029" hidden="1" x14ac:dyDescent="0.25"/>
    <row r="36030" hidden="1" x14ac:dyDescent="0.25"/>
    <row r="36031" hidden="1" x14ac:dyDescent="0.25"/>
    <row r="36032" hidden="1" x14ac:dyDescent="0.25"/>
    <row r="36033" hidden="1" x14ac:dyDescent="0.25"/>
    <row r="36034" hidden="1" x14ac:dyDescent="0.25"/>
    <row r="36035" hidden="1" x14ac:dyDescent="0.25"/>
    <row r="36036" hidden="1" x14ac:dyDescent="0.25"/>
    <row r="36037" hidden="1" x14ac:dyDescent="0.25"/>
    <row r="36038" hidden="1" x14ac:dyDescent="0.25"/>
    <row r="36039" hidden="1" x14ac:dyDescent="0.25"/>
    <row r="36040" hidden="1" x14ac:dyDescent="0.25"/>
    <row r="36041" hidden="1" x14ac:dyDescent="0.25"/>
    <row r="36042" hidden="1" x14ac:dyDescent="0.25"/>
    <row r="36043" hidden="1" x14ac:dyDescent="0.25"/>
    <row r="36044" hidden="1" x14ac:dyDescent="0.25"/>
    <row r="36045" hidden="1" x14ac:dyDescent="0.25"/>
    <row r="36046" hidden="1" x14ac:dyDescent="0.25"/>
    <row r="36047" hidden="1" x14ac:dyDescent="0.25"/>
    <row r="36048" hidden="1" x14ac:dyDescent="0.25"/>
    <row r="36049" hidden="1" x14ac:dyDescent="0.25"/>
    <row r="36050" hidden="1" x14ac:dyDescent="0.25"/>
    <row r="36051" hidden="1" x14ac:dyDescent="0.25"/>
    <row r="36052" hidden="1" x14ac:dyDescent="0.25"/>
    <row r="36053" hidden="1" x14ac:dyDescent="0.25"/>
    <row r="36054" hidden="1" x14ac:dyDescent="0.25"/>
    <row r="36055" hidden="1" x14ac:dyDescent="0.25"/>
    <row r="36056" hidden="1" x14ac:dyDescent="0.25"/>
    <row r="36057" hidden="1" x14ac:dyDescent="0.25"/>
    <row r="36058" hidden="1" x14ac:dyDescent="0.25"/>
    <row r="36059" hidden="1" x14ac:dyDescent="0.25"/>
    <row r="36060" hidden="1" x14ac:dyDescent="0.25"/>
    <row r="36061" hidden="1" x14ac:dyDescent="0.25"/>
    <row r="36062" hidden="1" x14ac:dyDescent="0.25"/>
    <row r="36063" hidden="1" x14ac:dyDescent="0.25"/>
    <row r="36064" hidden="1" x14ac:dyDescent="0.25"/>
    <row r="36065" hidden="1" x14ac:dyDescent="0.25"/>
    <row r="36066" hidden="1" x14ac:dyDescent="0.25"/>
    <row r="36067" hidden="1" x14ac:dyDescent="0.25"/>
    <row r="36068" hidden="1" x14ac:dyDescent="0.25"/>
    <row r="36069" hidden="1" x14ac:dyDescent="0.25"/>
    <row r="36070" hidden="1" x14ac:dyDescent="0.25"/>
    <row r="36071" hidden="1" x14ac:dyDescent="0.25"/>
    <row r="36072" hidden="1" x14ac:dyDescent="0.25"/>
    <row r="36073" hidden="1" x14ac:dyDescent="0.25"/>
    <row r="36074" hidden="1" x14ac:dyDescent="0.25"/>
    <row r="36075" hidden="1" x14ac:dyDescent="0.25"/>
    <row r="36076" hidden="1" x14ac:dyDescent="0.25"/>
    <row r="36077" hidden="1" x14ac:dyDescent="0.25"/>
    <row r="36078" hidden="1" x14ac:dyDescent="0.25"/>
    <row r="36079" hidden="1" x14ac:dyDescent="0.25"/>
    <row r="36080" hidden="1" x14ac:dyDescent="0.25"/>
    <row r="36081" hidden="1" x14ac:dyDescent="0.25"/>
    <row r="36082" hidden="1" x14ac:dyDescent="0.25"/>
    <row r="36083" hidden="1" x14ac:dyDescent="0.25"/>
    <row r="36084" hidden="1" x14ac:dyDescent="0.25"/>
    <row r="36085" hidden="1" x14ac:dyDescent="0.25"/>
    <row r="36086" hidden="1" x14ac:dyDescent="0.25"/>
    <row r="36087" hidden="1" x14ac:dyDescent="0.25"/>
    <row r="36088" hidden="1" x14ac:dyDescent="0.25"/>
    <row r="36089" hidden="1" x14ac:dyDescent="0.25"/>
    <row r="36090" hidden="1" x14ac:dyDescent="0.25"/>
    <row r="36091" hidden="1" x14ac:dyDescent="0.25"/>
    <row r="36092" hidden="1" x14ac:dyDescent="0.25"/>
    <row r="36093" hidden="1" x14ac:dyDescent="0.25"/>
    <row r="36094" hidden="1" x14ac:dyDescent="0.25"/>
    <row r="36095" hidden="1" x14ac:dyDescent="0.25"/>
    <row r="36096" hidden="1" x14ac:dyDescent="0.25"/>
    <row r="36097" hidden="1" x14ac:dyDescent="0.25"/>
    <row r="36098" hidden="1" x14ac:dyDescent="0.25"/>
    <row r="36099" hidden="1" x14ac:dyDescent="0.25"/>
    <row r="36100" hidden="1" x14ac:dyDescent="0.25"/>
    <row r="36101" hidden="1" x14ac:dyDescent="0.25"/>
    <row r="36102" hidden="1" x14ac:dyDescent="0.25"/>
    <row r="36103" hidden="1" x14ac:dyDescent="0.25"/>
    <row r="36104" hidden="1" x14ac:dyDescent="0.25"/>
    <row r="36105" hidden="1" x14ac:dyDescent="0.25"/>
    <row r="36106" hidden="1" x14ac:dyDescent="0.25"/>
    <row r="36107" hidden="1" x14ac:dyDescent="0.25"/>
    <row r="36108" hidden="1" x14ac:dyDescent="0.25"/>
    <row r="36109" hidden="1" x14ac:dyDescent="0.25"/>
    <row r="36110" hidden="1" x14ac:dyDescent="0.25"/>
    <row r="36111" hidden="1" x14ac:dyDescent="0.25"/>
    <row r="36112" hidden="1" x14ac:dyDescent="0.25"/>
    <row r="36113" hidden="1" x14ac:dyDescent="0.25"/>
    <row r="36114" hidden="1" x14ac:dyDescent="0.25"/>
    <row r="36115" hidden="1" x14ac:dyDescent="0.25"/>
    <row r="36116" hidden="1" x14ac:dyDescent="0.25"/>
    <row r="36117" hidden="1" x14ac:dyDescent="0.25"/>
    <row r="36118" hidden="1" x14ac:dyDescent="0.25"/>
    <row r="36119" hidden="1" x14ac:dyDescent="0.25"/>
    <row r="36120" hidden="1" x14ac:dyDescent="0.25"/>
    <row r="36121" hidden="1" x14ac:dyDescent="0.25"/>
    <row r="36122" hidden="1" x14ac:dyDescent="0.25"/>
    <row r="36123" hidden="1" x14ac:dyDescent="0.25"/>
    <row r="36124" hidden="1" x14ac:dyDescent="0.25"/>
    <row r="36125" hidden="1" x14ac:dyDescent="0.25"/>
    <row r="36126" hidden="1" x14ac:dyDescent="0.25"/>
    <row r="36127" hidden="1" x14ac:dyDescent="0.25"/>
    <row r="36128" hidden="1" x14ac:dyDescent="0.25"/>
    <row r="36129" hidden="1" x14ac:dyDescent="0.25"/>
    <row r="36130" hidden="1" x14ac:dyDescent="0.25"/>
    <row r="36131" hidden="1" x14ac:dyDescent="0.25"/>
    <row r="36132" hidden="1" x14ac:dyDescent="0.25"/>
    <row r="36133" hidden="1" x14ac:dyDescent="0.25"/>
    <row r="36134" hidden="1" x14ac:dyDescent="0.25"/>
    <row r="36135" hidden="1" x14ac:dyDescent="0.25"/>
    <row r="36136" hidden="1" x14ac:dyDescent="0.25"/>
    <row r="36137" hidden="1" x14ac:dyDescent="0.25"/>
    <row r="36138" hidden="1" x14ac:dyDescent="0.25"/>
    <row r="36139" hidden="1" x14ac:dyDescent="0.25"/>
    <row r="36140" hidden="1" x14ac:dyDescent="0.25"/>
    <row r="36141" hidden="1" x14ac:dyDescent="0.25"/>
    <row r="36142" hidden="1" x14ac:dyDescent="0.25"/>
    <row r="36143" hidden="1" x14ac:dyDescent="0.25"/>
    <row r="36144" hidden="1" x14ac:dyDescent="0.25"/>
    <row r="36145" hidden="1" x14ac:dyDescent="0.25"/>
    <row r="36146" hidden="1" x14ac:dyDescent="0.25"/>
    <row r="36147" hidden="1" x14ac:dyDescent="0.25"/>
    <row r="36148" hidden="1" x14ac:dyDescent="0.25"/>
    <row r="36149" hidden="1" x14ac:dyDescent="0.25"/>
    <row r="36150" hidden="1" x14ac:dyDescent="0.25"/>
    <row r="36151" hidden="1" x14ac:dyDescent="0.25"/>
    <row r="36152" hidden="1" x14ac:dyDescent="0.25"/>
    <row r="36153" hidden="1" x14ac:dyDescent="0.25"/>
    <row r="36154" hidden="1" x14ac:dyDescent="0.25"/>
    <row r="36155" hidden="1" x14ac:dyDescent="0.25"/>
    <row r="36156" hidden="1" x14ac:dyDescent="0.25"/>
    <row r="36157" hidden="1" x14ac:dyDescent="0.25"/>
    <row r="36158" hidden="1" x14ac:dyDescent="0.25"/>
    <row r="36159" hidden="1" x14ac:dyDescent="0.25"/>
    <row r="36160" hidden="1" x14ac:dyDescent="0.25"/>
    <row r="36161" hidden="1" x14ac:dyDescent="0.25"/>
    <row r="36162" hidden="1" x14ac:dyDescent="0.25"/>
    <row r="36163" hidden="1" x14ac:dyDescent="0.25"/>
    <row r="36164" hidden="1" x14ac:dyDescent="0.25"/>
    <row r="36165" hidden="1" x14ac:dyDescent="0.25"/>
    <row r="36166" hidden="1" x14ac:dyDescent="0.25"/>
    <row r="36167" hidden="1" x14ac:dyDescent="0.25"/>
    <row r="36168" hidden="1" x14ac:dyDescent="0.25"/>
    <row r="36169" hidden="1" x14ac:dyDescent="0.25"/>
    <row r="36170" hidden="1" x14ac:dyDescent="0.25"/>
    <row r="36171" hidden="1" x14ac:dyDescent="0.25"/>
    <row r="36172" hidden="1" x14ac:dyDescent="0.25"/>
    <row r="36173" hidden="1" x14ac:dyDescent="0.25"/>
    <row r="36174" hidden="1" x14ac:dyDescent="0.25"/>
    <row r="36175" hidden="1" x14ac:dyDescent="0.25"/>
    <row r="36176" hidden="1" x14ac:dyDescent="0.25"/>
    <row r="36177" hidden="1" x14ac:dyDescent="0.25"/>
    <row r="36178" hidden="1" x14ac:dyDescent="0.25"/>
    <row r="36179" hidden="1" x14ac:dyDescent="0.25"/>
    <row r="36180" hidden="1" x14ac:dyDescent="0.25"/>
    <row r="36181" hidden="1" x14ac:dyDescent="0.25"/>
    <row r="36182" hidden="1" x14ac:dyDescent="0.25"/>
    <row r="36183" hidden="1" x14ac:dyDescent="0.25"/>
    <row r="36184" hidden="1" x14ac:dyDescent="0.25"/>
    <row r="36185" hidden="1" x14ac:dyDescent="0.25"/>
    <row r="36186" hidden="1" x14ac:dyDescent="0.25"/>
    <row r="36187" hidden="1" x14ac:dyDescent="0.25"/>
    <row r="36188" hidden="1" x14ac:dyDescent="0.25"/>
    <row r="36189" hidden="1" x14ac:dyDescent="0.25"/>
    <row r="36190" hidden="1" x14ac:dyDescent="0.25"/>
    <row r="36191" hidden="1" x14ac:dyDescent="0.25"/>
    <row r="36192" hidden="1" x14ac:dyDescent="0.25"/>
    <row r="36193" hidden="1" x14ac:dyDescent="0.25"/>
    <row r="36194" hidden="1" x14ac:dyDescent="0.25"/>
    <row r="36195" hidden="1" x14ac:dyDescent="0.25"/>
    <row r="36196" hidden="1" x14ac:dyDescent="0.25"/>
    <row r="36197" hidden="1" x14ac:dyDescent="0.25"/>
    <row r="36198" hidden="1" x14ac:dyDescent="0.25"/>
    <row r="36199" hidden="1" x14ac:dyDescent="0.25"/>
    <row r="36200" hidden="1" x14ac:dyDescent="0.25"/>
    <row r="36201" hidden="1" x14ac:dyDescent="0.25"/>
    <row r="36202" hidden="1" x14ac:dyDescent="0.25"/>
    <row r="36203" hidden="1" x14ac:dyDescent="0.25"/>
    <row r="36204" hidden="1" x14ac:dyDescent="0.25"/>
    <row r="36205" hidden="1" x14ac:dyDescent="0.25"/>
    <row r="36206" hidden="1" x14ac:dyDescent="0.25"/>
    <row r="36207" hidden="1" x14ac:dyDescent="0.25"/>
    <row r="36208" hidden="1" x14ac:dyDescent="0.25"/>
    <row r="36209" hidden="1" x14ac:dyDescent="0.25"/>
    <row r="36210" hidden="1" x14ac:dyDescent="0.25"/>
    <row r="36211" hidden="1" x14ac:dyDescent="0.25"/>
    <row r="36212" hidden="1" x14ac:dyDescent="0.25"/>
    <row r="36213" hidden="1" x14ac:dyDescent="0.25"/>
    <row r="36214" hidden="1" x14ac:dyDescent="0.25"/>
    <row r="36215" hidden="1" x14ac:dyDescent="0.25"/>
    <row r="36216" hidden="1" x14ac:dyDescent="0.25"/>
    <row r="36217" hidden="1" x14ac:dyDescent="0.25"/>
    <row r="36218" hidden="1" x14ac:dyDescent="0.25"/>
    <row r="36219" hidden="1" x14ac:dyDescent="0.25"/>
    <row r="36220" hidden="1" x14ac:dyDescent="0.25"/>
    <row r="36221" hidden="1" x14ac:dyDescent="0.25"/>
    <row r="36222" hidden="1" x14ac:dyDescent="0.25"/>
    <row r="36223" hidden="1" x14ac:dyDescent="0.25"/>
    <row r="36224" hidden="1" x14ac:dyDescent="0.25"/>
    <row r="36225" hidden="1" x14ac:dyDescent="0.25"/>
    <row r="36226" hidden="1" x14ac:dyDescent="0.25"/>
    <row r="36227" hidden="1" x14ac:dyDescent="0.25"/>
    <row r="36228" hidden="1" x14ac:dyDescent="0.25"/>
    <row r="36229" hidden="1" x14ac:dyDescent="0.25"/>
    <row r="36230" hidden="1" x14ac:dyDescent="0.25"/>
    <row r="36231" hidden="1" x14ac:dyDescent="0.25"/>
    <row r="36232" hidden="1" x14ac:dyDescent="0.25"/>
    <row r="36233" hidden="1" x14ac:dyDescent="0.25"/>
    <row r="36234" hidden="1" x14ac:dyDescent="0.25"/>
    <row r="36235" hidden="1" x14ac:dyDescent="0.25"/>
    <row r="36236" hidden="1" x14ac:dyDescent="0.25"/>
    <row r="36237" hidden="1" x14ac:dyDescent="0.25"/>
    <row r="36238" hidden="1" x14ac:dyDescent="0.25"/>
    <row r="36239" hidden="1" x14ac:dyDescent="0.25"/>
    <row r="36240" hidden="1" x14ac:dyDescent="0.25"/>
    <row r="36241" hidden="1" x14ac:dyDescent="0.25"/>
    <row r="36242" hidden="1" x14ac:dyDescent="0.25"/>
    <row r="36243" hidden="1" x14ac:dyDescent="0.25"/>
    <row r="36244" hidden="1" x14ac:dyDescent="0.25"/>
    <row r="36245" hidden="1" x14ac:dyDescent="0.25"/>
    <row r="36246" hidden="1" x14ac:dyDescent="0.25"/>
    <row r="36247" hidden="1" x14ac:dyDescent="0.25"/>
    <row r="36248" hidden="1" x14ac:dyDescent="0.25"/>
    <row r="36249" hidden="1" x14ac:dyDescent="0.25"/>
    <row r="36250" hidden="1" x14ac:dyDescent="0.25"/>
    <row r="36251" hidden="1" x14ac:dyDescent="0.25"/>
    <row r="36252" hidden="1" x14ac:dyDescent="0.25"/>
    <row r="36253" hidden="1" x14ac:dyDescent="0.25"/>
    <row r="36254" hidden="1" x14ac:dyDescent="0.25"/>
    <row r="36255" hidden="1" x14ac:dyDescent="0.25"/>
    <row r="36256" hidden="1" x14ac:dyDescent="0.25"/>
    <row r="36257" hidden="1" x14ac:dyDescent="0.25"/>
    <row r="36258" hidden="1" x14ac:dyDescent="0.25"/>
    <row r="36259" hidden="1" x14ac:dyDescent="0.25"/>
    <row r="36260" hidden="1" x14ac:dyDescent="0.25"/>
    <row r="36261" hidden="1" x14ac:dyDescent="0.25"/>
    <row r="36262" hidden="1" x14ac:dyDescent="0.25"/>
    <row r="36263" hidden="1" x14ac:dyDescent="0.25"/>
    <row r="36264" hidden="1" x14ac:dyDescent="0.25"/>
    <row r="36265" hidden="1" x14ac:dyDescent="0.25"/>
    <row r="36266" hidden="1" x14ac:dyDescent="0.25"/>
    <row r="36267" hidden="1" x14ac:dyDescent="0.25"/>
    <row r="36268" hidden="1" x14ac:dyDescent="0.25"/>
    <row r="36269" hidden="1" x14ac:dyDescent="0.25"/>
    <row r="36270" hidden="1" x14ac:dyDescent="0.25"/>
    <row r="36271" hidden="1" x14ac:dyDescent="0.25"/>
    <row r="36272" hidden="1" x14ac:dyDescent="0.25"/>
    <row r="36273" hidden="1" x14ac:dyDescent="0.25"/>
    <row r="36274" hidden="1" x14ac:dyDescent="0.25"/>
    <row r="36275" hidden="1" x14ac:dyDescent="0.25"/>
    <row r="36276" hidden="1" x14ac:dyDescent="0.25"/>
    <row r="36277" hidden="1" x14ac:dyDescent="0.25"/>
    <row r="36278" hidden="1" x14ac:dyDescent="0.25"/>
    <row r="36279" hidden="1" x14ac:dyDescent="0.25"/>
    <row r="36280" hidden="1" x14ac:dyDescent="0.25"/>
    <row r="36281" hidden="1" x14ac:dyDescent="0.25"/>
    <row r="36282" hidden="1" x14ac:dyDescent="0.25"/>
    <row r="36283" hidden="1" x14ac:dyDescent="0.25"/>
    <row r="36284" hidden="1" x14ac:dyDescent="0.25"/>
    <row r="36285" hidden="1" x14ac:dyDescent="0.25"/>
    <row r="36286" hidden="1" x14ac:dyDescent="0.25"/>
    <row r="36287" hidden="1" x14ac:dyDescent="0.25"/>
    <row r="36288" hidden="1" x14ac:dyDescent="0.25"/>
    <row r="36289" hidden="1" x14ac:dyDescent="0.25"/>
    <row r="36290" hidden="1" x14ac:dyDescent="0.25"/>
    <row r="36291" hidden="1" x14ac:dyDescent="0.25"/>
    <row r="36292" hidden="1" x14ac:dyDescent="0.25"/>
    <row r="36293" hidden="1" x14ac:dyDescent="0.25"/>
    <row r="36294" hidden="1" x14ac:dyDescent="0.25"/>
    <row r="36295" hidden="1" x14ac:dyDescent="0.25"/>
    <row r="36296" hidden="1" x14ac:dyDescent="0.25"/>
    <row r="36297" hidden="1" x14ac:dyDescent="0.25"/>
    <row r="36298" hidden="1" x14ac:dyDescent="0.25"/>
    <row r="36299" hidden="1" x14ac:dyDescent="0.25"/>
    <row r="36300" hidden="1" x14ac:dyDescent="0.25"/>
    <row r="36301" hidden="1" x14ac:dyDescent="0.25"/>
    <row r="36302" hidden="1" x14ac:dyDescent="0.25"/>
    <row r="36303" hidden="1" x14ac:dyDescent="0.25"/>
    <row r="36304" hidden="1" x14ac:dyDescent="0.25"/>
    <row r="36305" hidden="1" x14ac:dyDescent="0.25"/>
    <row r="36306" hidden="1" x14ac:dyDescent="0.25"/>
    <row r="36307" hidden="1" x14ac:dyDescent="0.25"/>
    <row r="36308" hidden="1" x14ac:dyDescent="0.25"/>
    <row r="36309" hidden="1" x14ac:dyDescent="0.25"/>
    <row r="36310" hidden="1" x14ac:dyDescent="0.25"/>
    <row r="36311" hidden="1" x14ac:dyDescent="0.25"/>
    <row r="36312" hidden="1" x14ac:dyDescent="0.25"/>
    <row r="36313" hidden="1" x14ac:dyDescent="0.25"/>
    <row r="36314" hidden="1" x14ac:dyDescent="0.25"/>
    <row r="36315" hidden="1" x14ac:dyDescent="0.25"/>
    <row r="36316" hidden="1" x14ac:dyDescent="0.25"/>
    <row r="36317" hidden="1" x14ac:dyDescent="0.25"/>
    <row r="36318" hidden="1" x14ac:dyDescent="0.25"/>
    <row r="36319" hidden="1" x14ac:dyDescent="0.25"/>
    <row r="36320" hidden="1" x14ac:dyDescent="0.25"/>
    <row r="36321" hidden="1" x14ac:dyDescent="0.25"/>
    <row r="36322" hidden="1" x14ac:dyDescent="0.25"/>
    <row r="36323" hidden="1" x14ac:dyDescent="0.25"/>
    <row r="36324" hidden="1" x14ac:dyDescent="0.25"/>
    <row r="36325" hidden="1" x14ac:dyDescent="0.25"/>
    <row r="36326" hidden="1" x14ac:dyDescent="0.25"/>
    <row r="36327" hidden="1" x14ac:dyDescent="0.25"/>
    <row r="36328" hidden="1" x14ac:dyDescent="0.25"/>
    <row r="36329" hidden="1" x14ac:dyDescent="0.25"/>
    <row r="36330" hidden="1" x14ac:dyDescent="0.25"/>
    <row r="36331" hidden="1" x14ac:dyDescent="0.25"/>
    <row r="36332" hidden="1" x14ac:dyDescent="0.25"/>
    <row r="36333" hidden="1" x14ac:dyDescent="0.25"/>
    <row r="36334" hidden="1" x14ac:dyDescent="0.25"/>
    <row r="36335" hidden="1" x14ac:dyDescent="0.25"/>
    <row r="36336" hidden="1" x14ac:dyDescent="0.25"/>
    <row r="36337" hidden="1" x14ac:dyDescent="0.25"/>
    <row r="36338" hidden="1" x14ac:dyDescent="0.25"/>
    <row r="36339" hidden="1" x14ac:dyDescent="0.25"/>
    <row r="36340" hidden="1" x14ac:dyDescent="0.25"/>
    <row r="36341" hidden="1" x14ac:dyDescent="0.25"/>
    <row r="36342" hidden="1" x14ac:dyDescent="0.25"/>
    <row r="36343" hidden="1" x14ac:dyDescent="0.25"/>
    <row r="36344" hidden="1" x14ac:dyDescent="0.25"/>
    <row r="36345" hidden="1" x14ac:dyDescent="0.25"/>
    <row r="36346" hidden="1" x14ac:dyDescent="0.25"/>
    <row r="36347" hidden="1" x14ac:dyDescent="0.25"/>
    <row r="36348" hidden="1" x14ac:dyDescent="0.25"/>
    <row r="36349" hidden="1" x14ac:dyDescent="0.25"/>
    <row r="36350" hidden="1" x14ac:dyDescent="0.25"/>
    <row r="36351" hidden="1" x14ac:dyDescent="0.25"/>
    <row r="36352" hidden="1" x14ac:dyDescent="0.25"/>
    <row r="36353" hidden="1" x14ac:dyDescent="0.25"/>
    <row r="36354" hidden="1" x14ac:dyDescent="0.25"/>
    <row r="36355" hidden="1" x14ac:dyDescent="0.25"/>
    <row r="36356" hidden="1" x14ac:dyDescent="0.25"/>
    <row r="36357" hidden="1" x14ac:dyDescent="0.25"/>
    <row r="36358" hidden="1" x14ac:dyDescent="0.25"/>
    <row r="36359" hidden="1" x14ac:dyDescent="0.25"/>
    <row r="36360" hidden="1" x14ac:dyDescent="0.25"/>
    <row r="36361" hidden="1" x14ac:dyDescent="0.25"/>
    <row r="36362" hidden="1" x14ac:dyDescent="0.25"/>
    <row r="36363" hidden="1" x14ac:dyDescent="0.25"/>
    <row r="36364" hidden="1" x14ac:dyDescent="0.25"/>
    <row r="36365" hidden="1" x14ac:dyDescent="0.25"/>
    <row r="36366" hidden="1" x14ac:dyDescent="0.25"/>
    <row r="36367" hidden="1" x14ac:dyDescent="0.25"/>
    <row r="36368" hidden="1" x14ac:dyDescent="0.25"/>
    <row r="36369" hidden="1" x14ac:dyDescent="0.25"/>
    <row r="36370" hidden="1" x14ac:dyDescent="0.25"/>
    <row r="36371" hidden="1" x14ac:dyDescent="0.25"/>
    <row r="36372" hidden="1" x14ac:dyDescent="0.25"/>
    <row r="36373" hidden="1" x14ac:dyDescent="0.25"/>
    <row r="36374" hidden="1" x14ac:dyDescent="0.25"/>
    <row r="36375" hidden="1" x14ac:dyDescent="0.25"/>
    <row r="36376" hidden="1" x14ac:dyDescent="0.25"/>
    <row r="36377" hidden="1" x14ac:dyDescent="0.25"/>
    <row r="36378" hidden="1" x14ac:dyDescent="0.25"/>
    <row r="36379" hidden="1" x14ac:dyDescent="0.25"/>
    <row r="36380" hidden="1" x14ac:dyDescent="0.25"/>
    <row r="36381" hidden="1" x14ac:dyDescent="0.25"/>
    <row r="36382" hidden="1" x14ac:dyDescent="0.25"/>
    <row r="36383" hidden="1" x14ac:dyDescent="0.25"/>
    <row r="36384" hidden="1" x14ac:dyDescent="0.25"/>
    <row r="36385" hidden="1" x14ac:dyDescent="0.25"/>
    <row r="36386" hidden="1" x14ac:dyDescent="0.25"/>
    <row r="36387" hidden="1" x14ac:dyDescent="0.25"/>
    <row r="36388" hidden="1" x14ac:dyDescent="0.25"/>
    <row r="36389" hidden="1" x14ac:dyDescent="0.25"/>
    <row r="36390" hidden="1" x14ac:dyDescent="0.25"/>
    <row r="36391" hidden="1" x14ac:dyDescent="0.25"/>
    <row r="36392" hidden="1" x14ac:dyDescent="0.25"/>
    <row r="36393" hidden="1" x14ac:dyDescent="0.25"/>
    <row r="36394" hidden="1" x14ac:dyDescent="0.25"/>
    <row r="36395" hidden="1" x14ac:dyDescent="0.25"/>
    <row r="36396" hidden="1" x14ac:dyDescent="0.25"/>
    <row r="36397" hidden="1" x14ac:dyDescent="0.25"/>
    <row r="36398" hidden="1" x14ac:dyDescent="0.25"/>
    <row r="36399" hidden="1" x14ac:dyDescent="0.25"/>
    <row r="36400" hidden="1" x14ac:dyDescent="0.25"/>
    <row r="36401" hidden="1" x14ac:dyDescent="0.25"/>
    <row r="36402" hidden="1" x14ac:dyDescent="0.25"/>
    <row r="36403" hidden="1" x14ac:dyDescent="0.25"/>
    <row r="36404" hidden="1" x14ac:dyDescent="0.25"/>
    <row r="36405" hidden="1" x14ac:dyDescent="0.25"/>
    <row r="36406" hidden="1" x14ac:dyDescent="0.25"/>
    <row r="36407" hidden="1" x14ac:dyDescent="0.25"/>
    <row r="36408" hidden="1" x14ac:dyDescent="0.25"/>
    <row r="36409" hidden="1" x14ac:dyDescent="0.25"/>
    <row r="36410" hidden="1" x14ac:dyDescent="0.25"/>
    <row r="36411" hidden="1" x14ac:dyDescent="0.25"/>
    <row r="36412" hidden="1" x14ac:dyDescent="0.25"/>
    <row r="36413" hidden="1" x14ac:dyDescent="0.25"/>
    <row r="36414" hidden="1" x14ac:dyDescent="0.25"/>
    <row r="36415" hidden="1" x14ac:dyDescent="0.25"/>
    <row r="36416" hidden="1" x14ac:dyDescent="0.25"/>
    <row r="36417" hidden="1" x14ac:dyDescent="0.25"/>
    <row r="36418" hidden="1" x14ac:dyDescent="0.25"/>
    <row r="36419" hidden="1" x14ac:dyDescent="0.25"/>
    <row r="36420" hidden="1" x14ac:dyDescent="0.25"/>
    <row r="36421" hidden="1" x14ac:dyDescent="0.25"/>
    <row r="36422" hidden="1" x14ac:dyDescent="0.25"/>
    <row r="36423" hidden="1" x14ac:dyDescent="0.25"/>
    <row r="36424" hidden="1" x14ac:dyDescent="0.25"/>
    <row r="36425" hidden="1" x14ac:dyDescent="0.25"/>
    <row r="36426" hidden="1" x14ac:dyDescent="0.25"/>
    <row r="36427" hidden="1" x14ac:dyDescent="0.25"/>
    <row r="36428" hidden="1" x14ac:dyDescent="0.25"/>
    <row r="36429" hidden="1" x14ac:dyDescent="0.25"/>
    <row r="36430" hidden="1" x14ac:dyDescent="0.25"/>
    <row r="36431" hidden="1" x14ac:dyDescent="0.25"/>
    <row r="36432" hidden="1" x14ac:dyDescent="0.25"/>
    <row r="36433" hidden="1" x14ac:dyDescent="0.25"/>
    <row r="36434" hidden="1" x14ac:dyDescent="0.25"/>
    <row r="36435" hidden="1" x14ac:dyDescent="0.25"/>
    <row r="36436" hidden="1" x14ac:dyDescent="0.25"/>
    <row r="36437" hidden="1" x14ac:dyDescent="0.25"/>
    <row r="36438" hidden="1" x14ac:dyDescent="0.25"/>
    <row r="36439" hidden="1" x14ac:dyDescent="0.25"/>
    <row r="36440" hidden="1" x14ac:dyDescent="0.25"/>
    <row r="36441" hidden="1" x14ac:dyDescent="0.25"/>
    <row r="36442" hidden="1" x14ac:dyDescent="0.25"/>
    <row r="36443" hidden="1" x14ac:dyDescent="0.25"/>
    <row r="36444" hidden="1" x14ac:dyDescent="0.25"/>
    <row r="36445" hidden="1" x14ac:dyDescent="0.25"/>
    <row r="36446" hidden="1" x14ac:dyDescent="0.25"/>
    <row r="36447" hidden="1" x14ac:dyDescent="0.25"/>
    <row r="36448" hidden="1" x14ac:dyDescent="0.25"/>
    <row r="36449" hidden="1" x14ac:dyDescent="0.25"/>
    <row r="36450" hidden="1" x14ac:dyDescent="0.25"/>
    <row r="36451" hidden="1" x14ac:dyDescent="0.25"/>
    <row r="36452" hidden="1" x14ac:dyDescent="0.25"/>
    <row r="36453" hidden="1" x14ac:dyDescent="0.25"/>
    <row r="36454" hidden="1" x14ac:dyDescent="0.25"/>
    <row r="36455" hidden="1" x14ac:dyDescent="0.25"/>
    <row r="36456" hidden="1" x14ac:dyDescent="0.25"/>
    <row r="36457" hidden="1" x14ac:dyDescent="0.25"/>
    <row r="36458" hidden="1" x14ac:dyDescent="0.25"/>
    <row r="36459" hidden="1" x14ac:dyDescent="0.25"/>
    <row r="36460" hidden="1" x14ac:dyDescent="0.25"/>
    <row r="36461" hidden="1" x14ac:dyDescent="0.25"/>
    <row r="36462" hidden="1" x14ac:dyDescent="0.25"/>
    <row r="36463" hidden="1" x14ac:dyDescent="0.25"/>
    <row r="36464" hidden="1" x14ac:dyDescent="0.25"/>
    <row r="36465" hidden="1" x14ac:dyDescent="0.25"/>
    <row r="36466" hidden="1" x14ac:dyDescent="0.25"/>
    <row r="36467" hidden="1" x14ac:dyDescent="0.25"/>
    <row r="36468" hidden="1" x14ac:dyDescent="0.25"/>
    <row r="36469" hidden="1" x14ac:dyDescent="0.25"/>
    <row r="36470" hidden="1" x14ac:dyDescent="0.25"/>
    <row r="36471" hidden="1" x14ac:dyDescent="0.25"/>
    <row r="36472" hidden="1" x14ac:dyDescent="0.25"/>
    <row r="36473" hidden="1" x14ac:dyDescent="0.25"/>
    <row r="36474" hidden="1" x14ac:dyDescent="0.25"/>
    <row r="36475" hidden="1" x14ac:dyDescent="0.25"/>
    <row r="36476" hidden="1" x14ac:dyDescent="0.25"/>
    <row r="36477" hidden="1" x14ac:dyDescent="0.25"/>
    <row r="36478" hidden="1" x14ac:dyDescent="0.25"/>
    <row r="36479" hidden="1" x14ac:dyDescent="0.25"/>
    <row r="36480" hidden="1" x14ac:dyDescent="0.25"/>
    <row r="36481" hidden="1" x14ac:dyDescent="0.25"/>
    <row r="36482" hidden="1" x14ac:dyDescent="0.25"/>
    <row r="36483" hidden="1" x14ac:dyDescent="0.25"/>
    <row r="36484" hidden="1" x14ac:dyDescent="0.25"/>
    <row r="36485" hidden="1" x14ac:dyDescent="0.25"/>
    <row r="36486" hidden="1" x14ac:dyDescent="0.25"/>
    <row r="36487" hidden="1" x14ac:dyDescent="0.25"/>
    <row r="36488" hidden="1" x14ac:dyDescent="0.25"/>
    <row r="36489" hidden="1" x14ac:dyDescent="0.25"/>
    <row r="36490" hidden="1" x14ac:dyDescent="0.25"/>
    <row r="36491" hidden="1" x14ac:dyDescent="0.25"/>
    <row r="36492" hidden="1" x14ac:dyDescent="0.25"/>
    <row r="36493" hidden="1" x14ac:dyDescent="0.25"/>
    <row r="36494" hidden="1" x14ac:dyDescent="0.25"/>
    <row r="36495" hidden="1" x14ac:dyDescent="0.25"/>
    <row r="36496" hidden="1" x14ac:dyDescent="0.25"/>
    <row r="36497" hidden="1" x14ac:dyDescent="0.25"/>
    <row r="36498" hidden="1" x14ac:dyDescent="0.25"/>
    <row r="36499" hidden="1" x14ac:dyDescent="0.25"/>
    <row r="36500" hidden="1" x14ac:dyDescent="0.25"/>
    <row r="36501" hidden="1" x14ac:dyDescent="0.25"/>
    <row r="36502" hidden="1" x14ac:dyDescent="0.25"/>
    <row r="36503" hidden="1" x14ac:dyDescent="0.25"/>
    <row r="36504" hidden="1" x14ac:dyDescent="0.25"/>
    <row r="36505" hidden="1" x14ac:dyDescent="0.25"/>
    <row r="36506" hidden="1" x14ac:dyDescent="0.25"/>
    <row r="36507" hidden="1" x14ac:dyDescent="0.25"/>
    <row r="36508" hidden="1" x14ac:dyDescent="0.25"/>
    <row r="36509" hidden="1" x14ac:dyDescent="0.25"/>
    <row r="36510" hidden="1" x14ac:dyDescent="0.25"/>
    <row r="36511" hidden="1" x14ac:dyDescent="0.25"/>
    <row r="36512" hidden="1" x14ac:dyDescent="0.25"/>
    <row r="36513" hidden="1" x14ac:dyDescent="0.25"/>
    <row r="36514" hidden="1" x14ac:dyDescent="0.25"/>
    <row r="36515" hidden="1" x14ac:dyDescent="0.25"/>
    <row r="36516" hidden="1" x14ac:dyDescent="0.25"/>
    <row r="36517" hidden="1" x14ac:dyDescent="0.25"/>
    <row r="36518" hidden="1" x14ac:dyDescent="0.25"/>
    <row r="36519" hidden="1" x14ac:dyDescent="0.25"/>
    <row r="36520" hidden="1" x14ac:dyDescent="0.25"/>
    <row r="36521" hidden="1" x14ac:dyDescent="0.25"/>
    <row r="36522" hidden="1" x14ac:dyDescent="0.25"/>
    <row r="36523" hidden="1" x14ac:dyDescent="0.25"/>
    <row r="36524" hidden="1" x14ac:dyDescent="0.25"/>
    <row r="36525" hidden="1" x14ac:dyDescent="0.25"/>
    <row r="36526" hidden="1" x14ac:dyDescent="0.25"/>
    <row r="36527" hidden="1" x14ac:dyDescent="0.25"/>
    <row r="36528" hidden="1" x14ac:dyDescent="0.25"/>
    <row r="36529" hidden="1" x14ac:dyDescent="0.25"/>
    <row r="36530" hidden="1" x14ac:dyDescent="0.25"/>
    <row r="36531" hidden="1" x14ac:dyDescent="0.25"/>
    <row r="36532" hidden="1" x14ac:dyDescent="0.25"/>
    <row r="36533" hidden="1" x14ac:dyDescent="0.25"/>
    <row r="36534" hidden="1" x14ac:dyDescent="0.25"/>
    <row r="36535" hidden="1" x14ac:dyDescent="0.25"/>
    <row r="36536" hidden="1" x14ac:dyDescent="0.25"/>
    <row r="36537" hidden="1" x14ac:dyDescent="0.25"/>
    <row r="36538" hidden="1" x14ac:dyDescent="0.25"/>
    <row r="36539" hidden="1" x14ac:dyDescent="0.25"/>
    <row r="36540" hidden="1" x14ac:dyDescent="0.25"/>
    <row r="36541" hidden="1" x14ac:dyDescent="0.25"/>
    <row r="36542" hidden="1" x14ac:dyDescent="0.25"/>
    <row r="36543" hidden="1" x14ac:dyDescent="0.25"/>
    <row r="36544" hidden="1" x14ac:dyDescent="0.25"/>
    <row r="36545" hidden="1" x14ac:dyDescent="0.25"/>
    <row r="36546" hidden="1" x14ac:dyDescent="0.25"/>
    <row r="36547" hidden="1" x14ac:dyDescent="0.25"/>
    <row r="36548" hidden="1" x14ac:dyDescent="0.25"/>
    <row r="36549" hidden="1" x14ac:dyDescent="0.25"/>
    <row r="36550" hidden="1" x14ac:dyDescent="0.25"/>
    <row r="36551" hidden="1" x14ac:dyDescent="0.25"/>
    <row r="36552" hidden="1" x14ac:dyDescent="0.25"/>
    <row r="36553" hidden="1" x14ac:dyDescent="0.25"/>
    <row r="36554" hidden="1" x14ac:dyDescent="0.25"/>
    <row r="36555" hidden="1" x14ac:dyDescent="0.25"/>
    <row r="36556" hidden="1" x14ac:dyDescent="0.25"/>
    <row r="36557" hidden="1" x14ac:dyDescent="0.25"/>
    <row r="36558" hidden="1" x14ac:dyDescent="0.25"/>
    <row r="36559" hidden="1" x14ac:dyDescent="0.25"/>
    <row r="36560" hidden="1" x14ac:dyDescent="0.25"/>
    <row r="36561" hidden="1" x14ac:dyDescent="0.25"/>
    <row r="36562" hidden="1" x14ac:dyDescent="0.25"/>
    <row r="36563" hidden="1" x14ac:dyDescent="0.25"/>
    <row r="36564" hidden="1" x14ac:dyDescent="0.25"/>
    <row r="36565" hidden="1" x14ac:dyDescent="0.25"/>
    <row r="36566" hidden="1" x14ac:dyDescent="0.25"/>
    <row r="36567" hidden="1" x14ac:dyDescent="0.25"/>
    <row r="36568" hidden="1" x14ac:dyDescent="0.25"/>
    <row r="36569" hidden="1" x14ac:dyDescent="0.25"/>
    <row r="36570" hidden="1" x14ac:dyDescent="0.25"/>
    <row r="36571" hidden="1" x14ac:dyDescent="0.25"/>
    <row r="36572" hidden="1" x14ac:dyDescent="0.25"/>
    <row r="36573" hidden="1" x14ac:dyDescent="0.25"/>
    <row r="36574" hidden="1" x14ac:dyDescent="0.25"/>
    <row r="36575" hidden="1" x14ac:dyDescent="0.25"/>
    <row r="36576" hidden="1" x14ac:dyDescent="0.25"/>
    <row r="36577" hidden="1" x14ac:dyDescent="0.25"/>
    <row r="36578" hidden="1" x14ac:dyDescent="0.25"/>
    <row r="36579" hidden="1" x14ac:dyDescent="0.25"/>
    <row r="36580" hidden="1" x14ac:dyDescent="0.25"/>
    <row r="36581" hidden="1" x14ac:dyDescent="0.25"/>
    <row r="36582" hidden="1" x14ac:dyDescent="0.25"/>
    <row r="36583" hidden="1" x14ac:dyDescent="0.25"/>
    <row r="36584" hidden="1" x14ac:dyDescent="0.25"/>
    <row r="36585" hidden="1" x14ac:dyDescent="0.25"/>
    <row r="36586" hidden="1" x14ac:dyDescent="0.25"/>
    <row r="36587" hidden="1" x14ac:dyDescent="0.25"/>
    <row r="36588" hidden="1" x14ac:dyDescent="0.25"/>
    <row r="36589" hidden="1" x14ac:dyDescent="0.25"/>
    <row r="36590" hidden="1" x14ac:dyDescent="0.25"/>
    <row r="36591" hidden="1" x14ac:dyDescent="0.25"/>
    <row r="36592" hidden="1" x14ac:dyDescent="0.25"/>
    <row r="36593" hidden="1" x14ac:dyDescent="0.25"/>
    <row r="36594" hidden="1" x14ac:dyDescent="0.25"/>
    <row r="36595" hidden="1" x14ac:dyDescent="0.25"/>
    <row r="36596" hidden="1" x14ac:dyDescent="0.25"/>
    <row r="36597" hidden="1" x14ac:dyDescent="0.25"/>
    <row r="36598" hidden="1" x14ac:dyDescent="0.25"/>
    <row r="36599" hidden="1" x14ac:dyDescent="0.25"/>
    <row r="36600" hidden="1" x14ac:dyDescent="0.25"/>
    <row r="36601" hidden="1" x14ac:dyDescent="0.25"/>
    <row r="36602" hidden="1" x14ac:dyDescent="0.25"/>
    <row r="36603" hidden="1" x14ac:dyDescent="0.25"/>
    <row r="36604" hidden="1" x14ac:dyDescent="0.25"/>
    <row r="36605" hidden="1" x14ac:dyDescent="0.25"/>
    <row r="36606" hidden="1" x14ac:dyDescent="0.25"/>
    <row r="36607" hidden="1" x14ac:dyDescent="0.25"/>
    <row r="36608" hidden="1" x14ac:dyDescent="0.25"/>
    <row r="36609" hidden="1" x14ac:dyDescent="0.25"/>
    <row r="36610" hidden="1" x14ac:dyDescent="0.25"/>
    <row r="36611" hidden="1" x14ac:dyDescent="0.25"/>
    <row r="36612" hidden="1" x14ac:dyDescent="0.25"/>
    <row r="36613" hidden="1" x14ac:dyDescent="0.25"/>
    <row r="36614" hidden="1" x14ac:dyDescent="0.25"/>
    <row r="36615" hidden="1" x14ac:dyDescent="0.25"/>
    <row r="36616" hidden="1" x14ac:dyDescent="0.25"/>
    <row r="36617" hidden="1" x14ac:dyDescent="0.25"/>
    <row r="36618" hidden="1" x14ac:dyDescent="0.25"/>
    <row r="36619" hidden="1" x14ac:dyDescent="0.25"/>
    <row r="36620" hidden="1" x14ac:dyDescent="0.25"/>
    <row r="36621" hidden="1" x14ac:dyDescent="0.25"/>
    <row r="36622" hidden="1" x14ac:dyDescent="0.25"/>
    <row r="36623" hidden="1" x14ac:dyDescent="0.25"/>
    <row r="36624" hidden="1" x14ac:dyDescent="0.25"/>
    <row r="36625" hidden="1" x14ac:dyDescent="0.25"/>
    <row r="36626" hidden="1" x14ac:dyDescent="0.25"/>
    <row r="36627" hidden="1" x14ac:dyDescent="0.25"/>
    <row r="36628" hidden="1" x14ac:dyDescent="0.25"/>
    <row r="36629" hidden="1" x14ac:dyDescent="0.25"/>
    <row r="36630" hidden="1" x14ac:dyDescent="0.25"/>
    <row r="36631" hidden="1" x14ac:dyDescent="0.25"/>
    <row r="36632" hidden="1" x14ac:dyDescent="0.25"/>
    <row r="36633" hidden="1" x14ac:dyDescent="0.25"/>
    <row r="36634" hidden="1" x14ac:dyDescent="0.25"/>
    <row r="36635" hidden="1" x14ac:dyDescent="0.25"/>
    <row r="36636" hidden="1" x14ac:dyDescent="0.25"/>
    <row r="36637" hidden="1" x14ac:dyDescent="0.25"/>
    <row r="36638" hidden="1" x14ac:dyDescent="0.25"/>
    <row r="36639" hidden="1" x14ac:dyDescent="0.25"/>
    <row r="36640" hidden="1" x14ac:dyDescent="0.25"/>
    <row r="36641" hidden="1" x14ac:dyDescent="0.25"/>
    <row r="36642" hidden="1" x14ac:dyDescent="0.25"/>
    <row r="36643" hidden="1" x14ac:dyDescent="0.25"/>
    <row r="36644" hidden="1" x14ac:dyDescent="0.25"/>
    <row r="36645" hidden="1" x14ac:dyDescent="0.25"/>
    <row r="36646" hidden="1" x14ac:dyDescent="0.25"/>
    <row r="36647" hidden="1" x14ac:dyDescent="0.25"/>
    <row r="36648" hidden="1" x14ac:dyDescent="0.25"/>
    <row r="36649" hidden="1" x14ac:dyDescent="0.25"/>
    <row r="36650" hidden="1" x14ac:dyDescent="0.25"/>
    <row r="36651" hidden="1" x14ac:dyDescent="0.25"/>
    <row r="36652" hidden="1" x14ac:dyDescent="0.25"/>
    <row r="36653" hidden="1" x14ac:dyDescent="0.25"/>
    <row r="36654" hidden="1" x14ac:dyDescent="0.25"/>
    <row r="36655" hidden="1" x14ac:dyDescent="0.25"/>
    <row r="36656" hidden="1" x14ac:dyDescent="0.25"/>
    <row r="36657" hidden="1" x14ac:dyDescent="0.25"/>
    <row r="36658" hidden="1" x14ac:dyDescent="0.25"/>
    <row r="36659" hidden="1" x14ac:dyDescent="0.25"/>
    <row r="36660" hidden="1" x14ac:dyDescent="0.25"/>
    <row r="36661" hidden="1" x14ac:dyDescent="0.25"/>
    <row r="36662" hidden="1" x14ac:dyDescent="0.25"/>
    <row r="36663" hidden="1" x14ac:dyDescent="0.25"/>
    <row r="36664" hidden="1" x14ac:dyDescent="0.25"/>
    <row r="36665" hidden="1" x14ac:dyDescent="0.25"/>
    <row r="36666" hidden="1" x14ac:dyDescent="0.25"/>
    <row r="36667" hidden="1" x14ac:dyDescent="0.25"/>
    <row r="36668" hidden="1" x14ac:dyDescent="0.25"/>
    <row r="36669" hidden="1" x14ac:dyDescent="0.25"/>
    <row r="36670" hidden="1" x14ac:dyDescent="0.25"/>
    <row r="36671" hidden="1" x14ac:dyDescent="0.25"/>
    <row r="36672" hidden="1" x14ac:dyDescent="0.25"/>
    <row r="36673" hidden="1" x14ac:dyDescent="0.25"/>
    <row r="36674" hidden="1" x14ac:dyDescent="0.25"/>
    <row r="36675" hidden="1" x14ac:dyDescent="0.25"/>
    <row r="36676" hidden="1" x14ac:dyDescent="0.25"/>
    <row r="36677" hidden="1" x14ac:dyDescent="0.25"/>
    <row r="36678" hidden="1" x14ac:dyDescent="0.25"/>
    <row r="36679" hidden="1" x14ac:dyDescent="0.25"/>
    <row r="36680" hidden="1" x14ac:dyDescent="0.25"/>
    <row r="36681" hidden="1" x14ac:dyDescent="0.25"/>
    <row r="36682" hidden="1" x14ac:dyDescent="0.25"/>
    <row r="36683" hidden="1" x14ac:dyDescent="0.25"/>
    <row r="36684" hidden="1" x14ac:dyDescent="0.25"/>
    <row r="36685" hidden="1" x14ac:dyDescent="0.25"/>
    <row r="36686" hidden="1" x14ac:dyDescent="0.25"/>
    <row r="36687" hidden="1" x14ac:dyDescent="0.25"/>
    <row r="36688" hidden="1" x14ac:dyDescent="0.25"/>
    <row r="36689" hidden="1" x14ac:dyDescent="0.25"/>
    <row r="36690" hidden="1" x14ac:dyDescent="0.25"/>
    <row r="36691" hidden="1" x14ac:dyDescent="0.25"/>
    <row r="36692" hidden="1" x14ac:dyDescent="0.25"/>
    <row r="36693" hidden="1" x14ac:dyDescent="0.25"/>
    <row r="36694" hidden="1" x14ac:dyDescent="0.25"/>
    <row r="36695" hidden="1" x14ac:dyDescent="0.25"/>
    <row r="36696" hidden="1" x14ac:dyDescent="0.25"/>
    <row r="36697" hidden="1" x14ac:dyDescent="0.25"/>
    <row r="36698" hidden="1" x14ac:dyDescent="0.25"/>
    <row r="36699" hidden="1" x14ac:dyDescent="0.25"/>
    <row r="36700" hidden="1" x14ac:dyDescent="0.25"/>
    <row r="36701" hidden="1" x14ac:dyDescent="0.25"/>
    <row r="36702" hidden="1" x14ac:dyDescent="0.25"/>
    <row r="36703" hidden="1" x14ac:dyDescent="0.25"/>
    <row r="36704" hidden="1" x14ac:dyDescent="0.25"/>
    <row r="36705" hidden="1" x14ac:dyDescent="0.25"/>
    <row r="36706" hidden="1" x14ac:dyDescent="0.25"/>
    <row r="36707" hidden="1" x14ac:dyDescent="0.25"/>
    <row r="36708" hidden="1" x14ac:dyDescent="0.25"/>
    <row r="36709" hidden="1" x14ac:dyDescent="0.25"/>
    <row r="36710" hidden="1" x14ac:dyDescent="0.25"/>
    <row r="36711" hidden="1" x14ac:dyDescent="0.25"/>
    <row r="36712" hidden="1" x14ac:dyDescent="0.25"/>
    <row r="36713" hidden="1" x14ac:dyDescent="0.25"/>
    <row r="36714" hidden="1" x14ac:dyDescent="0.25"/>
    <row r="36715" hidden="1" x14ac:dyDescent="0.25"/>
    <row r="36716" hidden="1" x14ac:dyDescent="0.25"/>
    <row r="36717" hidden="1" x14ac:dyDescent="0.25"/>
    <row r="36718" hidden="1" x14ac:dyDescent="0.25"/>
    <row r="36719" hidden="1" x14ac:dyDescent="0.25"/>
    <row r="36720" hidden="1" x14ac:dyDescent="0.25"/>
    <row r="36721" hidden="1" x14ac:dyDescent="0.25"/>
    <row r="36722" hidden="1" x14ac:dyDescent="0.25"/>
    <row r="36723" hidden="1" x14ac:dyDescent="0.25"/>
    <row r="36724" hidden="1" x14ac:dyDescent="0.25"/>
    <row r="36725" hidden="1" x14ac:dyDescent="0.25"/>
    <row r="36726" hidden="1" x14ac:dyDescent="0.25"/>
    <row r="36727" hidden="1" x14ac:dyDescent="0.25"/>
    <row r="36728" hidden="1" x14ac:dyDescent="0.25"/>
    <row r="36729" hidden="1" x14ac:dyDescent="0.25"/>
    <row r="36730" hidden="1" x14ac:dyDescent="0.25"/>
    <row r="36731" hidden="1" x14ac:dyDescent="0.25"/>
    <row r="36732" hidden="1" x14ac:dyDescent="0.25"/>
    <row r="36733" hidden="1" x14ac:dyDescent="0.25"/>
    <row r="36734" hidden="1" x14ac:dyDescent="0.25"/>
    <row r="36735" hidden="1" x14ac:dyDescent="0.25"/>
    <row r="36736" hidden="1" x14ac:dyDescent="0.25"/>
    <row r="36737" hidden="1" x14ac:dyDescent="0.25"/>
    <row r="36738" hidden="1" x14ac:dyDescent="0.25"/>
    <row r="36739" hidden="1" x14ac:dyDescent="0.25"/>
    <row r="36740" hidden="1" x14ac:dyDescent="0.25"/>
    <row r="36741" hidden="1" x14ac:dyDescent="0.25"/>
    <row r="36742" hidden="1" x14ac:dyDescent="0.25"/>
    <row r="36743" hidden="1" x14ac:dyDescent="0.25"/>
    <row r="36744" hidden="1" x14ac:dyDescent="0.25"/>
    <row r="36745" hidden="1" x14ac:dyDescent="0.25"/>
    <row r="36746" hidden="1" x14ac:dyDescent="0.25"/>
    <row r="36747" hidden="1" x14ac:dyDescent="0.25"/>
    <row r="36748" hidden="1" x14ac:dyDescent="0.25"/>
    <row r="36749" hidden="1" x14ac:dyDescent="0.25"/>
    <row r="36750" hidden="1" x14ac:dyDescent="0.25"/>
    <row r="36751" hidden="1" x14ac:dyDescent="0.25"/>
    <row r="36752" hidden="1" x14ac:dyDescent="0.25"/>
    <row r="36753" hidden="1" x14ac:dyDescent="0.25"/>
    <row r="36754" hidden="1" x14ac:dyDescent="0.25"/>
    <row r="36755" hidden="1" x14ac:dyDescent="0.25"/>
    <row r="36756" hidden="1" x14ac:dyDescent="0.25"/>
    <row r="36757" hidden="1" x14ac:dyDescent="0.25"/>
    <row r="36758" hidden="1" x14ac:dyDescent="0.25"/>
    <row r="36759" hidden="1" x14ac:dyDescent="0.25"/>
    <row r="36760" hidden="1" x14ac:dyDescent="0.25"/>
    <row r="36761" hidden="1" x14ac:dyDescent="0.25"/>
    <row r="36762" hidden="1" x14ac:dyDescent="0.25"/>
    <row r="36763" hidden="1" x14ac:dyDescent="0.25"/>
    <row r="36764" hidden="1" x14ac:dyDescent="0.25"/>
    <row r="36765" hidden="1" x14ac:dyDescent="0.25"/>
    <row r="36766" hidden="1" x14ac:dyDescent="0.25"/>
    <row r="36767" hidden="1" x14ac:dyDescent="0.25"/>
    <row r="36768" hidden="1" x14ac:dyDescent="0.25"/>
    <row r="36769" hidden="1" x14ac:dyDescent="0.25"/>
    <row r="36770" hidden="1" x14ac:dyDescent="0.25"/>
    <row r="36771" hidden="1" x14ac:dyDescent="0.25"/>
    <row r="36772" hidden="1" x14ac:dyDescent="0.25"/>
    <row r="36773" hidden="1" x14ac:dyDescent="0.25"/>
    <row r="36774" hidden="1" x14ac:dyDescent="0.25"/>
    <row r="36775" hidden="1" x14ac:dyDescent="0.25"/>
    <row r="36776" hidden="1" x14ac:dyDescent="0.25"/>
    <row r="36777" hidden="1" x14ac:dyDescent="0.25"/>
    <row r="36778" hidden="1" x14ac:dyDescent="0.25"/>
    <row r="36779" hidden="1" x14ac:dyDescent="0.25"/>
    <row r="36780" hidden="1" x14ac:dyDescent="0.25"/>
    <row r="36781" hidden="1" x14ac:dyDescent="0.25"/>
    <row r="36782" hidden="1" x14ac:dyDescent="0.25"/>
    <row r="36783" hidden="1" x14ac:dyDescent="0.25"/>
    <row r="36784" hidden="1" x14ac:dyDescent="0.25"/>
    <row r="36785" hidden="1" x14ac:dyDescent="0.25"/>
    <row r="36786" hidden="1" x14ac:dyDescent="0.25"/>
    <row r="36787" hidden="1" x14ac:dyDescent="0.25"/>
    <row r="36788" hidden="1" x14ac:dyDescent="0.25"/>
    <row r="36789" hidden="1" x14ac:dyDescent="0.25"/>
    <row r="36790" hidden="1" x14ac:dyDescent="0.25"/>
    <row r="36791" hidden="1" x14ac:dyDescent="0.25"/>
    <row r="36792" hidden="1" x14ac:dyDescent="0.25"/>
    <row r="36793" hidden="1" x14ac:dyDescent="0.25"/>
    <row r="36794" hidden="1" x14ac:dyDescent="0.25"/>
    <row r="36795" hidden="1" x14ac:dyDescent="0.25"/>
    <row r="36796" hidden="1" x14ac:dyDescent="0.25"/>
    <row r="36797" hidden="1" x14ac:dyDescent="0.25"/>
    <row r="36798" hidden="1" x14ac:dyDescent="0.25"/>
    <row r="36799" hidden="1" x14ac:dyDescent="0.25"/>
    <row r="36800" hidden="1" x14ac:dyDescent="0.25"/>
    <row r="36801" hidden="1" x14ac:dyDescent="0.25"/>
    <row r="36802" hidden="1" x14ac:dyDescent="0.25"/>
    <row r="36803" hidden="1" x14ac:dyDescent="0.25"/>
    <row r="36804" hidden="1" x14ac:dyDescent="0.25"/>
    <row r="36805" hidden="1" x14ac:dyDescent="0.25"/>
    <row r="36806" hidden="1" x14ac:dyDescent="0.25"/>
    <row r="36807" hidden="1" x14ac:dyDescent="0.25"/>
    <row r="36808" hidden="1" x14ac:dyDescent="0.25"/>
    <row r="36809" hidden="1" x14ac:dyDescent="0.25"/>
    <row r="36810" hidden="1" x14ac:dyDescent="0.25"/>
    <row r="36811" hidden="1" x14ac:dyDescent="0.25"/>
    <row r="36812" hidden="1" x14ac:dyDescent="0.25"/>
    <row r="36813" hidden="1" x14ac:dyDescent="0.25"/>
    <row r="36814" hidden="1" x14ac:dyDescent="0.25"/>
    <row r="36815" hidden="1" x14ac:dyDescent="0.25"/>
    <row r="36816" hidden="1" x14ac:dyDescent="0.25"/>
    <row r="36817" hidden="1" x14ac:dyDescent="0.25"/>
    <row r="36818" hidden="1" x14ac:dyDescent="0.25"/>
    <row r="36819" hidden="1" x14ac:dyDescent="0.25"/>
    <row r="36820" hidden="1" x14ac:dyDescent="0.25"/>
    <row r="36821" hidden="1" x14ac:dyDescent="0.25"/>
    <row r="36822" hidden="1" x14ac:dyDescent="0.25"/>
    <row r="36823" hidden="1" x14ac:dyDescent="0.25"/>
    <row r="36824" hidden="1" x14ac:dyDescent="0.25"/>
    <row r="36825" hidden="1" x14ac:dyDescent="0.25"/>
    <row r="36826" hidden="1" x14ac:dyDescent="0.25"/>
    <row r="36827" hidden="1" x14ac:dyDescent="0.25"/>
    <row r="36828" hidden="1" x14ac:dyDescent="0.25"/>
    <row r="36829" hidden="1" x14ac:dyDescent="0.25"/>
    <row r="36830" hidden="1" x14ac:dyDescent="0.25"/>
    <row r="36831" hidden="1" x14ac:dyDescent="0.25"/>
    <row r="36832" hidden="1" x14ac:dyDescent="0.25"/>
    <row r="36833" hidden="1" x14ac:dyDescent="0.25"/>
    <row r="36834" hidden="1" x14ac:dyDescent="0.25"/>
    <row r="36835" hidden="1" x14ac:dyDescent="0.25"/>
    <row r="36836" hidden="1" x14ac:dyDescent="0.25"/>
    <row r="36837" hidden="1" x14ac:dyDescent="0.25"/>
    <row r="36838" hidden="1" x14ac:dyDescent="0.25"/>
    <row r="36839" hidden="1" x14ac:dyDescent="0.25"/>
    <row r="36840" hidden="1" x14ac:dyDescent="0.25"/>
    <row r="36841" hidden="1" x14ac:dyDescent="0.25"/>
    <row r="36842" hidden="1" x14ac:dyDescent="0.25"/>
    <row r="36843" hidden="1" x14ac:dyDescent="0.25"/>
    <row r="36844" hidden="1" x14ac:dyDescent="0.25"/>
    <row r="36845" hidden="1" x14ac:dyDescent="0.25"/>
    <row r="36846" hidden="1" x14ac:dyDescent="0.25"/>
    <row r="36847" hidden="1" x14ac:dyDescent="0.25"/>
    <row r="36848" hidden="1" x14ac:dyDescent="0.25"/>
    <row r="36849" hidden="1" x14ac:dyDescent="0.25"/>
    <row r="36850" hidden="1" x14ac:dyDescent="0.25"/>
    <row r="36851" hidden="1" x14ac:dyDescent="0.25"/>
    <row r="36852" hidden="1" x14ac:dyDescent="0.25"/>
    <row r="36853" hidden="1" x14ac:dyDescent="0.25"/>
    <row r="36854" hidden="1" x14ac:dyDescent="0.25"/>
    <row r="36855" hidden="1" x14ac:dyDescent="0.25"/>
    <row r="36856" hidden="1" x14ac:dyDescent="0.25"/>
    <row r="36857" hidden="1" x14ac:dyDescent="0.25"/>
    <row r="36858" hidden="1" x14ac:dyDescent="0.25"/>
    <row r="36859" hidden="1" x14ac:dyDescent="0.25"/>
    <row r="36860" hidden="1" x14ac:dyDescent="0.25"/>
    <row r="36861" hidden="1" x14ac:dyDescent="0.25"/>
    <row r="36862" hidden="1" x14ac:dyDescent="0.25"/>
    <row r="36863" hidden="1" x14ac:dyDescent="0.25"/>
    <row r="36864" hidden="1" x14ac:dyDescent="0.25"/>
    <row r="36865" hidden="1" x14ac:dyDescent="0.25"/>
    <row r="36866" hidden="1" x14ac:dyDescent="0.25"/>
    <row r="36867" hidden="1" x14ac:dyDescent="0.25"/>
    <row r="36868" hidden="1" x14ac:dyDescent="0.25"/>
    <row r="36869" hidden="1" x14ac:dyDescent="0.25"/>
    <row r="36870" hidden="1" x14ac:dyDescent="0.25"/>
    <row r="36871" hidden="1" x14ac:dyDescent="0.25"/>
    <row r="36872" hidden="1" x14ac:dyDescent="0.25"/>
    <row r="36873" hidden="1" x14ac:dyDescent="0.25"/>
    <row r="36874" hidden="1" x14ac:dyDescent="0.25"/>
    <row r="36875" hidden="1" x14ac:dyDescent="0.25"/>
    <row r="36876" hidden="1" x14ac:dyDescent="0.25"/>
    <row r="36877" hidden="1" x14ac:dyDescent="0.25"/>
    <row r="36878" hidden="1" x14ac:dyDescent="0.25"/>
    <row r="36879" hidden="1" x14ac:dyDescent="0.25"/>
    <row r="36880" hidden="1" x14ac:dyDescent="0.25"/>
    <row r="36881" hidden="1" x14ac:dyDescent="0.25"/>
    <row r="36882" hidden="1" x14ac:dyDescent="0.25"/>
    <row r="36883" hidden="1" x14ac:dyDescent="0.25"/>
    <row r="36884" hidden="1" x14ac:dyDescent="0.25"/>
    <row r="36885" hidden="1" x14ac:dyDescent="0.25"/>
    <row r="36886" hidden="1" x14ac:dyDescent="0.25"/>
    <row r="36887" hidden="1" x14ac:dyDescent="0.25"/>
    <row r="36888" hidden="1" x14ac:dyDescent="0.25"/>
    <row r="36889" hidden="1" x14ac:dyDescent="0.25"/>
    <row r="36890" hidden="1" x14ac:dyDescent="0.25"/>
    <row r="36891" hidden="1" x14ac:dyDescent="0.25"/>
    <row r="36892" hidden="1" x14ac:dyDescent="0.25"/>
    <row r="36893" hidden="1" x14ac:dyDescent="0.25"/>
    <row r="36894" hidden="1" x14ac:dyDescent="0.25"/>
    <row r="36895" hidden="1" x14ac:dyDescent="0.25"/>
    <row r="36896" hidden="1" x14ac:dyDescent="0.25"/>
    <row r="36897" hidden="1" x14ac:dyDescent="0.25"/>
    <row r="36898" hidden="1" x14ac:dyDescent="0.25"/>
    <row r="36899" hidden="1" x14ac:dyDescent="0.25"/>
    <row r="36900" hidden="1" x14ac:dyDescent="0.25"/>
    <row r="36901" hidden="1" x14ac:dyDescent="0.25"/>
    <row r="36902" hidden="1" x14ac:dyDescent="0.25"/>
    <row r="36903" hidden="1" x14ac:dyDescent="0.25"/>
    <row r="36904" hidden="1" x14ac:dyDescent="0.25"/>
    <row r="36905" hidden="1" x14ac:dyDescent="0.25"/>
    <row r="36906" hidden="1" x14ac:dyDescent="0.25"/>
    <row r="36907" hidden="1" x14ac:dyDescent="0.25"/>
    <row r="36908" hidden="1" x14ac:dyDescent="0.25"/>
    <row r="36909" hidden="1" x14ac:dyDescent="0.25"/>
    <row r="36910" hidden="1" x14ac:dyDescent="0.25"/>
    <row r="36911" hidden="1" x14ac:dyDescent="0.25"/>
    <row r="36912" hidden="1" x14ac:dyDescent="0.25"/>
    <row r="36913" hidden="1" x14ac:dyDescent="0.25"/>
    <row r="36914" hidden="1" x14ac:dyDescent="0.25"/>
    <row r="36915" hidden="1" x14ac:dyDescent="0.25"/>
    <row r="36916" hidden="1" x14ac:dyDescent="0.25"/>
    <row r="36917" hidden="1" x14ac:dyDescent="0.25"/>
    <row r="36918" hidden="1" x14ac:dyDescent="0.25"/>
    <row r="36919" hidden="1" x14ac:dyDescent="0.25"/>
    <row r="36920" hidden="1" x14ac:dyDescent="0.25"/>
    <row r="36921" hidden="1" x14ac:dyDescent="0.25"/>
    <row r="36922" hidden="1" x14ac:dyDescent="0.25"/>
    <row r="36923" hidden="1" x14ac:dyDescent="0.25"/>
    <row r="36924" hidden="1" x14ac:dyDescent="0.25"/>
    <row r="36925" hidden="1" x14ac:dyDescent="0.25"/>
    <row r="36926" hidden="1" x14ac:dyDescent="0.25"/>
    <row r="36927" hidden="1" x14ac:dyDescent="0.25"/>
    <row r="36928" hidden="1" x14ac:dyDescent="0.25"/>
    <row r="36929" hidden="1" x14ac:dyDescent="0.25"/>
    <row r="36930" hidden="1" x14ac:dyDescent="0.25"/>
    <row r="36931" hidden="1" x14ac:dyDescent="0.25"/>
    <row r="36932" hidden="1" x14ac:dyDescent="0.25"/>
    <row r="36933" hidden="1" x14ac:dyDescent="0.25"/>
    <row r="36934" hidden="1" x14ac:dyDescent="0.25"/>
    <row r="36935" hidden="1" x14ac:dyDescent="0.25"/>
    <row r="36936" hidden="1" x14ac:dyDescent="0.25"/>
    <row r="36937" hidden="1" x14ac:dyDescent="0.25"/>
    <row r="36938" hidden="1" x14ac:dyDescent="0.25"/>
    <row r="36939" hidden="1" x14ac:dyDescent="0.25"/>
    <row r="36940" hidden="1" x14ac:dyDescent="0.25"/>
    <row r="36941" hidden="1" x14ac:dyDescent="0.25"/>
    <row r="36942" hidden="1" x14ac:dyDescent="0.25"/>
    <row r="36943" hidden="1" x14ac:dyDescent="0.25"/>
    <row r="36944" hidden="1" x14ac:dyDescent="0.25"/>
    <row r="36945" hidden="1" x14ac:dyDescent="0.25"/>
    <row r="36946" hidden="1" x14ac:dyDescent="0.25"/>
    <row r="36947" hidden="1" x14ac:dyDescent="0.25"/>
    <row r="36948" hidden="1" x14ac:dyDescent="0.25"/>
    <row r="36949" hidden="1" x14ac:dyDescent="0.25"/>
    <row r="36950" hidden="1" x14ac:dyDescent="0.25"/>
    <row r="36951" hidden="1" x14ac:dyDescent="0.25"/>
    <row r="36952" hidden="1" x14ac:dyDescent="0.25"/>
    <row r="36953" hidden="1" x14ac:dyDescent="0.25"/>
    <row r="36954" hidden="1" x14ac:dyDescent="0.25"/>
    <row r="36955" hidden="1" x14ac:dyDescent="0.25"/>
    <row r="36956" hidden="1" x14ac:dyDescent="0.25"/>
    <row r="36957" hidden="1" x14ac:dyDescent="0.25"/>
    <row r="36958" hidden="1" x14ac:dyDescent="0.25"/>
    <row r="36959" hidden="1" x14ac:dyDescent="0.25"/>
    <row r="36960" hidden="1" x14ac:dyDescent="0.25"/>
    <row r="36961" hidden="1" x14ac:dyDescent="0.25"/>
    <row r="36962" hidden="1" x14ac:dyDescent="0.25"/>
    <row r="36963" hidden="1" x14ac:dyDescent="0.25"/>
    <row r="36964" hidden="1" x14ac:dyDescent="0.25"/>
    <row r="36965" hidden="1" x14ac:dyDescent="0.25"/>
    <row r="36966" hidden="1" x14ac:dyDescent="0.25"/>
    <row r="36967" hidden="1" x14ac:dyDescent="0.25"/>
    <row r="36968" hidden="1" x14ac:dyDescent="0.25"/>
    <row r="36969" hidden="1" x14ac:dyDescent="0.25"/>
    <row r="36970" hidden="1" x14ac:dyDescent="0.25"/>
    <row r="36971" hidden="1" x14ac:dyDescent="0.25"/>
    <row r="36972" hidden="1" x14ac:dyDescent="0.25"/>
    <row r="36973" hidden="1" x14ac:dyDescent="0.25"/>
    <row r="36974" hidden="1" x14ac:dyDescent="0.25"/>
    <row r="36975" hidden="1" x14ac:dyDescent="0.25"/>
    <row r="36976" hidden="1" x14ac:dyDescent="0.25"/>
    <row r="36977" hidden="1" x14ac:dyDescent="0.25"/>
    <row r="36978" hidden="1" x14ac:dyDescent="0.25"/>
    <row r="36979" hidden="1" x14ac:dyDescent="0.25"/>
    <row r="36980" hidden="1" x14ac:dyDescent="0.25"/>
    <row r="36981" hidden="1" x14ac:dyDescent="0.25"/>
    <row r="36982" hidden="1" x14ac:dyDescent="0.25"/>
    <row r="36983" hidden="1" x14ac:dyDescent="0.25"/>
    <row r="36984" hidden="1" x14ac:dyDescent="0.25"/>
    <row r="36985" hidden="1" x14ac:dyDescent="0.25"/>
    <row r="36986" hidden="1" x14ac:dyDescent="0.25"/>
    <row r="36987" hidden="1" x14ac:dyDescent="0.25"/>
    <row r="36988" hidden="1" x14ac:dyDescent="0.25"/>
    <row r="36989" hidden="1" x14ac:dyDescent="0.25"/>
    <row r="36990" hidden="1" x14ac:dyDescent="0.25"/>
    <row r="36991" hidden="1" x14ac:dyDescent="0.25"/>
    <row r="36992" hidden="1" x14ac:dyDescent="0.25"/>
    <row r="36993" hidden="1" x14ac:dyDescent="0.25"/>
    <row r="36994" hidden="1" x14ac:dyDescent="0.25"/>
    <row r="36995" hidden="1" x14ac:dyDescent="0.25"/>
    <row r="36996" hidden="1" x14ac:dyDescent="0.25"/>
    <row r="36997" hidden="1" x14ac:dyDescent="0.25"/>
    <row r="36998" hidden="1" x14ac:dyDescent="0.25"/>
    <row r="36999" hidden="1" x14ac:dyDescent="0.25"/>
    <row r="37000" hidden="1" x14ac:dyDescent="0.25"/>
    <row r="37001" hidden="1" x14ac:dyDescent="0.25"/>
    <row r="37002" hidden="1" x14ac:dyDescent="0.25"/>
    <row r="37003" hidden="1" x14ac:dyDescent="0.25"/>
    <row r="37004" hidden="1" x14ac:dyDescent="0.25"/>
    <row r="37005" hidden="1" x14ac:dyDescent="0.25"/>
    <row r="37006" hidden="1" x14ac:dyDescent="0.25"/>
    <row r="37007" hidden="1" x14ac:dyDescent="0.25"/>
    <row r="37008" hidden="1" x14ac:dyDescent="0.25"/>
    <row r="37009" hidden="1" x14ac:dyDescent="0.25"/>
    <row r="37010" hidden="1" x14ac:dyDescent="0.25"/>
    <row r="37011" hidden="1" x14ac:dyDescent="0.25"/>
    <row r="37012" hidden="1" x14ac:dyDescent="0.25"/>
    <row r="37013" hidden="1" x14ac:dyDescent="0.25"/>
    <row r="37014" hidden="1" x14ac:dyDescent="0.25"/>
    <row r="37015" hidden="1" x14ac:dyDescent="0.25"/>
    <row r="37016" hidden="1" x14ac:dyDescent="0.25"/>
    <row r="37017" hidden="1" x14ac:dyDescent="0.25"/>
    <row r="37018" hidden="1" x14ac:dyDescent="0.25"/>
    <row r="37019" hidden="1" x14ac:dyDescent="0.25"/>
    <row r="37020" hidden="1" x14ac:dyDescent="0.25"/>
    <row r="37021" hidden="1" x14ac:dyDescent="0.25"/>
    <row r="37022" hidden="1" x14ac:dyDescent="0.25"/>
    <row r="37023" hidden="1" x14ac:dyDescent="0.25"/>
    <row r="37024" hidden="1" x14ac:dyDescent="0.25"/>
    <row r="37025" hidden="1" x14ac:dyDescent="0.25"/>
    <row r="37026" hidden="1" x14ac:dyDescent="0.25"/>
    <row r="37027" hidden="1" x14ac:dyDescent="0.25"/>
    <row r="37028" hidden="1" x14ac:dyDescent="0.25"/>
    <row r="37029" hidden="1" x14ac:dyDescent="0.25"/>
    <row r="37030" hidden="1" x14ac:dyDescent="0.25"/>
    <row r="37031" hidden="1" x14ac:dyDescent="0.25"/>
    <row r="37032" hidden="1" x14ac:dyDescent="0.25"/>
    <row r="37033" hidden="1" x14ac:dyDescent="0.25"/>
    <row r="37034" hidden="1" x14ac:dyDescent="0.25"/>
    <row r="37035" hidden="1" x14ac:dyDescent="0.25"/>
    <row r="37036" hidden="1" x14ac:dyDescent="0.25"/>
    <row r="37037" hidden="1" x14ac:dyDescent="0.25"/>
    <row r="37038" hidden="1" x14ac:dyDescent="0.25"/>
    <row r="37039" hidden="1" x14ac:dyDescent="0.25"/>
    <row r="37040" hidden="1" x14ac:dyDescent="0.25"/>
    <row r="37041" hidden="1" x14ac:dyDescent="0.25"/>
    <row r="37042" hidden="1" x14ac:dyDescent="0.25"/>
    <row r="37043" hidden="1" x14ac:dyDescent="0.25"/>
    <row r="37044" hidden="1" x14ac:dyDescent="0.25"/>
    <row r="37045" hidden="1" x14ac:dyDescent="0.25"/>
    <row r="37046" hidden="1" x14ac:dyDescent="0.25"/>
    <row r="37047" hidden="1" x14ac:dyDescent="0.25"/>
    <row r="37048" hidden="1" x14ac:dyDescent="0.25"/>
    <row r="37049" hidden="1" x14ac:dyDescent="0.25"/>
    <row r="37050" hidden="1" x14ac:dyDescent="0.25"/>
    <row r="37051" hidden="1" x14ac:dyDescent="0.25"/>
    <row r="37052" hidden="1" x14ac:dyDescent="0.25"/>
    <row r="37053" hidden="1" x14ac:dyDescent="0.25"/>
    <row r="37054" hidden="1" x14ac:dyDescent="0.25"/>
    <row r="37055" hidden="1" x14ac:dyDescent="0.25"/>
    <row r="37056" hidden="1" x14ac:dyDescent="0.25"/>
    <row r="37057" hidden="1" x14ac:dyDescent="0.25"/>
    <row r="37058" hidden="1" x14ac:dyDescent="0.25"/>
    <row r="37059" hidden="1" x14ac:dyDescent="0.25"/>
    <row r="37060" hidden="1" x14ac:dyDescent="0.25"/>
    <row r="37061" hidden="1" x14ac:dyDescent="0.25"/>
    <row r="37062" hidden="1" x14ac:dyDescent="0.25"/>
    <row r="37063" hidden="1" x14ac:dyDescent="0.25"/>
    <row r="37064" hidden="1" x14ac:dyDescent="0.25"/>
    <row r="37065" hidden="1" x14ac:dyDescent="0.25"/>
    <row r="37066" hidden="1" x14ac:dyDescent="0.25"/>
    <row r="37067" hidden="1" x14ac:dyDescent="0.25"/>
    <row r="37068" hidden="1" x14ac:dyDescent="0.25"/>
    <row r="37069" hidden="1" x14ac:dyDescent="0.25"/>
    <row r="37070" hidden="1" x14ac:dyDescent="0.25"/>
    <row r="37071" hidden="1" x14ac:dyDescent="0.25"/>
    <row r="37072" hidden="1" x14ac:dyDescent="0.25"/>
    <row r="37073" hidden="1" x14ac:dyDescent="0.25"/>
    <row r="37074" hidden="1" x14ac:dyDescent="0.25"/>
    <row r="37075" hidden="1" x14ac:dyDescent="0.25"/>
    <row r="37076" hidden="1" x14ac:dyDescent="0.25"/>
    <row r="37077" hidden="1" x14ac:dyDescent="0.25"/>
    <row r="37078" hidden="1" x14ac:dyDescent="0.25"/>
    <row r="37079" hidden="1" x14ac:dyDescent="0.25"/>
    <row r="37080" hidden="1" x14ac:dyDescent="0.25"/>
    <row r="37081" hidden="1" x14ac:dyDescent="0.25"/>
    <row r="37082" hidden="1" x14ac:dyDescent="0.25"/>
    <row r="37083" hidden="1" x14ac:dyDescent="0.25"/>
    <row r="37084" hidden="1" x14ac:dyDescent="0.25"/>
    <row r="37085" hidden="1" x14ac:dyDescent="0.25"/>
    <row r="37086" hidden="1" x14ac:dyDescent="0.25"/>
    <row r="37087" hidden="1" x14ac:dyDescent="0.25"/>
    <row r="37088" hidden="1" x14ac:dyDescent="0.25"/>
    <row r="37089" hidden="1" x14ac:dyDescent="0.25"/>
    <row r="37090" hidden="1" x14ac:dyDescent="0.25"/>
    <row r="37091" hidden="1" x14ac:dyDescent="0.25"/>
    <row r="37092" hidden="1" x14ac:dyDescent="0.25"/>
    <row r="37093" hidden="1" x14ac:dyDescent="0.25"/>
    <row r="37094" hidden="1" x14ac:dyDescent="0.25"/>
    <row r="37095" hidden="1" x14ac:dyDescent="0.25"/>
    <row r="37096" hidden="1" x14ac:dyDescent="0.25"/>
    <row r="37097" hidden="1" x14ac:dyDescent="0.25"/>
    <row r="37098" hidden="1" x14ac:dyDescent="0.25"/>
    <row r="37099" hidden="1" x14ac:dyDescent="0.25"/>
    <row r="37100" hidden="1" x14ac:dyDescent="0.25"/>
    <row r="37101" hidden="1" x14ac:dyDescent="0.25"/>
    <row r="37102" hidden="1" x14ac:dyDescent="0.25"/>
    <row r="37103" hidden="1" x14ac:dyDescent="0.25"/>
    <row r="37104" hidden="1" x14ac:dyDescent="0.25"/>
    <row r="37105" hidden="1" x14ac:dyDescent="0.25"/>
    <row r="37106" hidden="1" x14ac:dyDescent="0.25"/>
    <row r="37107" hidden="1" x14ac:dyDescent="0.25"/>
    <row r="37108" hidden="1" x14ac:dyDescent="0.25"/>
    <row r="37109" hidden="1" x14ac:dyDescent="0.25"/>
    <row r="37110" hidden="1" x14ac:dyDescent="0.25"/>
    <row r="37111" hidden="1" x14ac:dyDescent="0.25"/>
    <row r="37112" hidden="1" x14ac:dyDescent="0.25"/>
    <row r="37113" hidden="1" x14ac:dyDescent="0.25"/>
    <row r="37114" hidden="1" x14ac:dyDescent="0.25"/>
    <row r="37115" hidden="1" x14ac:dyDescent="0.25"/>
    <row r="37116" hidden="1" x14ac:dyDescent="0.25"/>
    <row r="37117" hidden="1" x14ac:dyDescent="0.25"/>
    <row r="37118" hidden="1" x14ac:dyDescent="0.25"/>
    <row r="37119" hidden="1" x14ac:dyDescent="0.25"/>
    <row r="37120" hidden="1" x14ac:dyDescent="0.25"/>
    <row r="37121" hidden="1" x14ac:dyDescent="0.25"/>
    <row r="37122" hidden="1" x14ac:dyDescent="0.25"/>
    <row r="37123" hidden="1" x14ac:dyDescent="0.25"/>
    <row r="37124" hidden="1" x14ac:dyDescent="0.25"/>
    <row r="37125" hidden="1" x14ac:dyDescent="0.25"/>
    <row r="37126" hidden="1" x14ac:dyDescent="0.25"/>
    <row r="37127" hidden="1" x14ac:dyDescent="0.25"/>
    <row r="37128" hidden="1" x14ac:dyDescent="0.25"/>
    <row r="37129" hidden="1" x14ac:dyDescent="0.25"/>
    <row r="37130" hidden="1" x14ac:dyDescent="0.25"/>
    <row r="37131" hidden="1" x14ac:dyDescent="0.25"/>
    <row r="37132" hidden="1" x14ac:dyDescent="0.25"/>
    <row r="37133" hidden="1" x14ac:dyDescent="0.25"/>
    <row r="37134" hidden="1" x14ac:dyDescent="0.25"/>
    <row r="37135" hidden="1" x14ac:dyDescent="0.25"/>
    <row r="37136" hidden="1" x14ac:dyDescent="0.25"/>
    <row r="37137" hidden="1" x14ac:dyDescent="0.25"/>
    <row r="37138" hidden="1" x14ac:dyDescent="0.25"/>
    <row r="37139" hidden="1" x14ac:dyDescent="0.25"/>
    <row r="37140" hidden="1" x14ac:dyDescent="0.25"/>
    <row r="37141" hidden="1" x14ac:dyDescent="0.25"/>
    <row r="37142" hidden="1" x14ac:dyDescent="0.25"/>
    <row r="37143" hidden="1" x14ac:dyDescent="0.25"/>
    <row r="37144" hidden="1" x14ac:dyDescent="0.25"/>
    <row r="37145" hidden="1" x14ac:dyDescent="0.25"/>
    <row r="37146" hidden="1" x14ac:dyDescent="0.25"/>
    <row r="37147" hidden="1" x14ac:dyDescent="0.25"/>
    <row r="37148" hidden="1" x14ac:dyDescent="0.25"/>
    <row r="37149" hidden="1" x14ac:dyDescent="0.25"/>
    <row r="37150" hidden="1" x14ac:dyDescent="0.25"/>
    <row r="37151" hidden="1" x14ac:dyDescent="0.25"/>
    <row r="37152" hidden="1" x14ac:dyDescent="0.25"/>
    <row r="37153" hidden="1" x14ac:dyDescent="0.25"/>
    <row r="37154" hidden="1" x14ac:dyDescent="0.25"/>
    <row r="37155" hidden="1" x14ac:dyDescent="0.25"/>
    <row r="37156" hidden="1" x14ac:dyDescent="0.25"/>
    <row r="37157" hidden="1" x14ac:dyDescent="0.25"/>
    <row r="37158" hidden="1" x14ac:dyDescent="0.25"/>
    <row r="37159" hidden="1" x14ac:dyDescent="0.25"/>
    <row r="37160" hidden="1" x14ac:dyDescent="0.25"/>
    <row r="37161" hidden="1" x14ac:dyDescent="0.25"/>
    <row r="37162" hidden="1" x14ac:dyDescent="0.25"/>
    <row r="37163" hidden="1" x14ac:dyDescent="0.25"/>
    <row r="37164" hidden="1" x14ac:dyDescent="0.25"/>
    <row r="37165" hidden="1" x14ac:dyDescent="0.25"/>
    <row r="37166" hidden="1" x14ac:dyDescent="0.25"/>
    <row r="37167" hidden="1" x14ac:dyDescent="0.25"/>
    <row r="37168" hidden="1" x14ac:dyDescent="0.25"/>
    <row r="37169" hidden="1" x14ac:dyDescent="0.25"/>
    <row r="37170" hidden="1" x14ac:dyDescent="0.25"/>
    <row r="37171" hidden="1" x14ac:dyDescent="0.25"/>
    <row r="37172" hidden="1" x14ac:dyDescent="0.25"/>
    <row r="37173" hidden="1" x14ac:dyDescent="0.25"/>
    <row r="37174" hidden="1" x14ac:dyDescent="0.25"/>
    <row r="37175" hidden="1" x14ac:dyDescent="0.25"/>
    <row r="37176" hidden="1" x14ac:dyDescent="0.25"/>
    <row r="37177" hidden="1" x14ac:dyDescent="0.25"/>
    <row r="37178" hidden="1" x14ac:dyDescent="0.25"/>
    <row r="37179" hidden="1" x14ac:dyDescent="0.25"/>
    <row r="37180" hidden="1" x14ac:dyDescent="0.25"/>
    <row r="37181" hidden="1" x14ac:dyDescent="0.25"/>
    <row r="37182" hidden="1" x14ac:dyDescent="0.25"/>
    <row r="37183" hidden="1" x14ac:dyDescent="0.25"/>
    <row r="37184" hidden="1" x14ac:dyDescent="0.25"/>
    <row r="37185" hidden="1" x14ac:dyDescent="0.25"/>
    <row r="37186" hidden="1" x14ac:dyDescent="0.25"/>
    <row r="37187" hidden="1" x14ac:dyDescent="0.25"/>
    <row r="37188" hidden="1" x14ac:dyDescent="0.25"/>
    <row r="37189" hidden="1" x14ac:dyDescent="0.25"/>
    <row r="37190" hidden="1" x14ac:dyDescent="0.25"/>
    <row r="37191" hidden="1" x14ac:dyDescent="0.25"/>
    <row r="37192" hidden="1" x14ac:dyDescent="0.25"/>
    <row r="37193" hidden="1" x14ac:dyDescent="0.25"/>
    <row r="37194" hidden="1" x14ac:dyDescent="0.25"/>
    <row r="37195" hidden="1" x14ac:dyDescent="0.25"/>
    <row r="37196" hidden="1" x14ac:dyDescent="0.25"/>
    <row r="37197" hidden="1" x14ac:dyDescent="0.25"/>
    <row r="37198" hidden="1" x14ac:dyDescent="0.25"/>
    <row r="37199" hidden="1" x14ac:dyDescent="0.25"/>
    <row r="37200" hidden="1" x14ac:dyDescent="0.25"/>
    <row r="37201" hidden="1" x14ac:dyDescent="0.25"/>
    <row r="37202" hidden="1" x14ac:dyDescent="0.25"/>
    <row r="37203" hidden="1" x14ac:dyDescent="0.25"/>
    <row r="37204" hidden="1" x14ac:dyDescent="0.25"/>
    <row r="37205" hidden="1" x14ac:dyDescent="0.25"/>
    <row r="37206" hidden="1" x14ac:dyDescent="0.25"/>
    <row r="37207" hidden="1" x14ac:dyDescent="0.25"/>
    <row r="37208" hidden="1" x14ac:dyDescent="0.25"/>
    <row r="37209" hidden="1" x14ac:dyDescent="0.25"/>
    <row r="37210" hidden="1" x14ac:dyDescent="0.25"/>
    <row r="37211" hidden="1" x14ac:dyDescent="0.25"/>
    <row r="37212" hidden="1" x14ac:dyDescent="0.25"/>
    <row r="37213" hidden="1" x14ac:dyDescent="0.25"/>
    <row r="37214" hidden="1" x14ac:dyDescent="0.25"/>
    <row r="37215" hidden="1" x14ac:dyDescent="0.25"/>
    <row r="37216" hidden="1" x14ac:dyDescent="0.25"/>
    <row r="37217" hidden="1" x14ac:dyDescent="0.25"/>
    <row r="37218" hidden="1" x14ac:dyDescent="0.25"/>
    <row r="37219" hidden="1" x14ac:dyDescent="0.25"/>
    <row r="37220" hidden="1" x14ac:dyDescent="0.25"/>
    <row r="37221" hidden="1" x14ac:dyDescent="0.25"/>
    <row r="37222" hidden="1" x14ac:dyDescent="0.25"/>
    <row r="37223" hidden="1" x14ac:dyDescent="0.25"/>
    <row r="37224" hidden="1" x14ac:dyDescent="0.25"/>
    <row r="37225" hidden="1" x14ac:dyDescent="0.25"/>
    <row r="37226" hidden="1" x14ac:dyDescent="0.25"/>
    <row r="37227" hidden="1" x14ac:dyDescent="0.25"/>
    <row r="37228" hidden="1" x14ac:dyDescent="0.25"/>
    <row r="37229" hidden="1" x14ac:dyDescent="0.25"/>
    <row r="37230" hidden="1" x14ac:dyDescent="0.25"/>
    <row r="37231" hidden="1" x14ac:dyDescent="0.25"/>
    <row r="37232" hidden="1" x14ac:dyDescent="0.25"/>
    <row r="37233" hidden="1" x14ac:dyDescent="0.25"/>
    <row r="37234" hidden="1" x14ac:dyDescent="0.25"/>
    <row r="37235" hidden="1" x14ac:dyDescent="0.25"/>
    <row r="37236" hidden="1" x14ac:dyDescent="0.25"/>
    <row r="37237" hidden="1" x14ac:dyDescent="0.25"/>
    <row r="37238" hidden="1" x14ac:dyDescent="0.25"/>
    <row r="37239" hidden="1" x14ac:dyDescent="0.25"/>
    <row r="37240" hidden="1" x14ac:dyDescent="0.25"/>
    <row r="37241" hidden="1" x14ac:dyDescent="0.25"/>
    <row r="37242" hidden="1" x14ac:dyDescent="0.25"/>
    <row r="37243" hidden="1" x14ac:dyDescent="0.25"/>
    <row r="37244" hidden="1" x14ac:dyDescent="0.25"/>
    <row r="37245" hidden="1" x14ac:dyDescent="0.25"/>
    <row r="37246" hidden="1" x14ac:dyDescent="0.25"/>
    <row r="37247" hidden="1" x14ac:dyDescent="0.25"/>
    <row r="37248" hidden="1" x14ac:dyDescent="0.25"/>
    <row r="37249" hidden="1" x14ac:dyDescent="0.25"/>
    <row r="37250" hidden="1" x14ac:dyDescent="0.25"/>
    <row r="37251" hidden="1" x14ac:dyDescent="0.25"/>
    <row r="37252" hidden="1" x14ac:dyDescent="0.25"/>
    <row r="37253" hidden="1" x14ac:dyDescent="0.25"/>
    <row r="37254" hidden="1" x14ac:dyDescent="0.25"/>
    <row r="37255" hidden="1" x14ac:dyDescent="0.25"/>
    <row r="37256" hidden="1" x14ac:dyDescent="0.25"/>
    <row r="37257" hidden="1" x14ac:dyDescent="0.25"/>
    <row r="37258" hidden="1" x14ac:dyDescent="0.25"/>
    <row r="37259" hidden="1" x14ac:dyDescent="0.25"/>
    <row r="37260" hidden="1" x14ac:dyDescent="0.25"/>
    <row r="37261" hidden="1" x14ac:dyDescent="0.25"/>
    <row r="37262" hidden="1" x14ac:dyDescent="0.25"/>
    <row r="37263" hidden="1" x14ac:dyDescent="0.25"/>
    <row r="37264" hidden="1" x14ac:dyDescent="0.25"/>
    <row r="37265" hidden="1" x14ac:dyDescent="0.25"/>
    <row r="37266" hidden="1" x14ac:dyDescent="0.25"/>
    <row r="37267" hidden="1" x14ac:dyDescent="0.25"/>
    <row r="37268" hidden="1" x14ac:dyDescent="0.25"/>
    <row r="37269" hidden="1" x14ac:dyDescent="0.25"/>
    <row r="37270" hidden="1" x14ac:dyDescent="0.25"/>
    <row r="37271" hidden="1" x14ac:dyDescent="0.25"/>
    <row r="37272" hidden="1" x14ac:dyDescent="0.25"/>
    <row r="37273" hidden="1" x14ac:dyDescent="0.25"/>
    <row r="37274" hidden="1" x14ac:dyDescent="0.25"/>
    <row r="37275" hidden="1" x14ac:dyDescent="0.25"/>
    <row r="37276" hidden="1" x14ac:dyDescent="0.25"/>
    <row r="37277" hidden="1" x14ac:dyDescent="0.25"/>
    <row r="37278" hidden="1" x14ac:dyDescent="0.25"/>
    <row r="37279" hidden="1" x14ac:dyDescent="0.25"/>
    <row r="37280" hidden="1" x14ac:dyDescent="0.25"/>
    <row r="37281" hidden="1" x14ac:dyDescent="0.25"/>
    <row r="37282" hidden="1" x14ac:dyDescent="0.25"/>
    <row r="37283" hidden="1" x14ac:dyDescent="0.25"/>
    <row r="37284" hidden="1" x14ac:dyDescent="0.25"/>
    <row r="37285" hidden="1" x14ac:dyDescent="0.25"/>
    <row r="37286" hidden="1" x14ac:dyDescent="0.25"/>
    <row r="37287" hidden="1" x14ac:dyDescent="0.25"/>
    <row r="37288" hidden="1" x14ac:dyDescent="0.25"/>
    <row r="37289" hidden="1" x14ac:dyDescent="0.25"/>
    <row r="37290" hidden="1" x14ac:dyDescent="0.25"/>
    <row r="37291" hidden="1" x14ac:dyDescent="0.25"/>
    <row r="37292" hidden="1" x14ac:dyDescent="0.25"/>
    <row r="37293" hidden="1" x14ac:dyDescent="0.25"/>
    <row r="37294" hidden="1" x14ac:dyDescent="0.25"/>
    <row r="37295" hidden="1" x14ac:dyDescent="0.25"/>
    <row r="37296" hidden="1" x14ac:dyDescent="0.25"/>
    <row r="37297" hidden="1" x14ac:dyDescent="0.25"/>
    <row r="37298" hidden="1" x14ac:dyDescent="0.25"/>
    <row r="37299" hidden="1" x14ac:dyDescent="0.25"/>
    <row r="37300" hidden="1" x14ac:dyDescent="0.25"/>
    <row r="37301" hidden="1" x14ac:dyDescent="0.25"/>
    <row r="37302" hidden="1" x14ac:dyDescent="0.25"/>
    <row r="37303" hidden="1" x14ac:dyDescent="0.25"/>
    <row r="37304" hidden="1" x14ac:dyDescent="0.25"/>
    <row r="37305" hidden="1" x14ac:dyDescent="0.25"/>
    <row r="37306" hidden="1" x14ac:dyDescent="0.25"/>
    <row r="37307" hidden="1" x14ac:dyDescent="0.25"/>
    <row r="37308" hidden="1" x14ac:dyDescent="0.25"/>
    <row r="37309" hidden="1" x14ac:dyDescent="0.25"/>
    <row r="37310" hidden="1" x14ac:dyDescent="0.25"/>
    <row r="37311" hidden="1" x14ac:dyDescent="0.25"/>
    <row r="37312" hidden="1" x14ac:dyDescent="0.25"/>
    <row r="37313" hidden="1" x14ac:dyDescent="0.25"/>
    <row r="37314" hidden="1" x14ac:dyDescent="0.25"/>
    <row r="37315" hidden="1" x14ac:dyDescent="0.25"/>
    <row r="37316" hidden="1" x14ac:dyDescent="0.25"/>
    <row r="37317" hidden="1" x14ac:dyDescent="0.25"/>
    <row r="37318" hidden="1" x14ac:dyDescent="0.25"/>
    <row r="37319" hidden="1" x14ac:dyDescent="0.25"/>
    <row r="37320" hidden="1" x14ac:dyDescent="0.25"/>
    <row r="37321" hidden="1" x14ac:dyDescent="0.25"/>
    <row r="37322" hidden="1" x14ac:dyDescent="0.25"/>
    <row r="37323" hidden="1" x14ac:dyDescent="0.25"/>
    <row r="37324" hidden="1" x14ac:dyDescent="0.25"/>
    <row r="37325" hidden="1" x14ac:dyDescent="0.25"/>
    <row r="37326" hidden="1" x14ac:dyDescent="0.25"/>
    <row r="37327" hidden="1" x14ac:dyDescent="0.25"/>
    <row r="37328" hidden="1" x14ac:dyDescent="0.25"/>
    <row r="37329" hidden="1" x14ac:dyDescent="0.25"/>
    <row r="37330" hidden="1" x14ac:dyDescent="0.25"/>
    <row r="37331" hidden="1" x14ac:dyDescent="0.25"/>
    <row r="37332" hidden="1" x14ac:dyDescent="0.25"/>
    <row r="37333" hidden="1" x14ac:dyDescent="0.25"/>
    <row r="37334" hidden="1" x14ac:dyDescent="0.25"/>
    <row r="37335" hidden="1" x14ac:dyDescent="0.25"/>
    <row r="37336" hidden="1" x14ac:dyDescent="0.25"/>
    <row r="37337" hidden="1" x14ac:dyDescent="0.25"/>
    <row r="37338" hidden="1" x14ac:dyDescent="0.25"/>
    <row r="37339" hidden="1" x14ac:dyDescent="0.25"/>
    <row r="37340" hidden="1" x14ac:dyDescent="0.25"/>
    <row r="37341" hidden="1" x14ac:dyDescent="0.25"/>
    <row r="37342" hidden="1" x14ac:dyDescent="0.25"/>
    <row r="37343" hidden="1" x14ac:dyDescent="0.25"/>
    <row r="37344" hidden="1" x14ac:dyDescent="0.25"/>
    <row r="37345" hidden="1" x14ac:dyDescent="0.25"/>
    <row r="37346" hidden="1" x14ac:dyDescent="0.25"/>
    <row r="37347" hidden="1" x14ac:dyDescent="0.25"/>
    <row r="37348" hidden="1" x14ac:dyDescent="0.25"/>
    <row r="37349" hidden="1" x14ac:dyDescent="0.25"/>
    <row r="37350" hidden="1" x14ac:dyDescent="0.25"/>
    <row r="37351" hidden="1" x14ac:dyDescent="0.25"/>
    <row r="37352" hidden="1" x14ac:dyDescent="0.25"/>
    <row r="37353" hidden="1" x14ac:dyDescent="0.25"/>
    <row r="37354" hidden="1" x14ac:dyDescent="0.25"/>
    <row r="37355" hidden="1" x14ac:dyDescent="0.25"/>
    <row r="37356" hidden="1" x14ac:dyDescent="0.25"/>
    <row r="37357" hidden="1" x14ac:dyDescent="0.25"/>
    <row r="37358" hidden="1" x14ac:dyDescent="0.25"/>
    <row r="37359" hidden="1" x14ac:dyDescent="0.25"/>
    <row r="37360" hidden="1" x14ac:dyDescent="0.25"/>
    <row r="37361" hidden="1" x14ac:dyDescent="0.25"/>
    <row r="37362" hidden="1" x14ac:dyDescent="0.25"/>
    <row r="37363" hidden="1" x14ac:dyDescent="0.25"/>
    <row r="37364" hidden="1" x14ac:dyDescent="0.25"/>
    <row r="37365" hidden="1" x14ac:dyDescent="0.25"/>
    <row r="37366" hidden="1" x14ac:dyDescent="0.25"/>
    <row r="37367" hidden="1" x14ac:dyDescent="0.25"/>
    <row r="37368" hidden="1" x14ac:dyDescent="0.25"/>
    <row r="37369" hidden="1" x14ac:dyDescent="0.25"/>
    <row r="37370" hidden="1" x14ac:dyDescent="0.25"/>
    <row r="37371" hidden="1" x14ac:dyDescent="0.25"/>
    <row r="37372" hidden="1" x14ac:dyDescent="0.25"/>
    <row r="37373" hidden="1" x14ac:dyDescent="0.25"/>
    <row r="37374" hidden="1" x14ac:dyDescent="0.25"/>
    <row r="37375" hidden="1" x14ac:dyDescent="0.25"/>
    <row r="37376" hidden="1" x14ac:dyDescent="0.25"/>
    <row r="37377" hidden="1" x14ac:dyDescent="0.25"/>
    <row r="37378" hidden="1" x14ac:dyDescent="0.25"/>
    <row r="37379" hidden="1" x14ac:dyDescent="0.25"/>
    <row r="37380" hidden="1" x14ac:dyDescent="0.25"/>
    <row r="37381" hidden="1" x14ac:dyDescent="0.25"/>
    <row r="37382" hidden="1" x14ac:dyDescent="0.25"/>
    <row r="37383" hidden="1" x14ac:dyDescent="0.25"/>
    <row r="37384" hidden="1" x14ac:dyDescent="0.25"/>
    <row r="37385" hidden="1" x14ac:dyDescent="0.25"/>
    <row r="37386" hidden="1" x14ac:dyDescent="0.25"/>
    <row r="37387" hidden="1" x14ac:dyDescent="0.25"/>
    <row r="37388" hidden="1" x14ac:dyDescent="0.25"/>
    <row r="37389" hidden="1" x14ac:dyDescent="0.25"/>
    <row r="37390" hidden="1" x14ac:dyDescent="0.25"/>
    <row r="37391" hidden="1" x14ac:dyDescent="0.25"/>
    <row r="37392" hidden="1" x14ac:dyDescent="0.25"/>
    <row r="37393" hidden="1" x14ac:dyDescent="0.25"/>
    <row r="37394" hidden="1" x14ac:dyDescent="0.25"/>
    <row r="37395" hidden="1" x14ac:dyDescent="0.25"/>
    <row r="37396" hidden="1" x14ac:dyDescent="0.25"/>
    <row r="37397" hidden="1" x14ac:dyDescent="0.25"/>
    <row r="37398" hidden="1" x14ac:dyDescent="0.25"/>
    <row r="37399" hidden="1" x14ac:dyDescent="0.25"/>
    <row r="37400" hidden="1" x14ac:dyDescent="0.25"/>
    <row r="37401" hidden="1" x14ac:dyDescent="0.25"/>
    <row r="37402" hidden="1" x14ac:dyDescent="0.25"/>
    <row r="37403" hidden="1" x14ac:dyDescent="0.25"/>
    <row r="37404" hidden="1" x14ac:dyDescent="0.25"/>
    <row r="37405" hidden="1" x14ac:dyDescent="0.25"/>
    <row r="37406" hidden="1" x14ac:dyDescent="0.25"/>
    <row r="37407" hidden="1" x14ac:dyDescent="0.25"/>
    <row r="37408" hidden="1" x14ac:dyDescent="0.25"/>
    <row r="37409" hidden="1" x14ac:dyDescent="0.25"/>
    <row r="37410" hidden="1" x14ac:dyDescent="0.25"/>
    <row r="37411" hidden="1" x14ac:dyDescent="0.25"/>
    <row r="37412" hidden="1" x14ac:dyDescent="0.25"/>
    <row r="37413" hidden="1" x14ac:dyDescent="0.25"/>
    <row r="37414" hidden="1" x14ac:dyDescent="0.25"/>
    <row r="37415" hidden="1" x14ac:dyDescent="0.25"/>
    <row r="37416" hidden="1" x14ac:dyDescent="0.25"/>
    <row r="37417" hidden="1" x14ac:dyDescent="0.25"/>
    <row r="37418" hidden="1" x14ac:dyDescent="0.25"/>
    <row r="37419" hidden="1" x14ac:dyDescent="0.25"/>
    <row r="37420" hidden="1" x14ac:dyDescent="0.25"/>
    <row r="37421" hidden="1" x14ac:dyDescent="0.25"/>
    <row r="37422" hidden="1" x14ac:dyDescent="0.25"/>
    <row r="37423" hidden="1" x14ac:dyDescent="0.25"/>
    <row r="37424" hidden="1" x14ac:dyDescent="0.25"/>
    <row r="37425" hidden="1" x14ac:dyDescent="0.25"/>
    <row r="37426" hidden="1" x14ac:dyDescent="0.25"/>
    <row r="37427" hidden="1" x14ac:dyDescent="0.25"/>
    <row r="37428" hidden="1" x14ac:dyDescent="0.25"/>
    <row r="37429" hidden="1" x14ac:dyDescent="0.25"/>
    <row r="37430" hidden="1" x14ac:dyDescent="0.25"/>
    <row r="37431" hidden="1" x14ac:dyDescent="0.25"/>
    <row r="37432" hidden="1" x14ac:dyDescent="0.25"/>
    <row r="37433" hidden="1" x14ac:dyDescent="0.25"/>
    <row r="37434" hidden="1" x14ac:dyDescent="0.25"/>
    <row r="37435" hidden="1" x14ac:dyDescent="0.25"/>
    <row r="37436" hidden="1" x14ac:dyDescent="0.25"/>
    <row r="37437" hidden="1" x14ac:dyDescent="0.25"/>
    <row r="37438" hidden="1" x14ac:dyDescent="0.25"/>
    <row r="37439" hidden="1" x14ac:dyDescent="0.25"/>
    <row r="37440" hidden="1" x14ac:dyDescent="0.25"/>
    <row r="37441" hidden="1" x14ac:dyDescent="0.25"/>
    <row r="37442" hidden="1" x14ac:dyDescent="0.25"/>
    <row r="37443" hidden="1" x14ac:dyDescent="0.25"/>
    <row r="37444" hidden="1" x14ac:dyDescent="0.25"/>
    <row r="37445" hidden="1" x14ac:dyDescent="0.25"/>
    <row r="37446" hidden="1" x14ac:dyDescent="0.25"/>
    <row r="37447" hidden="1" x14ac:dyDescent="0.25"/>
    <row r="37448" hidden="1" x14ac:dyDescent="0.25"/>
    <row r="37449" hidden="1" x14ac:dyDescent="0.25"/>
    <row r="37450" hidden="1" x14ac:dyDescent="0.25"/>
    <row r="37451" hidden="1" x14ac:dyDescent="0.25"/>
    <row r="37452" hidden="1" x14ac:dyDescent="0.25"/>
    <row r="37453" hidden="1" x14ac:dyDescent="0.25"/>
    <row r="37454" hidden="1" x14ac:dyDescent="0.25"/>
    <row r="37455" hidden="1" x14ac:dyDescent="0.25"/>
    <row r="37456" hidden="1" x14ac:dyDescent="0.25"/>
    <row r="37457" hidden="1" x14ac:dyDescent="0.25"/>
    <row r="37458" hidden="1" x14ac:dyDescent="0.25"/>
    <row r="37459" hidden="1" x14ac:dyDescent="0.25"/>
    <row r="37460" hidden="1" x14ac:dyDescent="0.25"/>
    <row r="37461" hidden="1" x14ac:dyDescent="0.25"/>
    <row r="37462" hidden="1" x14ac:dyDescent="0.25"/>
    <row r="37463" hidden="1" x14ac:dyDescent="0.25"/>
    <row r="37464" hidden="1" x14ac:dyDescent="0.25"/>
    <row r="37465" hidden="1" x14ac:dyDescent="0.25"/>
    <row r="37466" hidden="1" x14ac:dyDescent="0.25"/>
    <row r="37467" hidden="1" x14ac:dyDescent="0.25"/>
    <row r="37468" hidden="1" x14ac:dyDescent="0.25"/>
    <row r="37469" hidden="1" x14ac:dyDescent="0.25"/>
    <row r="37470" hidden="1" x14ac:dyDescent="0.25"/>
    <row r="37471" hidden="1" x14ac:dyDescent="0.25"/>
    <row r="37472" hidden="1" x14ac:dyDescent="0.25"/>
    <row r="37473" hidden="1" x14ac:dyDescent="0.25"/>
    <row r="37474" hidden="1" x14ac:dyDescent="0.25"/>
    <row r="37475" hidden="1" x14ac:dyDescent="0.25"/>
    <row r="37476" hidden="1" x14ac:dyDescent="0.25"/>
    <row r="37477" hidden="1" x14ac:dyDescent="0.25"/>
    <row r="37478" hidden="1" x14ac:dyDescent="0.25"/>
    <row r="37479" hidden="1" x14ac:dyDescent="0.25"/>
    <row r="37480" hidden="1" x14ac:dyDescent="0.25"/>
    <row r="37481" hidden="1" x14ac:dyDescent="0.25"/>
    <row r="37482" hidden="1" x14ac:dyDescent="0.25"/>
    <row r="37483" hidden="1" x14ac:dyDescent="0.25"/>
    <row r="37484" hidden="1" x14ac:dyDescent="0.25"/>
    <row r="37485" hidden="1" x14ac:dyDescent="0.25"/>
    <row r="37486" hidden="1" x14ac:dyDescent="0.25"/>
    <row r="37487" hidden="1" x14ac:dyDescent="0.25"/>
    <row r="37488" hidden="1" x14ac:dyDescent="0.25"/>
    <row r="37489" hidden="1" x14ac:dyDescent="0.25"/>
    <row r="37490" hidden="1" x14ac:dyDescent="0.25"/>
    <row r="37491" hidden="1" x14ac:dyDescent="0.25"/>
    <row r="37492" hidden="1" x14ac:dyDescent="0.25"/>
    <row r="37493" hidden="1" x14ac:dyDescent="0.25"/>
    <row r="37494" hidden="1" x14ac:dyDescent="0.25"/>
    <row r="37495" hidden="1" x14ac:dyDescent="0.25"/>
    <row r="37496" hidden="1" x14ac:dyDescent="0.25"/>
    <row r="37497" hidden="1" x14ac:dyDescent="0.25"/>
    <row r="37498" hidden="1" x14ac:dyDescent="0.25"/>
    <row r="37499" hidden="1" x14ac:dyDescent="0.25"/>
    <row r="37500" hidden="1" x14ac:dyDescent="0.25"/>
    <row r="37501" hidden="1" x14ac:dyDescent="0.25"/>
    <row r="37502" hidden="1" x14ac:dyDescent="0.25"/>
    <row r="37503" hidden="1" x14ac:dyDescent="0.25"/>
    <row r="37504" hidden="1" x14ac:dyDescent="0.25"/>
    <row r="37505" hidden="1" x14ac:dyDescent="0.25"/>
    <row r="37506" hidden="1" x14ac:dyDescent="0.25"/>
    <row r="37507" hidden="1" x14ac:dyDescent="0.25"/>
    <row r="37508" hidden="1" x14ac:dyDescent="0.25"/>
    <row r="37509" hidden="1" x14ac:dyDescent="0.25"/>
    <row r="37510" hidden="1" x14ac:dyDescent="0.25"/>
    <row r="37511" hidden="1" x14ac:dyDescent="0.25"/>
    <row r="37512" hidden="1" x14ac:dyDescent="0.25"/>
    <row r="37513" hidden="1" x14ac:dyDescent="0.25"/>
    <row r="37514" hidden="1" x14ac:dyDescent="0.25"/>
    <row r="37515" hidden="1" x14ac:dyDescent="0.25"/>
    <row r="37516" hidden="1" x14ac:dyDescent="0.25"/>
    <row r="37517" hidden="1" x14ac:dyDescent="0.25"/>
    <row r="37518" hidden="1" x14ac:dyDescent="0.25"/>
    <row r="37519" hidden="1" x14ac:dyDescent="0.25"/>
    <row r="37520" hidden="1" x14ac:dyDescent="0.25"/>
    <row r="37521" hidden="1" x14ac:dyDescent="0.25"/>
    <row r="37522" hidden="1" x14ac:dyDescent="0.25"/>
    <row r="37523" hidden="1" x14ac:dyDescent="0.25"/>
    <row r="37524" hidden="1" x14ac:dyDescent="0.25"/>
    <row r="37525" hidden="1" x14ac:dyDescent="0.25"/>
    <row r="37526" hidden="1" x14ac:dyDescent="0.25"/>
    <row r="37527" hidden="1" x14ac:dyDescent="0.25"/>
    <row r="37528" hidden="1" x14ac:dyDescent="0.25"/>
    <row r="37529" hidden="1" x14ac:dyDescent="0.25"/>
    <row r="37530" hidden="1" x14ac:dyDescent="0.25"/>
    <row r="37531" hidden="1" x14ac:dyDescent="0.25"/>
    <row r="37532" hidden="1" x14ac:dyDescent="0.25"/>
    <row r="37533" hidden="1" x14ac:dyDescent="0.25"/>
    <row r="37534" hidden="1" x14ac:dyDescent="0.25"/>
    <row r="37535" hidden="1" x14ac:dyDescent="0.25"/>
    <row r="37536" hidden="1" x14ac:dyDescent="0.25"/>
    <row r="37537" hidden="1" x14ac:dyDescent="0.25"/>
    <row r="37538" hidden="1" x14ac:dyDescent="0.25"/>
    <row r="37539" hidden="1" x14ac:dyDescent="0.25"/>
    <row r="37540" hidden="1" x14ac:dyDescent="0.25"/>
    <row r="37541" hidden="1" x14ac:dyDescent="0.25"/>
    <row r="37542" hidden="1" x14ac:dyDescent="0.25"/>
    <row r="37543" hidden="1" x14ac:dyDescent="0.25"/>
    <row r="37544" hidden="1" x14ac:dyDescent="0.25"/>
    <row r="37545" hidden="1" x14ac:dyDescent="0.25"/>
    <row r="37546" hidden="1" x14ac:dyDescent="0.25"/>
    <row r="37547" hidden="1" x14ac:dyDescent="0.25"/>
    <row r="37548" hidden="1" x14ac:dyDescent="0.25"/>
    <row r="37549" hidden="1" x14ac:dyDescent="0.25"/>
    <row r="37550" hidden="1" x14ac:dyDescent="0.25"/>
    <row r="37551" hidden="1" x14ac:dyDescent="0.25"/>
    <row r="37552" hidden="1" x14ac:dyDescent="0.25"/>
    <row r="37553" hidden="1" x14ac:dyDescent="0.25"/>
    <row r="37554" hidden="1" x14ac:dyDescent="0.25"/>
    <row r="37555" hidden="1" x14ac:dyDescent="0.25"/>
    <row r="37556" hidden="1" x14ac:dyDescent="0.25"/>
    <row r="37557" hidden="1" x14ac:dyDescent="0.25"/>
    <row r="37558" hidden="1" x14ac:dyDescent="0.25"/>
    <row r="37559" hidden="1" x14ac:dyDescent="0.25"/>
    <row r="37560" hidden="1" x14ac:dyDescent="0.25"/>
    <row r="37561" hidden="1" x14ac:dyDescent="0.25"/>
    <row r="37562" hidden="1" x14ac:dyDescent="0.25"/>
    <row r="37563" hidden="1" x14ac:dyDescent="0.25"/>
    <row r="37564" hidden="1" x14ac:dyDescent="0.25"/>
    <row r="37565" hidden="1" x14ac:dyDescent="0.25"/>
    <row r="37566" hidden="1" x14ac:dyDescent="0.25"/>
    <row r="37567" hidden="1" x14ac:dyDescent="0.25"/>
    <row r="37568" hidden="1" x14ac:dyDescent="0.25"/>
    <row r="37569" hidden="1" x14ac:dyDescent="0.25"/>
    <row r="37570" hidden="1" x14ac:dyDescent="0.25"/>
    <row r="37571" hidden="1" x14ac:dyDescent="0.25"/>
    <row r="37572" hidden="1" x14ac:dyDescent="0.25"/>
    <row r="37573" hidden="1" x14ac:dyDescent="0.25"/>
    <row r="37574" hidden="1" x14ac:dyDescent="0.25"/>
    <row r="37575" hidden="1" x14ac:dyDescent="0.25"/>
    <row r="37576" hidden="1" x14ac:dyDescent="0.25"/>
    <row r="37577" hidden="1" x14ac:dyDescent="0.25"/>
    <row r="37578" hidden="1" x14ac:dyDescent="0.25"/>
    <row r="37579" hidden="1" x14ac:dyDescent="0.25"/>
    <row r="37580" hidden="1" x14ac:dyDescent="0.25"/>
    <row r="37581" hidden="1" x14ac:dyDescent="0.25"/>
    <row r="37582" hidden="1" x14ac:dyDescent="0.25"/>
    <row r="37583" hidden="1" x14ac:dyDescent="0.25"/>
    <row r="37584" hidden="1" x14ac:dyDescent="0.25"/>
    <row r="37585" hidden="1" x14ac:dyDescent="0.25"/>
    <row r="37586" hidden="1" x14ac:dyDescent="0.25"/>
    <row r="37587" hidden="1" x14ac:dyDescent="0.25"/>
    <row r="37588" hidden="1" x14ac:dyDescent="0.25"/>
    <row r="37589" hidden="1" x14ac:dyDescent="0.25"/>
    <row r="37590" hidden="1" x14ac:dyDescent="0.25"/>
    <row r="37591" hidden="1" x14ac:dyDescent="0.25"/>
    <row r="37592" hidden="1" x14ac:dyDescent="0.25"/>
    <row r="37593" hidden="1" x14ac:dyDescent="0.25"/>
    <row r="37594" hidden="1" x14ac:dyDescent="0.25"/>
    <row r="37595" hidden="1" x14ac:dyDescent="0.25"/>
    <row r="37596" hidden="1" x14ac:dyDescent="0.25"/>
    <row r="37597" hidden="1" x14ac:dyDescent="0.25"/>
    <row r="37598" hidden="1" x14ac:dyDescent="0.25"/>
    <row r="37599" hidden="1" x14ac:dyDescent="0.25"/>
    <row r="37600" hidden="1" x14ac:dyDescent="0.25"/>
    <row r="37601" hidden="1" x14ac:dyDescent="0.25"/>
    <row r="37602" hidden="1" x14ac:dyDescent="0.25"/>
    <row r="37603" hidden="1" x14ac:dyDescent="0.25"/>
    <row r="37604" hidden="1" x14ac:dyDescent="0.25"/>
    <row r="37605" hidden="1" x14ac:dyDescent="0.25"/>
    <row r="37606" hidden="1" x14ac:dyDescent="0.25"/>
    <row r="37607" hidden="1" x14ac:dyDescent="0.25"/>
    <row r="37608" hidden="1" x14ac:dyDescent="0.25"/>
    <row r="37609" hidden="1" x14ac:dyDescent="0.25"/>
    <row r="37610" hidden="1" x14ac:dyDescent="0.25"/>
    <row r="37611" hidden="1" x14ac:dyDescent="0.25"/>
    <row r="37612" hidden="1" x14ac:dyDescent="0.25"/>
    <row r="37613" hidden="1" x14ac:dyDescent="0.25"/>
    <row r="37614" hidden="1" x14ac:dyDescent="0.25"/>
    <row r="37615" hidden="1" x14ac:dyDescent="0.25"/>
    <row r="37616" hidden="1" x14ac:dyDescent="0.25"/>
    <row r="37617" hidden="1" x14ac:dyDescent="0.25"/>
    <row r="37618" hidden="1" x14ac:dyDescent="0.25"/>
    <row r="37619" hidden="1" x14ac:dyDescent="0.25"/>
    <row r="37620" hidden="1" x14ac:dyDescent="0.25"/>
    <row r="37621" hidden="1" x14ac:dyDescent="0.25"/>
    <row r="37622" hidden="1" x14ac:dyDescent="0.25"/>
    <row r="37623" hidden="1" x14ac:dyDescent="0.25"/>
    <row r="37624" hidden="1" x14ac:dyDescent="0.25"/>
    <row r="37625" hidden="1" x14ac:dyDescent="0.25"/>
    <row r="37626" hidden="1" x14ac:dyDescent="0.25"/>
    <row r="37627" hidden="1" x14ac:dyDescent="0.25"/>
    <row r="37628" hidden="1" x14ac:dyDescent="0.25"/>
    <row r="37629" hidden="1" x14ac:dyDescent="0.25"/>
    <row r="37630" hidden="1" x14ac:dyDescent="0.25"/>
    <row r="37631" hidden="1" x14ac:dyDescent="0.25"/>
    <row r="37632" hidden="1" x14ac:dyDescent="0.25"/>
    <row r="37633" hidden="1" x14ac:dyDescent="0.25"/>
    <row r="37634" hidden="1" x14ac:dyDescent="0.25"/>
    <row r="37635" hidden="1" x14ac:dyDescent="0.25"/>
    <row r="37636" hidden="1" x14ac:dyDescent="0.25"/>
    <row r="37637" hidden="1" x14ac:dyDescent="0.25"/>
    <row r="37638" hidden="1" x14ac:dyDescent="0.25"/>
    <row r="37639" hidden="1" x14ac:dyDescent="0.25"/>
    <row r="37640" hidden="1" x14ac:dyDescent="0.25"/>
    <row r="37641" hidden="1" x14ac:dyDescent="0.25"/>
    <row r="37642" hidden="1" x14ac:dyDescent="0.25"/>
    <row r="37643" hidden="1" x14ac:dyDescent="0.25"/>
    <row r="37644" hidden="1" x14ac:dyDescent="0.25"/>
    <row r="37645" hidden="1" x14ac:dyDescent="0.25"/>
    <row r="37646" hidden="1" x14ac:dyDescent="0.25"/>
    <row r="37647" hidden="1" x14ac:dyDescent="0.25"/>
    <row r="37648" hidden="1" x14ac:dyDescent="0.25"/>
    <row r="37649" hidden="1" x14ac:dyDescent="0.25"/>
    <row r="37650" hidden="1" x14ac:dyDescent="0.25"/>
    <row r="37651" hidden="1" x14ac:dyDescent="0.25"/>
    <row r="37652" hidden="1" x14ac:dyDescent="0.25"/>
    <row r="37653" hidden="1" x14ac:dyDescent="0.25"/>
    <row r="37654" hidden="1" x14ac:dyDescent="0.25"/>
    <row r="37655" hidden="1" x14ac:dyDescent="0.25"/>
    <row r="37656" hidden="1" x14ac:dyDescent="0.25"/>
    <row r="37657" hidden="1" x14ac:dyDescent="0.25"/>
    <row r="37658" hidden="1" x14ac:dyDescent="0.25"/>
    <row r="37659" hidden="1" x14ac:dyDescent="0.25"/>
    <row r="37660" hidden="1" x14ac:dyDescent="0.25"/>
    <row r="37661" hidden="1" x14ac:dyDescent="0.25"/>
    <row r="37662" hidden="1" x14ac:dyDescent="0.25"/>
    <row r="37663" hidden="1" x14ac:dyDescent="0.25"/>
    <row r="37664" hidden="1" x14ac:dyDescent="0.25"/>
    <row r="37665" hidden="1" x14ac:dyDescent="0.25"/>
    <row r="37666" hidden="1" x14ac:dyDescent="0.25"/>
    <row r="37667" hidden="1" x14ac:dyDescent="0.25"/>
    <row r="37668" hidden="1" x14ac:dyDescent="0.25"/>
    <row r="37669" hidden="1" x14ac:dyDescent="0.25"/>
    <row r="37670" hidden="1" x14ac:dyDescent="0.25"/>
    <row r="37671" hidden="1" x14ac:dyDescent="0.25"/>
    <row r="37672" hidden="1" x14ac:dyDescent="0.25"/>
    <row r="37673" hidden="1" x14ac:dyDescent="0.25"/>
    <row r="37674" hidden="1" x14ac:dyDescent="0.25"/>
    <row r="37675" hidden="1" x14ac:dyDescent="0.25"/>
    <row r="37676" hidden="1" x14ac:dyDescent="0.25"/>
    <row r="37677" hidden="1" x14ac:dyDescent="0.25"/>
    <row r="37678" hidden="1" x14ac:dyDescent="0.25"/>
    <row r="37679" hidden="1" x14ac:dyDescent="0.25"/>
    <row r="37680" hidden="1" x14ac:dyDescent="0.25"/>
    <row r="37681" hidden="1" x14ac:dyDescent="0.25"/>
    <row r="37682" hidden="1" x14ac:dyDescent="0.25"/>
    <row r="37683" hidden="1" x14ac:dyDescent="0.25"/>
    <row r="37684" hidden="1" x14ac:dyDescent="0.25"/>
    <row r="37685" hidden="1" x14ac:dyDescent="0.25"/>
    <row r="37686" hidden="1" x14ac:dyDescent="0.25"/>
    <row r="37687" hidden="1" x14ac:dyDescent="0.25"/>
    <row r="37688" hidden="1" x14ac:dyDescent="0.25"/>
    <row r="37689" hidden="1" x14ac:dyDescent="0.25"/>
    <row r="37690" hidden="1" x14ac:dyDescent="0.25"/>
    <row r="37691" hidden="1" x14ac:dyDescent="0.25"/>
    <row r="37692" hidden="1" x14ac:dyDescent="0.25"/>
    <row r="37693" hidden="1" x14ac:dyDescent="0.25"/>
    <row r="37694" hidden="1" x14ac:dyDescent="0.25"/>
    <row r="37695" hidden="1" x14ac:dyDescent="0.25"/>
    <row r="37696" hidden="1" x14ac:dyDescent="0.25"/>
    <row r="37697" hidden="1" x14ac:dyDescent="0.25"/>
    <row r="37698" hidden="1" x14ac:dyDescent="0.25"/>
    <row r="37699" hidden="1" x14ac:dyDescent="0.25"/>
    <row r="37700" hidden="1" x14ac:dyDescent="0.25"/>
    <row r="37701" hidden="1" x14ac:dyDescent="0.25"/>
    <row r="37702" hidden="1" x14ac:dyDescent="0.25"/>
    <row r="37703" hidden="1" x14ac:dyDescent="0.25"/>
    <row r="37704" hidden="1" x14ac:dyDescent="0.25"/>
    <row r="37705" hidden="1" x14ac:dyDescent="0.25"/>
    <row r="37706" hidden="1" x14ac:dyDescent="0.25"/>
    <row r="37707" hidden="1" x14ac:dyDescent="0.25"/>
    <row r="37708" hidden="1" x14ac:dyDescent="0.25"/>
    <row r="37709" hidden="1" x14ac:dyDescent="0.25"/>
    <row r="37710" hidden="1" x14ac:dyDescent="0.25"/>
    <row r="37711" hidden="1" x14ac:dyDescent="0.25"/>
    <row r="37712" hidden="1" x14ac:dyDescent="0.25"/>
    <row r="37713" hidden="1" x14ac:dyDescent="0.25"/>
    <row r="37714" hidden="1" x14ac:dyDescent="0.25"/>
    <row r="37715" hidden="1" x14ac:dyDescent="0.25"/>
    <row r="37716" hidden="1" x14ac:dyDescent="0.25"/>
    <row r="37717" hidden="1" x14ac:dyDescent="0.25"/>
    <row r="37718" hidden="1" x14ac:dyDescent="0.25"/>
    <row r="37719" hidden="1" x14ac:dyDescent="0.25"/>
    <row r="37720" hidden="1" x14ac:dyDescent="0.25"/>
    <row r="37721" hidden="1" x14ac:dyDescent="0.25"/>
    <row r="37722" hidden="1" x14ac:dyDescent="0.25"/>
    <row r="37723" hidden="1" x14ac:dyDescent="0.25"/>
    <row r="37724" hidden="1" x14ac:dyDescent="0.25"/>
    <row r="37725" hidden="1" x14ac:dyDescent="0.25"/>
    <row r="37726" hidden="1" x14ac:dyDescent="0.25"/>
    <row r="37727" hidden="1" x14ac:dyDescent="0.25"/>
    <row r="37728" hidden="1" x14ac:dyDescent="0.25"/>
    <row r="37729" hidden="1" x14ac:dyDescent="0.25"/>
    <row r="37730" hidden="1" x14ac:dyDescent="0.25"/>
    <row r="37731" hidden="1" x14ac:dyDescent="0.25"/>
    <row r="37732" hidden="1" x14ac:dyDescent="0.25"/>
    <row r="37733" hidden="1" x14ac:dyDescent="0.25"/>
    <row r="37734" hidden="1" x14ac:dyDescent="0.25"/>
    <row r="37735" hidden="1" x14ac:dyDescent="0.25"/>
    <row r="37736" hidden="1" x14ac:dyDescent="0.25"/>
    <row r="37737" hidden="1" x14ac:dyDescent="0.25"/>
    <row r="37738" hidden="1" x14ac:dyDescent="0.25"/>
    <row r="37739" hidden="1" x14ac:dyDescent="0.25"/>
    <row r="37740" hidden="1" x14ac:dyDescent="0.25"/>
    <row r="37741" hidden="1" x14ac:dyDescent="0.25"/>
    <row r="37742" hidden="1" x14ac:dyDescent="0.25"/>
    <row r="37743" hidden="1" x14ac:dyDescent="0.25"/>
    <row r="37744" hidden="1" x14ac:dyDescent="0.25"/>
    <row r="37745" hidden="1" x14ac:dyDescent="0.25"/>
    <row r="37746" hidden="1" x14ac:dyDescent="0.25"/>
    <row r="37747" hidden="1" x14ac:dyDescent="0.25"/>
    <row r="37748" hidden="1" x14ac:dyDescent="0.25"/>
    <row r="37749" hidden="1" x14ac:dyDescent="0.25"/>
    <row r="37750" hidden="1" x14ac:dyDescent="0.25"/>
    <row r="37751" hidden="1" x14ac:dyDescent="0.25"/>
    <row r="37752" hidden="1" x14ac:dyDescent="0.25"/>
    <row r="37753" hidden="1" x14ac:dyDescent="0.25"/>
    <row r="37754" hidden="1" x14ac:dyDescent="0.25"/>
    <row r="37755" hidden="1" x14ac:dyDescent="0.25"/>
    <row r="37756" hidden="1" x14ac:dyDescent="0.25"/>
    <row r="37757" hidden="1" x14ac:dyDescent="0.25"/>
    <row r="37758" hidden="1" x14ac:dyDescent="0.25"/>
    <row r="37759" hidden="1" x14ac:dyDescent="0.25"/>
    <row r="37760" hidden="1" x14ac:dyDescent="0.25"/>
    <row r="37761" hidden="1" x14ac:dyDescent="0.25"/>
    <row r="37762" hidden="1" x14ac:dyDescent="0.25"/>
    <row r="37763" hidden="1" x14ac:dyDescent="0.25"/>
    <row r="37764" hidden="1" x14ac:dyDescent="0.25"/>
    <row r="37765" hidden="1" x14ac:dyDescent="0.25"/>
    <row r="37766" hidden="1" x14ac:dyDescent="0.25"/>
    <row r="37767" hidden="1" x14ac:dyDescent="0.25"/>
    <row r="37768" hidden="1" x14ac:dyDescent="0.25"/>
    <row r="37769" hidden="1" x14ac:dyDescent="0.25"/>
    <row r="37770" hidden="1" x14ac:dyDescent="0.25"/>
    <row r="37771" hidden="1" x14ac:dyDescent="0.25"/>
    <row r="37772" hidden="1" x14ac:dyDescent="0.25"/>
    <row r="37773" hidden="1" x14ac:dyDescent="0.25"/>
    <row r="37774" hidden="1" x14ac:dyDescent="0.25"/>
    <row r="37775" hidden="1" x14ac:dyDescent="0.25"/>
    <row r="37776" hidden="1" x14ac:dyDescent="0.25"/>
    <row r="37777" hidden="1" x14ac:dyDescent="0.25"/>
    <row r="37778" hidden="1" x14ac:dyDescent="0.25"/>
    <row r="37779" hidden="1" x14ac:dyDescent="0.25"/>
    <row r="37780" hidden="1" x14ac:dyDescent="0.25"/>
    <row r="37781" hidden="1" x14ac:dyDescent="0.25"/>
    <row r="37782" hidden="1" x14ac:dyDescent="0.25"/>
    <row r="37783" hidden="1" x14ac:dyDescent="0.25"/>
    <row r="37784" hidden="1" x14ac:dyDescent="0.25"/>
    <row r="37785" hidden="1" x14ac:dyDescent="0.25"/>
    <row r="37786" hidden="1" x14ac:dyDescent="0.25"/>
    <row r="37787" hidden="1" x14ac:dyDescent="0.25"/>
    <row r="37788" hidden="1" x14ac:dyDescent="0.25"/>
    <row r="37789" hidden="1" x14ac:dyDescent="0.25"/>
    <row r="37790" hidden="1" x14ac:dyDescent="0.25"/>
    <row r="37791" hidden="1" x14ac:dyDescent="0.25"/>
    <row r="37792" hidden="1" x14ac:dyDescent="0.25"/>
    <row r="37793" hidden="1" x14ac:dyDescent="0.25"/>
    <row r="37794" hidden="1" x14ac:dyDescent="0.25"/>
    <row r="37795" hidden="1" x14ac:dyDescent="0.25"/>
    <row r="37796" hidden="1" x14ac:dyDescent="0.25"/>
    <row r="37797" hidden="1" x14ac:dyDescent="0.25"/>
    <row r="37798" hidden="1" x14ac:dyDescent="0.25"/>
    <row r="37799" hidden="1" x14ac:dyDescent="0.25"/>
    <row r="37800" hidden="1" x14ac:dyDescent="0.25"/>
    <row r="37801" hidden="1" x14ac:dyDescent="0.25"/>
    <row r="37802" hidden="1" x14ac:dyDescent="0.25"/>
    <row r="37803" hidden="1" x14ac:dyDescent="0.25"/>
    <row r="37804" hidden="1" x14ac:dyDescent="0.25"/>
    <row r="37805" hidden="1" x14ac:dyDescent="0.25"/>
    <row r="37806" hidden="1" x14ac:dyDescent="0.25"/>
    <row r="37807" hidden="1" x14ac:dyDescent="0.25"/>
    <row r="37808" hidden="1" x14ac:dyDescent="0.25"/>
    <row r="37809" hidden="1" x14ac:dyDescent="0.25"/>
    <row r="37810" hidden="1" x14ac:dyDescent="0.25"/>
    <row r="37811" hidden="1" x14ac:dyDescent="0.25"/>
    <row r="37812" hidden="1" x14ac:dyDescent="0.25"/>
    <row r="37813" hidden="1" x14ac:dyDescent="0.25"/>
    <row r="37814" hidden="1" x14ac:dyDescent="0.25"/>
    <row r="37815" hidden="1" x14ac:dyDescent="0.25"/>
    <row r="37816" hidden="1" x14ac:dyDescent="0.25"/>
    <row r="37817" hidden="1" x14ac:dyDescent="0.25"/>
    <row r="37818" hidden="1" x14ac:dyDescent="0.25"/>
    <row r="37819" hidden="1" x14ac:dyDescent="0.25"/>
    <row r="37820" hidden="1" x14ac:dyDescent="0.25"/>
    <row r="37821" hidden="1" x14ac:dyDescent="0.25"/>
    <row r="37822" hidden="1" x14ac:dyDescent="0.25"/>
    <row r="37823" hidden="1" x14ac:dyDescent="0.25"/>
    <row r="37824" hidden="1" x14ac:dyDescent="0.25"/>
    <row r="37825" hidden="1" x14ac:dyDescent="0.25"/>
    <row r="37826" hidden="1" x14ac:dyDescent="0.25"/>
    <row r="37827" hidden="1" x14ac:dyDescent="0.25"/>
    <row r="37828" hidden="1" x14ac:dyDescent="0.25"/>
    <row r="37829" hidden="1" x14ac:dyDescent="0.25"/>
    <row r="37830" hidden="1" x14ac:dyDescent="0.25"/>
    <row r="37831" hidden="1" x14ac:dyDescent="0.25"/>
    <row r="37832" hidden="1" x14ac:dyDescent="0.25"/>
    <row r="37833" hidden="1" x14ac:dyDescent="0.25"/>
    <row r="37834" hidden="1" x14ac:dyDescent="0.25"/>
    <row r="37835" hidden="1" x14ac:dyDescent="0.25"/>
    <row r="37836" hidden="1" x14ac:dyDescent="0.25"/>
    <row r="37837" hidden="1" x14ac:dyDescent="0.25"/>
    <row r="37838" hidden="1" x14ac:dyDescent="0.25"/>
    <row r="37839" hidden="1" x14ac:dyDescent="0.25"/>
    <row r="37840" hidden="1" x14ac:dyDescent="0.25"/>
    <row r="37841" hidden="1" x14ac:dyDescent="0.25"/>
    <row r="37842" hidden="1" x14ac:dyDescent="0.25"/>
    <row r="37843" hidden="1" x14ac:dyDescent="0.25"/>
    <row r="37844" hidden="1" x14ac:dyDescent="0.25"/>
    <row r="37845" hidden="1" x14ac:dyDescent="0.25"/>
    <row r="37846" hidden="1" x14ac:dyDescent="0.25"/>
    <row r="37847" hidden="1" x14ac:dyDescent="0.25"/>
    <row r="37848" hidden="1" x14ac:dyDescent="0.25"/>
    <row r="37849" hidden="1" x14ac:dyDescent="0.25"/>
    <row r="37850" hidden="1" x14ac:dyDescent="0.25"/>
    <row r="37851" hidden="1" x14ac:dyDescent="0.25"/>
    <row r="37852" hidden="1" x14ac:dyDescent="0.25"/>
    <row r="37853" hidden="1" x14ac:dyDescent="0.25"/>
    <row r="37854" hidden="1" x14ac:dyDescent="0.25"/>
    <row r="37855" hidden="1" x14ac:dyDescent="0.25"/>
    <row r="37856" hidden="1" x14ac:dyDescent="0.25"/>
    <row r="37857" hidden="1" x14ac:dyDescent="0.25"/>
    <row r="37858" hidden="1" x14ac:dyDescent="0.25"/>
    <row r="37859" hidden="1" x14ac:dyDescent="0.25"/>
    <row r="37860" hidden="1" x14ac:dyDescent="0.25"/>
    <row r="37861" hidden="1" x14ac:dyDescent="0.25"/>
    <row r="37862" hidden="1" x14ac:dyDescent="0.25"/>
    <row r="37863" hidden="1" x14ac:dyDescent="0.25"/>
    <row r="37864" hidden="1" x14ac:dyDescent="0.25"/>
    <row r="37865" hidden="1" x14ac:dyDescent="0.25"/>
    <row r="37866" hidden="1" x14ac:dyDescent="0.25"/>
    <row r="37867" hidden="1" x14ac:dyDescent="0.25"/>
    <row r="37868" hidden="1" x14ac:dyDescent="0.25"/>
    <row r="37869" hidden="1" x14ac:dyDescent="0.25"/>
    <row r="37870" hidden="1" x14ac:dyDescent="0.25"/>
    <row r="37871" hidden="1" x14ac:dyDescent="0.25"/>
    <row r="37872" hidden="1" x14ac:dyDescent="0.25"/>
    <row r="37873" hidden="1" x14ac:dyDescent="0.25"/>
    <row r="37874" hidden="1" x14ac:dyDescent="0.25"/>
    <row r="37875" hidden="1" x14ac:dyDescent="0.25"/>
    <row r="37876" hidden="1" x14ac:dyDescent="0.25"/>
    <row r="37877" hidden="1" x14ac:dyDescent="0.25"/>
    <row r="37878" hidden="1" x14ac:dyDescent="0.25"/>
    <row r="37879" hidden="1" x14ac:dyDescent="0.25"/>
    <row r="37880" hidden="1" x14ac:dyDescent="0.25"/>
    <row r="37881" hidden="1" x14ac:dyDescent="0.25"/>
    <row r="37882" hidden="1" x14ac:dyDescent="0.25"/>
    <row r="37883" hidden="1" x14ac:dyDescent="0.25"/>
    <row r="37884" hidden="1" x14ac:dyDescent="0.25"/>
    <row r="37885" hidden="1" x14ac:dyDescent="0.25"/>
    <row r="37886" hidden="1" x14ac:dyDescent="0.25"/>
    <row r="37887" hidden="1" x14ac:dyDescent="0.25"/>
    <row r="37888" hidden="1" x14ac:dyDescent="0.25"/>
    <row r="37889" hidden="1" x14ac:dyDescent="0.25"/>
    <row r="37890" hidden="1" x14ac:dyDescent="0.25"/>
    <row r="37891" hidden="1" x14ac:dyDescent="0.25"/>
    <row r="37892" hidden="1" x14ac:dyDescent="0.25"/>
    <row r="37893" hidden="1" x14ac:dyDescent="0.25"/>
    <row r="37894" hidden="1" x14ac:dyDescent="0.25"/>
    <row r="37895" hidden="1" x14ac:dyDescent="0.25"/>
    <row r="37896" hidden="1" x14ac:dyDescent="0.25"/>
    <row r="37897" hidden="1" x14ac:dyDescent="0.25"/>
    <row r="37898" hidden="1" x14ac:dyDescent="0.25"/>
    <row r="37899" hidden="1" x14ac:dyDescent="0.25"/>
    <row r="37900" hidden="1" x14ac:dyDescent="0.25"/>
    <row r="37901" hidden="1" x14ac:dyDescent="0.25"/>
    <row r="37902" hidden="1" x14ac:dyDescent="0.25"/>
    <row r="37903" hidden="1" x14ac:dyDescent="0.25"/>
    <row r="37904" hidden="1" x14ac:dyDescent="0.25"/>
    <row r="37905" hidden="1" x14ac:dyDescent="0.25"/>
    <row r="37906" hidden="1" x14ac:dyDescent="0.25"/>
    <row r="37907" hidden="1" x14ac:dyDescent="0.25"/>
    <row r="37908" hidden="1" x14ac:dyDescent="0.25"/>
    <row r="37909" hidden="1" x14ac:dyDescent="0.25"/>
    <row r="37910" hidden="1" x14ac:dyDescent="0.25"/>
    <row r="37911" hidden="1" x14ac:dyDescent="0.25"/>
    <row r="37912" hidden="1" x14ac:dyDescent="0.25"/>
    <row r="37913" hidden="1" x14ac:dyDescent="0.25"/>
    <row r="37914" hidden="1" x14ac:dyDescent="0.25"/>
    <row r="37915" hidden="1" x14ac:dyDescent="0.25"/>
    <row r="37916" hidden="1" x14ac:dyDescent="0.25"/>
    <row r="37917" hidden="1" x14ac:dyDescent="0.25"/>
    <row r="37918" hidden="1" x14ac:dyDescent="0.25"/>
    <row r="37919" hidden="1" x14ac:dyDescent="0.25"/>
    <row r="37920" hidden="1" x14ac:dyDescent="0.25"/>
    <row r="37921" hidden="1" x14ac:dyDescent="0.25"/>
    <row r="37922" hidden="1" x14ac:dyDescent="0.25"/>
    <row r="37923" hidden="1" x14ac:dyDescent="0.25"/>
    <row r="37924" hidden="1" x14ac:dyDescent="0.25"/>
    <row r="37925" hidden="1" x14ac:dyDescent="0.25"/>
    <row r="37926" hidden="1" x14ac:dyDescent="0.25"/>
    <row r="37927" hidden="1" x14ac:dyDescent="0.25"/>
    <row r="37928" hidden="1" x14ac:dyDescent="0.25"/>
    <row r="37929" hidden="1" x14ac:dyDescent="0.25"/>
    <row r="37930" hidden="1" x14ac:dyDescent="0.25"/>
    <row r="37931" hidden="1" x14ac:dyDescent="0.25"/>
    <row r="37932" hidden="1" x14ac:dyDescent="0.25"/>
    <row r="37933" hidden="1" x14ac:dyDescent="0.25"/>
    <row r="37934" hidden="1" x14ac:dyDescent="0.25"/>
    <row r="37935" hidden="1" x14ac:dyDescent="0.25"/>
    <row r="37936" hidden="1" x14ac:dyDescent="0.25"/>
    <row r="37937" hidden="1" x14ac:dyDescent="0.25"/>
    <row r="37938" hidden="1" x14ac:dyDescent="0.25"/>
    <row r="37939" hidden="1" x14ac:dyDescent="0.25"/>
    <row r="37940" hidden="1" x14ac:dyDescent="0.25"/>
    <row r="37941" hidden="1" x14ac:dyDescent="0.25"/>
    <row r="37942" hidden="1" x14ac:dyDescent="0.25"/>
    <row r="37943" hidden="1" x14ac:dyDescent="0.25"/>
    <row r="37944" hidden="1" x14ac:dyDescent="0.25"/>
    <row r="37945" hidden="1" x14ac:dyDescent="0.25"/>
    <row r="37946" hidden="1" x14ac:dyDescent="0.25"/>
    <row r="37947" hidden="1" x14ac:dyDescent="0.25"/>
    <row r="37948" hidden="1" x14ac:dyDescent="0.25"/>
    <row r="37949" hidden="1" x14ac:dyDescent="0.25"/>
    <row r="37950" hidden="1" x14ac:dyDescent="0.25"/>
    <row r="37951" hidden="1" x14ac:dyDescent="0.25"/>
    <row r="37952" hidden="1" x14ac:dyDescent="0.25"/>
    <row r="37953" hidden="1" x14ac:dyDescent="0.25"/>
    <row r="37954" hidden="1" x14ac:dyDescent="0.25"/>
    <row r="37955" hidden="1" x14ac:dyDescent="0.25"/>
    <row r="37956" hidden="1" x14ac:dyDescent="0.25"/>
    <row r="37957" hidden="1" x14ac:dyDescent="0.25"/>
    <row r="37958" hidden="1" x14ac:dyDescent="0.25"/>
    <row r="37959" hidden="1" x14ac:dyDescent="0.25"/>
    <row r="37960" hidden="1" x14ac:dyDescent="0.25"/>
    <row r="37961" hidden="1" x14ac:dyDescent="0.25"/>
    <row r="37962" hidden="1" x14ac:dyDescent="0.25"/>
    <row r="37963" hidden="1" x14ac:dyDescent="0.25"/>
    <row r="37964" hidden="1" x14ac:dyDescent="0.25"/>
    <row r="37965" hidden="1" x14ac:dyDescent="0.25"/>
    <row r="37966" hidden="1" x14ac:dyDescent="0.25"/>
    <row r="37967" hidden="1" x14ac:dyDescent="0.25"/>
    <row r="37968" hidden="1" x14ac:dyDescent="0.25"/>
    <row r="37969" hidden="1" x14ac:dyDescent="0.25"/>
    <row r="37970" hidden="1" x14ac:dyDescent="0.25"/>
    <row r="37971" hidden="1" x14ac:dyDescent="0.25"/>
    <row r="37972" hidden="1" x14ac:dyDescent="0.25"/>
    <row r="37973" hidden="1" x14ac:dyDescent="0.25"/>
    <row r="37974" hidden="1" x14ac:dyDescent="0.25"/>
    <row r="37975" hidden="1" x14ac:dyDescent="0.25"/>
    <row r="37976" hidden="1" x14ac:dyDescent="0.25"/>
    <row r="37977" hidden="1" x14ac:dyDescent="0.25"/>
    <row r="37978" hidden="1" x14ac:dyDescent="0.25"/>
    <row r="37979" hidden="1" x14ac:dyDescent="0.25"/>
    <row r="37980" hidden="1" x14ac:dyDescent="0.25"/>
    <row r="37981" hidden="1" x14ac:dyDescent="0.25"/>
    <row r="37982" hidden="1" x14ac:dyDescent="0.25"/>
    <row r="37983" hidden="1" x14ac:dyDescent="0.25"/>
    <row r="37984" hidden="1" x14ac:dyDescent="0.25"/>
    <row r="37985" hidden="1" x14ac:dyDescent="0.25"/>
    <row r="37986" hidden="1" x14ac:dyDescent="0.25"/>
    <row r="37987" hidden="1" x14ac:dyDescent="0.25"/>
    <row r="37988" hidden="1" x14ac:dyDescent="0.25"/>
    <row r="37989" hidden="1" x14ac:dyDescent="0.25"/>
    <row r="37990" hidden="1" x14ac:dyDescent="0.25"/>
    <row r="37991" hidden="1" x14ac:dyDescent="0.25"/>
    <row r="37992" hidden="1" x14ac:dyDescent="0.25"/>
    <row r="37993" hidden="1" x14ac:dyDescent="0.25"/>
    <row r="37994" hidden="1" x14ac:dyDescent="0.25"/>
    <row r="37995" hidden="1" x14ac:dyDescent="0.25"/>
    <row r="37996" hidden="1" x14ac:dyDescent="0.25"/>
    <row r="37997" hidden="1" x14ac:dyDescent="0.25"/>
    <row r="37998" hidden="1" x14ac:dyDescent="0.25"/>
    <row r="37999" hidden="1" x14ac:dyDescent="0.25"/>
    <row r="38000" hidden="1" x14ac:dyDescent="0.25"/>
    <row r="38001" hidden="1" x14ac:dyDescent="0.25"/>
    <row r="38002" hidden="1" x14ac:dyDescent="0.25"/>
    <row r="38003" hidden="1" x14ac:dyDescent="0.25"/>
    <row r="38004" hidden="1" x14ac:dyDescent="0.25"/>
    <row r="38005" hidden="1" x14ac:dyDescent="0.25"/>
    <row r="38006" hidden="1" x14ac:dyDescent="0.25"/>
    <row r="38007" hidden="1" x14ac:dyDescent="0.25"/>
    <row r="38008" hidden="1" x14ac:dyDescent="0.25"/>
    <row r="38009" hidden="1" x14ac:dyDescent="0.25"/>
    <row r="38010" hidden="1" x14ac:dyDescent="0.25"/>
    <row r="38011" hidden="1" x14ac:dyDescent="0.25"/>
    <row r="38012" hidden="1" x14ac:dyDescent="0.25"/>
    <row r="38013" hidden="1" x14ac:dyDescent="0.25"/>
    <row r="38014" hidden="1" x14ac:dyDescent="0.25"/>
    <row r="38015" hidden="1" x14ac:dyDescent="0.25"/>
    <row r="38016" hidden="1" x14ac:dyDescent="0.25"/>
    <row r="38017" hidden="1" x14ac:dyDescent="0.25"/>
    <row r="38018" hidden="1" x14ac:dyDescent="0.25"/>
    <row r="38019" hidden="1" x14ac:dyDescent="0.25"/>
    <row r="38020" hidden="1" x14ac:dyDescent="0.25"/>
    <row r="38021" hidden="1" x14ac:dyDescent="0.25"/>
    <row r="38022" hidden="1" x14ac:dyDescent="0.25"/>
    <row r="38023" hidden="1" x14ac:dyDescent="0.25"/>
    <row r="38024" hidden="1" x14ac:dyDescent="0.25"/>
    <row r="38025" hidden="1" x14ac:dyDescent="0.25"/>
    <row r="38026" hidden="1" x14ac:dyDescent="0.25"/>
    <row r="38027" hidden="1" x14ac:dyDescent="0.25"/>
    <row r="38028" hidden="1" x14ac:dyDescent="0.25"/>
    <row r="38029" hidden="1" x14ac:dyDescent="0.25"/>
    <row r="38030" hidden="1" x14ac:dyDescent="0.25"/>
    <row r="38031" hidden="1" x14ac:dyDescent="0.25"/>
    <row r="38032" hidden="1" x14ac:dyDescent="0.25"/>
    <row r="38033" hidden="1" x14ac:dyDescent="0.25"/>
    <row r="38034" hidden="1" x14ac:dyDescent="0.25"/>
    <row r="38035" hidden="1" x14ac:dyDescent="0.25"/>
    <row r="38036" hidden="1" x14ac:dyDescent="0.25"/>
    <row r="38037" hidden="1" x14ac:dyDescent="0.25"/>
    <row r="38038" hidden="1" x14ac:dyDescent="0.25"/>
    <row r="38039" hidden="1" x14ac:dyDescent="0.25"/>
    <row r="38040" hidden="1" x14ac:dyDescent="0.25"/>
    <row r="38041" hidden="1" x14ac:dyDescent="0.25"/>
    <row r="38042" hidden="1" x14ac:dyDescent="0.25"/>
    <row r="38043" hidden="1" x14ac:dyDescent="0.25"/>
    <row r="38044" hidden="1" x14ac:dyDescent="0.25"/>
    <row r="38045" hidden="1" x14ac:dyDescent="0.25"/>
    <row r="38046" hidden="1" x14ac:dyDescent="0.25"/>
    <row r="38047" hidden="1" x14ac:dyDescent="0.25"/>
    <row r="38048" hidden="1" x14ac:dyDescent="0.25"/>
    <row r="38049" hidden="1" x14ac:dyDescent="0.25"/>
    <row r="38050" hidden="1" x14ac:dyDescent="0.25"/>
    <row r="38051" hidden="1" x14ac:dyDescent="0.25"/>
    <row r="38052" hidden="1" x14ac:dyDescent="0.25"/>
    <row r="38053" hidden="1" x14ac:dyDescent="0.25"/>
    <row r="38054" hidden="1" x14ac:dyDescent="0.25"/>
    <row r="38055" hidden="1" x14ac:dyDescent="0.25"/>
    <row r="38056" hidden="1" x14ac:dyDescent="0.25"/>
    <row r="38057" hidden="1" x14ac:dyDescent="0.25"/>
    <row r="38058" hidden="1" x14ac:dyDescent="0.25"/>
    <row r="38059" hidden="1" x14ac:dyDescent="0.25"/>
    <row r="38060" hidden="1" x14ac:dyDescent="0.25"/>
    <row r="38061" hidden="1" x14ac:dyDescent="0.25"/>
    <row r="38062" hidden="1" x14ac:dyDescent="0.25"/>
    <row r="38063" hidden="1" x14ac:dyDescent="0.25"/>
    <row r="38064" hidden="1" x14ac:dyDescent="0.25"/>
    <row r="38065" hidden="1" x14ac:dyDescent="0.25"/>
    <row r="38066" hidden="1" x14ac:dyDescent="0.25"/>
    <row r="38067" hidden="1" x14ac:dyDescent="0.25"/>
    <row r="38068" hidden="1" x14ac:dyDescent="0.25"/>
    <row r="38069" hidden="1" x14ac:dyDescent="0.25"/>
    <row r="38070" hidden="1" x14ac:dyDescent="0.25"/>
    <row r="38071" hidden="1" x14ac:dyDescent="0.25"/>
    <row r="38072" hidden="1" x14ac:dyDescent="0.25"/>
    <row r="38073" hidden="1" x14ac:dyDescent="0.25"/>
    <row r="38074" hidden="1" x14ac:dyDescent="0.25"/>
    <row r="38075" hidden="1" x14ac:dyDescent="0.25"/>
    <row r="38076" hidden="1" x14ac:dyDescent="0.25"/>
    <row r="38077" hidden="1" x14ac:dyDescent="0.25"/>
    <row r="38078" hidden="1" x14ac:dyDescent="0.25"/>
    <row r="38079" hidden="1" x14ac:dyDescent="0.25"/>
    <row r="38080" hidden="1" x14ac:dyDescent="0.25"/>
    <row r="38081" hidden="1" x14ac:dyDescent="0.25"/>
    <row r="38082" hidden="1" x14ac:dyDescent="0.25"/>
    <row r="38083" hidden="1" x14ac:dyDescent="0.25"/>
    <row r="38084" hidden="1" x14ac:dyDescent="0.25"/>
    <row r="38085" hidden="1" x14ac:dyDescent="0.25"/>
    <row r="38086" hidden="1" x14ac:dyDescent="0.25"/>
    <row r="38087" hidden="1" x14ac:dyDescent="0.25"/>
    <row r="38088" hidden="1" x14ac:dyDescent="0.25"/>
    <row r="38089" hidden="1" x14ac:dyDescent="0.25"/>
    <row r="38090" hidden="1" x14ac:dyDescent="0.25"/>
    <row r="38091" hidden="1" x14ac:dyDescent="0.25"/>
    <row r="38092" hidden="1" x14ac:dyDescent="0.25"/>
    <row r="38093" hidden="1" x14ac:dyDescent="0.25"/>
    <row r="38094" hidden="1" x14ac:dyDescent="0.25"/>
    <row r="38095" hidden="1" x14ac:dyDescent="0.25"/>
    <row r="38096" hidden="1" x14ac:dyDescent="0.25"/>
    <row r="38097" hidden="1" x14ac:dyDescent="0.25"/>
    <row r="38098" hidden="1" x14ac:dyDescent="0.25"/>
    <row r="38099" hidden="1" x14ac:dyDescent="0.25"/>
    <row r="38100" hidden="1" x14ac:dyDescent="0.25"/>
    <row r="38101" hidden="1" x14ac:dyDescent="0.25"/>
    <row r="38102" hidden="1" x14ac:dyDescent="0.25"/>
    <row r="38103" hidden="1" x14ac:dyDescent="0.25"/>
    <row r="38104" hidden="1" x14ac:dyDescent="0.25"/>
    <row r="38105" hidden="1" x14ac:dyDescent="0.25"/>
    <row r="38106" hidden="1" x14ac:dyDescent="0.25"/>
    <row r="38107" hidden="1" x14ac:dyDescent="0.25"/>
    <row r="38108" hidden="1" x14ac:dyDescent="0.25"/>
    <row r="38109" hidden="1" x14ac:dyDescent="0.25"/>
    <row r="38110" hidden="1" x14ac:dyDescent="0.25"/>
    <row r="38111" hidden="1" x14ac:dyDescent="0.25"/>
    <row r="38112" hidden="1" x14ac:dyDescent="0.25"/>
    <row r="38113" hidden="1" x14ac:dyDescent="0.25"/>
    <row r="38114" hidden="1" x14ac:dyDescent="0.25"/>
    <row r="38115" hidden="1" x14ac:dyDescent="0.25"/>
    <row r="38116" hidden="1" x14ac:dyDescent="0.25"/>
    <row r="38117" hidden="1" x14ac:dyDescent="0.25"/>
    <row r="38118" hidden="1" x14ac:dyDescent="0.25"/>
    <row r="38119" hidden="1" x14ac:dyDescent="0.25"/>
    <row r="38120" hidden="1" x14ac:dyDescent="0.25"/>
    <row r="38121" hidden="1" x14ac:dyDescent="0.25"/>
    <row r="38122" hidden="1" x14ac:dyDescent="0.25"/>
    <row r="38123" hidden="1" x14ac:dyDescent="0.25"/>
    <row r="38124" hidden="1" x14ac:dyDescent="0.25"/>
    <row r="38125" hidden="1" x14ac:dyDescent="0.25"/>
    <row r="38126" hidden="1" x14ac:dyDescent="0.25"/>
    <row r="38127" hidden="1" x14ac:dyDescent="0.25"/>
    <row r="38128" hidden="1" x14ac:dyDescent="0.25"/>
    <row r="38129" hidden="1" x14ac:dyDescent="0.25"/>
    <row r="38130" hidden="1" x14ac:dyDescent="0.25"/>
    <row r="38131" hidden="1" x14ac:dyDescent="0.25"/>
    <row r="38132" hidden="1" x14ac:dyDescent="0.25"/>
    <row r="38133" hidden="1" x14ac:dyDescent="0.25"/>
    <row r="38134" hidden="1" x14ac:dyDescent="0.25"/>
    <row r="38135" hidden="1" x14ac:dyDescent="0.25"/>
    <row r="38136" hidden="1" x14ac:dyDescent="0.25"/>
    <row r="38137" hidden="1" x14ac:dyDescent="0.25"/>
    <row r="38138" hidden="1" x14ac:dyDescent="0.25"/>
    <row r="38139" hidden="1" x14ac:dyDescent="0.25"/>
    <row r="38140" hidden="1" x14ac:dyDescent="0.25"/>
    <row r="38141" hidden="1" x14ac:dyDescent="0.25"/>
    <row r="38142" hidden="1" x14ac:dyDescent="0.25"/>
    <row r="38143" hidden="1" x14ac:dyDescent="0.25"/>
    <row r="38144" hidden="1" x14ac:dyDescent="0.25"/>
    <row r="38145" hidden="1" x14ac:dyDescent="0.25"/>
    <row r="38146" hidden="1" x14ac:dyDescent="0.25"/>
    <row r="38147" hidden="1" x14ac:dyDescent="0.25"/>
    <row r="38148" hidden="1" x14ac:dyDescent="0.25"/>
    <row r="38149" hidden="1" x14ac:dyDescent="0.25"/>
    <row r="38150" hidden="1" x14ac:dyDescent="0.25"/>
    <row r="38151" hidden="1" x14ac:dyDescent="0.25"/>
    <row r="38152" hidden="1" x14ac:dyDescent="0.25"/>
    <row r="38153" hidden="1" x14ac:dyDescent="0.25"/>
    <row r="38154" hidden="1" x14ac:dyDescent="0.25"/>
    <row r="38155" hidden="1" x14ac:dyDescent="0.25"/>
    <row r="38156" hidden="1" x14ac:dyDescent="0.25"/>
    <row r="38157" hidden="1" x14ac:dyDescent="0.25"/>
    <row r="38158" hidden="1" x14ac:dyDescent="0.25"/>
    <row r="38159" hidden="1" x14ac:dyDescent="0.25"/>
    <row r="38160" hidden="1" x14ac:dyDescent="0.25"/>
    <row r="38161" hidden="1" x14ac:dyDescent="0.25"/>
    <row r="38162" hidden="1" x14ac:dyDescent="0.25"/>
    <row r="38163" hidden="1" x14ac:dyDescent="0.25"/>
    <row r="38164" hidden="1" x14ac:dyDescent="0.25"/>
    <row r="38165" hidden="1" x14ac:dyDescent="0.25"/>
    <row r="38166" hidden="1" x14ac:dyDescent="0.25"/>
    <row r="38167" hidden="1" x14ac:dyDescent="0.25"/>
    <row r="38168" hidden="1" x14ac:dyDescent="0.25"/>
    <row r="38169" hidden="1" x14ac:dyDescent="0.25"/>
    <row r="38170" hidden="1" x14ac:dyDescent="0.25"/>
    <row r="38171" hidden="1" x14ac:dyDescent="0.25"/>
    <row r="38172" hidden="1" x14ac:dyDescent="0.25"/>
    <row r="38173" hidden="1" x14ac:dyDescent="0.25"/>
    <row r="38174" hidden="1" x14ac:dyDescent="0.25"/>
    <row r="38175" hidden="1" x14ac:dyDescent="0.25"/>
    <row r="38176" hidden="1" x14ac:dyDescent="0.25"/>
    <row r="38177" hidden="1" x14ac:dyDescent="0.25"/>
    <row r="38178" hidden="1" x14ac:dyDescent="0.25"/>
    <row r="38179" hidden="1" x14ac:dyDescent="0.25"/>
    <row r="38180" hidden="1" x14ac:dyDescent="0.25"/>
    <row r="38181" hidden="1" x14ac:dyDescent="0.25"/>
    <row r="38182" hidden="1" x14ac:dyDescent="0.25"/>
    <row r="38183" hidden="1" x14ac:dyDescent="0.25"/>
    <row r="38184" hidden="1" x14ac:dyDescent="0.25"/>
    <row r="38185" hidden="1" x14ac:dyDescent="0.25"/>
    <row r="38186" hidden="1" x14ac:dyDescent="0.25"/>
    <row r="38187" hidden="1" x14ac:dyDescent="0.25"/>
    <row r="38188" hidden="1" x14ac:dyDescent="0.25"/>
    <row r="38189" hidden="1" x14ac:dyDescent="0.25"/>
    <row r="38190" hidden="1" x14ac:dyDescent="0.25"/>
    <row r="38191" hidden="1" x14ac:dyDescent="0.25"/>
    <row r="38192" hidden="1" x14ac:dyDescent="0.25"/>
    <row r="38193" hidden="1" x14ac:dyDescent="0.25"/>
    <row r="38194" hidden="1" x14ac:dyDescent="0.25"/>
    <row r="38195" hidden="1" x14ac:dyDescent="0.25"/>
    <row r="38196" hidden="1" x14ac:dyDescent="0.25"/>
    <row r="38197" hidden="1" x14ac:dyDescent="0.25"/>
    <row r="38198" hidden="1" x14ac:dyDescent="0.25"/>
    <row r="38199" hidden="1" x14ac:dyDescent="0.25"/>
    <row r="38200" hidden="1" x14ac:dyDescent="0.25"/>
    <row r="38201" hidden="1" x14ac:dyDescent="0.25"/>
    <row r="38202" hidden="1" x14ac:dyDescent="0.25"/>
    <row r="38203" hidden="1" x14ac:dyDescent="0.25"/>
    <row r="38204" hidden="1" x14ac:dyDescent="0.25"/>
    <row r="38205" hidden="1" x14ac:dyDescent="0.25"/>
    <row r="38206" hidden="1" x14ac:dyDescent="0.25"/>
    <row r="38207" hidden="1" x14ac:dyDescent="0.25"/>
    <row r="38208" hidden="1" x14ac:dyDescent="0.25"/>
    <row r="38209" hidden="1" x14ac:dyDescent="0.25"/>
    <row r="38210" hidden="1" x14ac:dyDescent="0.25"/>
    <row r="38211" hidden="1" x14ac:dyDescent="0.25"/>
    <row r="38212" hidden="1" x14ac:dyDescent="0.25"/>
    <row r="38213" hidden="1" x14ac:dyDescent="0.25"/>
    <row r="38214" hidden="1" x14ac:dyDescent="0.25"/>
    <row r="38215" hidden="1" x14ac:dyDescent="0.25"/>
    <row r="38216" hidden="1" x14ac:dyDescent="0.25"/>
    <row r="38217" hidden="1" x14ac:dyDescent="0.25"/>
    <row r="38218" hidden="1" x14ac:dyDescent="0.25"/>
    <row r="38219" hidden="1" x14ac:dyDescent="0.25"/>
    <row r="38220" hidden="1" x14ac:dyDescent="0.25"/>
    <row r="38221" hidden="1" x14ac:dyDescent="0.25"/>
    <row r="38222" hidden="1" x14ac:dyDescent="0.25"/>
    <row r="38223" hidden="1" x14ac:dyDescent="0.25"/>
    <row r="38224" hidden="1" x14ac:dyDescent="0.25"/>
    <row r="38225" hidden="1" x14ac:dyDescent="0.25"/>
    <row r="38226" hidden="1" x14ac:dyDescent="0.25"/>
    <row r="38227" hidden="1" x14ac:dyDescent="0.25"/>
    <row r="38228" hidden="1" x14ac:dyDescent="0.25"/>
    <row r="38229" hidden="1" x14ac:dyDescent="0.25"/>
    <row r="38230" hidden="1" x14ac:dyDescent="0.25"/>
    <row r="38231" hidden="1" x14ac:dyDescent="0.25"/>
    <row r="38232" hidden="1" x14ac:dyDescent="0.25"/>
    <row r="38233" hidden="1" x14ac:dyDescent="0.25"/>
    <row r="38234" hidden="1" x14ac:dyDescent="0.25"/>
    <row r="38235" hidden="1" x14ac:dyDescent="0.25"/>
    <row r="38236" hidden="1" x14ac:dyDescent="0.25"/>
    <row r="38237" hidden="1" x14ac:dyDescent="0.25"/>
    <row r="38238" hidden="1" x14ac:dyDescent="0.25"/>
    <row r="38239" hidden="1" x14ac:dyDescent="0.25"/>
    <row r="38240" hidden="1" x14ac:dyDescent="0.25"/>
    <row r="38241" hidden="1" x14ac:dyDescent="0.25"/>
    <row r="38242" hidden="1" x14ac:dyDescent="0.25"/>
    <row r="38243" hidden="1" x14ac:dyDescent="0.25"/>
    <row r="38244" hidden="1" x14ac:dyDescent="0.25"/>
    <row r="38245" hidden="1" x14ac:dyDescent="0.25"/>
    <row r="38246" hidden="1" x14ac:dyDescent="0.25"/>
    <row r="38247" hidden="1" x14ac:dyDescent="0.25"/>
    <row r="38248" hidden="1" x14ac:dyDescent="0.25"/>
    <row r="38249" hidden="1" x14ac:dyDescent="0.25"/>
    <row r="38250" hidden="1" x14ac:dyDescent="0.25"/>
    <row r="38251" hidden="1" x14ac:dyDescent="0.25"/>
    <row r="38252" hidden="1" x14ac:dyDescent="0.25"/>
    <row r="38253" hidden="1" x14ac:dyDescent="0.25"/>
    <row r="38254" hidden="1" x14ac:dyDescent="0.25"/>
    <row r="38255" hidden="1" x14ac:dyDescent="0.25"/>
    <row r="38256" hidden="1" x14ac:dyDescent="0.25"/>
    <row r="38257" hidden="1" x14ac:dyDescent="0.25"/>
    <row r="38258" hidden="1" x14ac:dyDescent="0.25"/>
    <row r="38259" hidden="1" x14ac:dyDescent="0.25"/>
    <row r="38260" hidden="1" x14ac:dyDescent="0.25"/>
    <row r="38261" hidden="1" x14ac:dyDescent="0.25"/>
    <row r="38262" hidden="1" x14ac:dyDescent="0.25"/>
    <row r="38263" hidden="1" x14ac:dyDescent="0.25"/>
    <row r="38264" hidden="1" x14ac:dyDescent="0.25"/>
    <row r="38265" hidden="1" x14ac:dyDescent="0.25"/>
    <row r="38266" hidden="1" x14ac:dyDescent="0.25"/>
    <row r="38267" hidden="1" x14ac:dyDescent="0.25"/>
    <row r="38268" hidden="1" x14ac:dyDescent="0.25"/>
    <row r="38269" hidden="1" x14ac:dyDescent="0.25"/>
    <row r="38270" hidden="1" x14ac:dyDescent="0.25"/>
    <row r="38271" hidden="1" x14ac:dyDescent="0.25"/>
    <row r="38272" hidden="1" x14ac:dyDescent="0.25"/>
    <row r="38273" hidden="1" x14ac:dyDescent="0.25"/>
    <row r="38274" hidden="1" x14ac:dyDescent="0.25"/>
    <row r="38275" hidden="1" x14ac:dyDescent="0.25"/>
    <row r="38276" hidden="1" x14ac:dyDescent="0.25"/>
    <row r="38277" hidden="1" x14ac:dyDescent="0.25"/>
    <row r="38278" hidden="1" x14ac:dyDescent="0.25"/>
    <row r="38279" hidden="1" x14ac:dyDescent="0.25"/>
    <row r="38280" hidden="1" x14ac:dyDescent="0.25"/>
    <row r="38281" hidden="1" x14ac:dyDescent="0.25"/>
    <row r="38282" hidden="1" x14ac:dyDescent="0.25"/>
    <row r="38283" hidden="1" x14ac:dyDescent="0.25"/>
    <row r="38284" hidden="1" x14ac:dyDescent="0.25"/>
    <row r="38285" hidden="1" x14ac:dyDescent="0.25"/>
    <row r="38286" hidden="1" x14ac:dyDescent="0.25"/>
    <row r="38287" hidden="1" x14ac:dyDescent="0.25"/>
    <row r="38288" hidden="1" x14ac:dyDescent="0.25"/>
    <row r="38289" hidden="1" x14ac:dyDescent="0.25"/>
    <row r="38290" hidden="1" x14ac:dyDescent="0.25"/>
    <row r="38291" hidden="1" x14ac:dyDescent="0.25"/>
    <row r="38292" hidden="1" x14ac:dyDescent="0.25"/>
    <row r="38293" hidden="1" x14ac:dyDescent="0.25"/>
    <row r="38294" hidden="1" x14ac:dyDescent="0.25"/>
    <row r="38295" hidden="1" x14ac:dyDescent="0.25"/>
    <row r="38296" hidden="1" x14ac:dyDescent="0.25"/>
    <row r="38297" hidden="1" x14ac:dyDescent="0.25"/>
    <row r="38298" hidden="1" x14ac:dyDescent="0.25"/>
    <row r="38299" hidden="1" x14ac:dyDescent="0.25"/>
    <row r="38300" hidden="1" x14ac:dyDescent="0.25"/>
    <row r="38301" hidden="1" x14ac:dyDescent="0.25"/>
    <row r="38302" hidden="1" x14ac:dyDescent="0.25"/>
    <row r="38303" hidden="1" x14ac:dyDescent="0.25"/>
    <row r="38304" hidden="1" x14ac:dyDescent="0.25"/>
    <row r="38305" hidden="1" x14ac:dyDescent="0.25"/>
    <row r="38306" hidden="1" x14ac:dyDescent="0.25"/>
    <row r="38307" hidden="1" x14ac:dyDescent="0.25"/>
    <row r="38308" hidden="1" x14ac:dyDescent="0.25"/>
    <row r="38309" hidden="1" x14ac:dyDescent="0.25"/>
    <row r="38310" hidden="1" x14ac:dyDescent="0.25"/>
    <row r="38311" hidden="1" x14ac:dyDescent="0.25"/>
    <row r="38312" hidden="1" x14ac:dyDescent="0.25"/>
    <row r="38313" hidden="1" x14ac:dyDescent="0.25"/>
    <row r="38314" hidden="1" x14ac:dyDescent="0.25"/>
    <row r="38315" hidden="1" x14ac:dyDescent="0.25"/>
    <row r="38316" hidden="1" x14ac:dyDescent="0.25"/>
    <row r="38317" hidden="1" x14ac:dyDescent="0.25"/>
    <row r="38318" hidden="1" x14ac:dyDescent="0.25"/>
    <row r="38319" hidden="1" x14ac:dyDescent="0.25"/>
    <row r="38320" hidden="1" x14ac:dyDescent="0.25"/>
    <row r="38321" hidden="1" x14ac:dyDescent="0.25"/>
    <row r="38322" hidden="1" x14ac:dyDescent="0.25"/>
    <row r="38323" hidden="1" x14ac:dyDescent="0.25"/>
    <row r="38324" hidden="1" x14ac:dyDescent="0.25"/>
    <row r="38325" hidden="1" x14ac:dyDescent="0.25"/>
    <row r="38326" hidden="1" x14ac:dyDescent="0.25"/>
    <row r="38327" hidden="1" x14ac:dyDescent="0.25"/>
    <row r="38328" hidden="1" x14ac:dyDescent="0.25"/>
    <row r="38329" hidden="1" x14ac:dyDescent="0.25"/>
    <row r="38330" hidden="1" x14ac:dyDescent="0.25"/>
    <row r="38331" hidden="1" x14ac:dyDescent="0.25"/>
    <row r="38332" hidden="1" x14ac:dyDescent="0.25"/>
    <row r="38333" hidden="1" x14ac:dyDescent="0.25"/>
    <row r="38334" hidden="1" x14ac:dyDescent="0.25"/>
    <row r="38335" hidden="1" x14ac:dyDescent="0.25"/>
    <row r="38336" hidden="1" x14ac:dyDescent="0.25"/>
    <row r="38337" hidden="1" x14ac:dyDescent="0.25"/>
    <row r="38338" hidden="1" x14ac:dyDescent="0.25"/>
    <row r="38339" hidden="1" x14ac:dyDescent="0.25"/>
    <row r="38340" hidden="1" x14ac:dyDescent="0.25"/>
    <row r="38341" hidden="1" x14ac:dyDescent="0.25"/>
    <row r="38342" hidden="1" x14ac:dyDescent="0.25"/>
    <row r="38343" hidden="1" x14ac:dyDescent="0.25"/>
    <row r="38344" hidden="1" x14ac:dyDescent="0.25"/>
    <row r="38345" hidden="1" x14ac:dyDescent="0.25"/>
    <row r="38346" hidden="1" x14ac:dyDescent="0.25"/>
    <row r="38347" hidden="1" x14ac:dyDescent="0.25"/>
    <row r="38348" hidden="1" x14ac:dyDescent="0.25"/>
    <row r="38349" hidden="1" x14ac:dyDescent="0.25"/>
    <row r="38350" hidden="1" x14ac:dyDescent="0.25"/>
    <row r="38351" hidden="1" x14ac:dyDescent="0.25"/>
    <row r="38352" hidden="1" x14ac:dyDescent="0.25"/>
    <row r="38353" hidden="1" x14ac:dyDescent="0.25"/>
    <row r="38354" hidden="1" x14ac:dyDescent="0.25"/>
    <row r="38355" hidden="1" x14ac:dyDescent="0.25"/>
    <row r="38356" hidden="1" x14ac:dyDescent="0.25"/>
    <row r="38357" hidden="1" x14ac:dyDescent="0.25"/>
    <row r="38358" hidden="1" x14ac:dyDescent="0.25"/>
    <row r="38359" hidden="1" x14ac:dyDescent="0.25"/>
    <row r="38360" hidden="1" x14ac:dyDescent="0.25"/>
    <row r="38361" hidden="1" x14ac:dyDescent="0.25"/>
    <row r="38362" hidden="1" x14ac:dyDescent="0.25"/>
    <row r="38363" hidden="1" x14ac:dyDescent="0.25"/>
    <row r="38364" hidden="1" x14ac:dyDescent="0.25"/>
    <row r="38365" hidden="1" x14ac:dyDescent="0.25"/>
    <row r="38366" hidden="1" x14ac:dyDescent="0.25"/>
    <row r="38367" hidden="1" x14ac:dyDescent="0.25"/>
    <row r="38368" hidden="1" x14ac:dyDescent="0.25"/>
    <row r="38369" hidden="1" x14ac:dyDescent="0.25"/>
    <row r="38370" hidden="1" x14ac:dyDescent="0.25"/>
    <row r="38371" hidden="1" x14ac:dyDescent="0.25"/>
    <row r="38372" hidden="1" x14ac:dyDescent="0.25"/>
    <row r="38373" hidden="1" x14ac:dyDescent="0.25"/>
    <row r="38374" hidden="1" x14ac:dyDescent="0.25"/>
    <row r="38375" hidden="1" x14ac:dyDescent="0.25"/>
    <row r="38376" hidden="1" x14ac:dyDescent="0.25"/>
    <row r="38377" hidden="1" x14ac:dyDescent="0.25"/>
    <row r="38378" hidden="1" x14ac:dyDescent="0.25"/>
    <row r="38379" hidden="1" x14ac:dyDescent="0.25"/>
    <row r="38380" hidden="1" x14ac:dyDescent="0.25"/>
    <row r="38381" hidden="1" x14ac:dyDescent="0.25"/>
    <row r="38382" hidden="1" x14ac:dyDescent="0.25"/>
    <row r="38383" hidden="1" x14ac:dyDescent="0.25"/>
    <row r="38384" hidden="1" x14ac:dyDescent="0.25"/>
    <row r="38385" hidden="1" x14ac:dyDescent="0.25"/>
    <row r="38386" hidden="1" x14ac:dyDescent="0.25"/>
    <row r="38387" hidden="1" x14ac:dyDescent="0.25"/>
    <row r="38388" hidden="1" x14ac:dyDescent="0.25"/>
    <row r="38389" hidden="1" x14ac:dyDescent="0.25"/>
    <row r="38390" hidden="1" x14ac:dyDescent="0.25"/>
    <row r="38391" hidden="1" x14ac:dyDescent="0.25"/>
    <row r="38392" hidden="1" x14ac:dyDescent="0.25"/>
    <row r="38393" hidden="1" x14ac:dyDescent="0.25"/>
    <row r="38394" hidden="1" x14ac:dyDescent="0.25"/>
    <row r="38395" hidden="1" x14ac:dyDescent="0.25"/>
    <row r="38396" hidden="1" x14ac:dyDescent="0.25"/>
    <row r="38397" hidden="1" x14ac:dyDescent="0.25"/>
    <row r="38398" hidden="1" x14ac:dyDescent="0.25"/>
    <row r="38399" hidden="1" x14ac:dyDescent="0.25"/>
    <row r="38400" hidden="1" x14ac:dyDescent="0.25"/>
    <row r="38401" hidden="1" x14ac:dyDescent="0.25"/>
    <row r="38402" hidden="1" x14ac:dyDescent="0.25"/>
    <row r="38403" hidden="1" x14ac:dyDescent="0.25"/>
    <row r="38404" hidden="1" x14ac:dyDescent="0.25"/>
    <row r="38405" hidden="1" x14ac:dyDescent="0.25"/>
    <row r="38406" hidden="1" x14ac:dyDescent="0.25"/>
    <row r="38407" hidden="1" x14ac:dyDescent="0.25"/>
    <row r="38408" hidden="1" x14ac:dyDescent="0.25"/>
    <row r="38409" hidden="1" x14ac:dyDescent="0.25"/>
    <row r="38410" hidden="1" x14ac:dyDescent="0.25"/>
    <row r="38411" hidden="1" x14ac:dyDescent="0.25"/>
    <row r="38412" hidden="1" x14ac:dyDescent="0.25"/>
    <row r="38413" hidden="1" x14ac:dyDescent="0.25"/>
    <row r="38414" hidden="1" x14ac:dyDescent="0.25"/>
    <row r="38415" hidden="1" x14ac:dyDescent="0.25"/>
    <row r="38416" hidden="1" x14ac:dyDescent="0.25"/>
    <row r="38417" hidden="1" x14ac:dyDescent="0.25"/>
    <row r="38418" hidden="1" x14ac:dyDescent="0.25"/>
    <row r="38419" hidden="1" x14ac:dyDescent="0.25"/>
    <row r="38420" hidden="1" x14ac:dyDescent="0.25"/>
    <row r="38421" hidden="1" x14ac:dyDescent="0.25"/>
    <row r="38422" hidden="1" x14ac:dyDescent="0.25"/>
    <row r="38423" hidden="1" x14ac:dyDescent="0.25"/>
    <row r="38424" hidden="1" x14ac:dyDescent="0.25"/>
    <row r="38425" hidden="1" x14ac:dyDescent="0.25"/>
    <row r="38426" hidden="1" x14ac:dyDescent="0.25"/>
    <row r="38427" hidden="1" x14ac:dyDescent="0.25"/>
    <row r="38428" hidden="1" x14ac:dyDescent="0.25"/>
    <row r="38429" hidden="1" x14ac:dyDescent="0.25"/>
    <row r="38430" hidden="1" x14ac:dyDescent="0.25"/>
    <row r="38431" hidden="1" x14ac:dyDescent="0.25"/>
    <row r="38432" hidden="1" x14ac:dyDescent="0.25"/>
    <row r="38433" hidden="1" x14ac:dyDescent="0.25"/>
    <row r="38434" hidden="1" x14ac:dyDescent="0.25"/>
    <row r="38435" hidden="1" x14ac:dyDescent="0.25"/>
    <row r="38436" hidden="1" x14ac:dyDescent="0.25"/>
    <row r="38437" hidden="1" x14ac:dyDescent="0.25"/>
    <row r="38438" hidden="1" x14ac:dyDescent="0.25"/>
    <row r="38439" hidden="1" x14ac:dyDescent="0.25"/>
    <row r="38440" hidden="1" x14ac:dyDescent="0.25"/>
    <row r="38441" hidden="1" x14ac:dyDescent="0.25"/>
    <row r="38442" hidden="1" x14ac:dyDescent="0.25"/>
    <row r="38443" hidden="1" x14ac:dyDescent="0.25"/>
    <row r="38444" hidden="1" x14ac:dyDescent="0.25"/>
    <row r="38445" hidden="1" x14ac:dyDescent="0.25"/>
    <row r="38446" hidden="1" x14ac:dyDescent="0.25"/>
    <row r="38447" hidden="1" x14ac:dyDescent="0.25"/>
    <row r="38448" hidden="1" x14ac:dyDescent="0.25"/>
    <row r="38449" hidden="1" x14ac:dyDescent="0.25"/>
    <row r="38450" hidden="1" x14ac:dyDescent="0.25"/>
    <row r="38451" hidden="1" x14ac:dyDescent="0.25"/>
    <row r="38452" hidden="1" x14ac:dyDescent="0.25"/>
    <row r="38453" hidden="1" x14ac:dyDescent="0.25"/>
    <row r="38454" hidden="1" x14ac:dyDescent="0.25"/>
    <row r="38455" hidden="1" x14ac:dyDescent="0.25"/>
    <row r="38456" hidden="1" x14ac:dyDescent="0.25"/>
    <row r="38457" hidden="1" x14ac:dyDescent="0.25"/>
    <row r="38458" hidden="1" x14ac:dyDescent="0.25"/>
    <row r="38459" hidden="1" x14ac:dyDescent="0.25"/>
    <row r="38460" hidden="1" x14ac:dyDescent="0.25"/>
    <row r="38461" hidden="1" x14ac:dyDescent="0.25"/>
    <row r="38462" hidden="1" x14ac:dyDescent="0.25"/>
    <row r="38463" hidden="1" x14ac:dyDescent="0.25"/>
    <row r="38464" hidden="1" x14ac:dyDescent="0.25"/>
    <row r="38465" hidden="1" x14ac:dyDescent="0.25"/>
    <row r="38466" hidden="1" x14ac:dyDescent="0.25"/>
    <row r="38467" hidden="1" x14ac:dyDescent="0.25"/>
    <row r="38468" hidden="1" x14ac:dyDescent="0.25"/>
    <row r="38469" hidden="1" x14ac:dyDescent="0.25"/>
    <row r="38470" hidden="1" x14ac:dyDescent="0.25"/>
    <row r="38471" hidden="1" x14ac:dyDescent="0.25"/>
    <row r="38472" hidden="1" x14ac:dyDescent="0.25"/>
    <row r="38473" hidden="1" x14ac:dyDescent="0.25"/>
    <row r="38474" hidden="1" x14ac:dyDescent="0.25"/>
    <row r="38475" hidden="1" x14ac:dyDescent="0.25"/>
    <row r="38476" hidden="1" x14ac:dyDescent="0.25"/>
    <row r="38477" hidden="1" x14ac:dyDescent="0.25"/>
    <row r="38478" hidden="1" x14ac:dyDescent="0.25"/>
    <row r="38479" hidden="1" x14ac:dyDescent="0.25"/>
    <row r="38480" hidden="1" x14ac:dyDescent="0.25"/>
    <row r="38481" hidden="1" x14ac:dyDescent="0.25"/>
    <row r="38482" hidden="1" x14ac:dyDescent="0.25"/>
    <row r="38483" hidden="1" x14ac:dyDescent="0.25"/>
    <row r="38484" hidden="1" x14ac:dyDescent="0.25"/>
    <row r="38485" hidden="1" x14ac:dyDescent="0.25"/>
    <row r="38486" hidden="1" x14ac:dyDescent="0.25"/>
    <row r="38487" hidden="1" x14ac:dyDescent="0.25"/>
    <row r="38488" hidden="1" x14ac:dyDescent="0.25"/>
    <row r="38489" hidden="1" x14ac:dyDescent="0.25"/>
    <row r="38490" hidden="1" x14ac:dyDescent="0.25"/>
    <row r="38491" hidden="1" x14ac:dyDescent="0.25"/>
    <row r="38492" hidden="1" x14ac:dyDescent="0.25"/>
    <row r="38493" hidden="1" x14ac:dyDescent="0.25"/>
    <row r="38494" hidden="1" x14ac:dyDescent="0.25"/>
    <row r="38495" hidden="1" x14ac:dyDescent="0.25"/>
    <row r="38496" hidden="1" x14ac:dyDescent="0.25"/>
    <row r="38497" hidden="1" x14ac:dyDescent="0.25"/>
    <row r="38498" hidden="1" x14ac:dyDescent="0.25"/>
    <row r="38499" hidden="1" x14ac:dyDescent="0.25"/>
    <row r="38500" hidden="1" x14ac:dyDescent="0.25"/>
    <row r="38501" hidden="1" x14ac:dyDescent="0.25"/>
    <row r="38502" hidden="1" x14ac:dyDescent="0.25"/>
    <row r="38503" hidden="1" x14ac:dyDescent="0.25"/>
    <row r="38504" hidden="1" x14ac:dyDescent="0.25"/>
    <row r="38505" hidden="1" x14ac:dyDescent="0.25"/>
    <row r="38506" hidden="1" x14ac:dyDescent="0.25"/>
    <row r="38507" hidden="1" x14ac:dyDescent="0.25"/>
    <row r="38508" hidden="1" x14ac:dyDescent="0.25"/>
    <row r="38509" hidden="1" x14ac:dyDescent="0.25"/>
    <row r="38510" hidden="1" x14ac:dyDescent="0.25"/>
    <row r="38511" hidden="1" x14ac:dyDescent="0.25"/>
    <row r="38512" hidden="1" x14ac:dyDescent="0.25"/>
    <row r="38513" hidden="1" x14ac:dyDescent="0.25"/>
    <row r="38514" hidden="1" x14ac:dyDescent="0.25"/>
    <row r="38515" hidden="1" x14ac:dyDescent="0.25"/>
    <row r="38516" hidden="1" x14ac:dyDescent="0.25"/>
    <row r="38517" hidden="1" x14ac:dyDescent="0.25"/>
    <row r="38518" hidden="1" x14ac:dyDescent="0.25"/>
    <row r="38519" hidden="1" x14ac:dyDescent="0.25"/>
    <row r="38520" hidden="1" x14ac:dyDescent="0.25"/>
    <row r="38521" hidden="1" x14ac:dyDescent="0.25"/>
    <row r="38522" hidden="1" x14ac:dyDescent="0.25"/>
    <row r="38523" hidden="1" x14ac:dyDescent="0.25"/>
    <row r="38524" hidden="1" x14ac:dyDescent="0.25"/>
    <row r="38525" hidden="1" x14ac:dyDescent="0.25"/>
    <row r="38526" hidden="1" x14ac:dyDescent="0.25"/>
    <row r="38527" hidden="1" x14ac:dyDescent="0.25"/>
    <row r="38528" hidden="1" x14ac:dyDescent="0.25"/>
    <row r="38529" hidden="1" x14ac:dyDescent="0.25"/>
    <row r="38530" hidden="1" x14ac:dyDescent="0.25"/>
    <row r="38531" hidden="1" x14ac:dyDescent="0.25"/>
    <row r="38532" hidden="1" x14ac:dyDescent="0.25"/>
    <row r="38533" hidden="1" x14ac:dyDescent="0.25"/>
    <row r="38534" hidden="1" x14ac:dyDescent="0.25"/>
    <row r="38535" hidden="1" x14ac:dyDescent="0.25"/>
    <row r="38536" hidden="1" x14ac:dyDescent="0.25"/>
    <row r="38537" hidden="1" x14ac:dyDescent="0.25"/>
    <row r="38538" hidden="1" x14ac:dyDescent="0.25"/>
    <row r="38539" hidden="1" x14ac:dyDescent="0.25"/>
    <row r="38540" hidden="1" x14ac:dyDescent="0.25"/>
    <row r="38541" hidden="1" x14ac:dyDescent="0.25"/>
    <row r="38542" hidden="1" x14ac:dyDescent="0.25"/>
    <row r="38543" hidden="1" x14ac:dyDescent="0.25"/>
    <row r="38544" hidden="1" x14ac:dyDescent="0.25"/>
    <row r="38545" hidden="1" x14ac:dyDescent="0.25"/>
    <row r="38546" hidden="1" x14ac:dyDescent="0.25"/>
    <row r="38547" hidden="1" x14ac:dyDescent="0.25"/>
    <row r="38548" hidden="1" x14ac:dyDescent="0.25"/>
    <row r="38549" hidden="1" x14ac:dyDescent="0.25"/>
    <row r="38550" hidden="1" x14ac:dyDescent="0.25"/>
    <row r="38551" hidden="1" x14ac:dyDescent="0.25"/>
    <row r="38552" hidden="1" x14ac:dyDescent="0.25"/>
    <row r="38553" hidden="1" x14ac:dyDescent="0.25"/>
    <row r="38554" hidden="1" x14ac:dyDescent="0.25"/>
    <row r="38555" hidden="1" x14ac:dyDescent="0.25"/>
    <row r="38556" hidden="1" x14ac:dyDescent="0.25"/>
    <row r="38557" hidden="1" x14ac:dyDescent="0.25"/>
    <row r="38558" hidden="1" x14ac:dyDescent="0.25"/>
    <row r="38559" hidden="1" x14ac:dyDescent="0.25"/>
    <row r="38560" hidden="1" x14ac:dyDescent="0.25"/>
    <row r="38561" hidden="1" x14ac:dyDescent="0.25"/>
    <row r="38562" hidden="1" x14ac:dyDescent="0.25"/>
    <row r="38563" hidden="1" x14ac:dyDescent="0.25"/>
    <row r="38564" hidden="1" x14ac:dyDescent="0.25"/>
    <row r="38565" hidden="1" x14ac:dyDescent="0.25"/>
    <row r="38566" hidden="1" x14ac:dyDescent="0.25"/>
    <row r="38567" hidden="1" x14ac:dyDescent="0.25"/>
    <row r="38568" hidden="1" x14ac:dyDescent="0.25"/>
    <row r="38569" hidden="1" x14ac:dyDescent="0.25"/>
    <row r="38570" hidden="1" x14ac:dyDescent="0.25"/>
    <row r="38571" hidden="1" x14ac:dyDescent="0.25"/>
    <row r="38572" hidden="1" x14ac:dyDescent="0.25"/>
    <row r="38573" hidden="1" x14ac:dyDescent="0.25"/>
    <row r="38574" hidden="1" x14ac:dyDescent="0.25"/>
    <row r="38575" hidden="1" x14ac:dyDescent="0.25"/>
    <row r="38576" hidden="1" x14ac:dyDescent="0.25"/>
    <row r="38577" hidden="1" x14ac:dyDescent="0.25"/>
    <row r="38578" hidden="1" x14ac:dyDescent="0.25"/>
    <row r="38579" hidden="1" x14ac:dyDescent="0.25"/>
    <row r="38580" hidden="1" x14ac:dyDescent="0.25"/>
    <row r="38581" hidden="1" x14ac:dyDescent="0.25"/>
    <row r="38582" hidden="1" x14ac:dyDescent="0.25"/>
    <row r="38583" hidden="1" x14ac:dyDescent="0.25"/>
    <row r="38584" hidden="1" x14ac:dyDescent="0.25"/>
    <row r="38585" hidden="1" x14ac:dyDescent="0.25"/>
    <row r="38586" hidden="1" x14ac:dyDescent="0.25"/>
    <row r="38587" hidden="1" x14ac:dyDescent="0.25"/>
    <row r="38588" hidden="1" x14ac:dyDescent="0.25"/>
    <row r="38589" hidden="1" x14ac:dyDescent="0.25"/>
    <row r="38590" hidden="1" x14ac:dyDescent="0.25"/>
    <row r="38591" hidden="1" x14ac:dyDescent="0.25"/>
    <row r="38592" hidden="1" x14ac:dyDescent="0.25"/>
    <row r="38593" hidden="1" x14ac:dyDescent="0.25"/>
    <row r="38594" hidden="1" x14ac:dyDescent="0.25"/>
    <row r="38595" hidden="1" x14ac:dyDescent="0.25"/>
    <row r="38596" hidden="1" x14ac:dyDescent="0.25"/>
    <row r="38597" hidden="1" x14ac:dyDescent="0.25"/>
    <row r="38598" hidden="1" x14ac:dyDescent="0.25"/>
    <row r="38599" hidden="1" x14ac:dyDescent="0.25"/>
    <row r="38600" hidden="1" x14ac:dyDescent="0.25"/>
    <row r="38601" hidden="1" x14ac:dyDescent="0.25"/>
    <row r="38602" hidden="1" x14ac:dyDescent="0.25"/>
    <row r="38603" hidden="1" x14ac:dyDescent="0.25"/>
    <row r="38604" hidden="1" x14ac:dyDescent="0.25"/>
    <row r="38605" hidden="1" x14ac:dyDescent="0.25"/>
    <row r="38606" hidden="1" x14ac:dyDescent="0.25"/>
    <row r="38607" hidden="1" x14ac:dyDescent="0.25"/>
    <row r="38608" hidden="1" x14ac:dyDescent="0.25"/>
    <row r="38609" hidden="1" x14ac:dyDescent="0.25"/>
    <row r="38610" hidden="1" x14ac:dyDescent="0.25"/>
    <row r="38611" hidden="1" x14ac:dyDescent="0.25"/>
    <row r="38612" hidden="1" x14ac:dyDescent="0.25"/>
    <row r="38613" hidden="1" x14ac:dyDescent="0.25"/>
    <row r="38614" hidden="1" x14ac:dyDescent="0.25"/>
    <row r="38615" hidden="1" x14ac:dyDescent="0.25"/>
    <row r="38616" hidden="1" x14ac:dyDescent="0.25"/>
    <row r="38617" hidden="1" x14ac:dyDescent="0.25"/>
    <row r="38618" hidden="1" x14ac:dyDescent="0.25"/>
    <row r="38619" hidden="1" x14ac:dyDescent="0.25"/>
    <row r="38620" hidden="1" x14ac:dyDescent="0.25"/>
    <row r="38621" hidden="1" x14ac:dyDescent="0.25"/>
    <row r="38622" hidden="1" x14ac:dyDescent="0.25"/>
    <row r="38623" hidden="1" x14ac:dyDescent="0.25"/>
    <row r="38624" hidden="1" x14ac:dyDescent="0.25"/>
    <row r="38625" hidden="1" x14ac:dyDescent="0.25"/>
    <row r="38626" hidden="1" x14ac:dyDescent="0.25"/>
    <row r="38627" hidden="1" x14ac:dyDescent="0.25"/>
    <row r="38628" hidden="1" x14ac:dyDescent="0.25"/>
    <row r="38629" hidden="1" x14ac:dyDescent="0.25"/>
    <row r="38630" hidden="1" x14ac:dyDescent="0.25"/>
    <row r="38631" hidden="1" x14ac:dyDescent="0.25"/>
    <row r="38632" hidden="1" x14ac:dyDescent="0.25"/>
    <row r="38633" hidden="1" x14ac:dyDescent="0.25"/>
    <row r="38634" hidden="1" x14ac:dyDescent="0.25"/>
    <row r="38635" hidden="1" x14ac:dyDescent="0.25"/>
    <row r="38636" hidden="1" x14ac:dyDescent="0.25"/>
    <row r="38637" hidden="1" x14ac:dyDescent="0.25"/>
    <row r="38638" hidden="1" x14ac:dyDescent="0.25"/>
    <row r="38639" hidden="1" x14ac:dyDescent="0.25"/>
    <row r="38640" hidden="1" x14ac:dyDescent="0.25"/>
    <row r="38641" hidden="1" x14ac:dyDescent="0.25"/>
    <row r="38642" hidden="1" x14ac:dyDescent="0.25"/>
    <row r="38643" hidden="1" x14ac:dyDescent="0.25"/>
    <row r="38644" hidden="1" x14ac:dyDescent="0.25"/>
    <row r="38645" hidden="1" x14ac:dyDescent="0.25"/>
    <row r="38646" hidden="1" x14ac:dyDescent="0.25"/>
    <row r="38647" hidden="1" x14ac:dyDescent="0.25"/>
    <row r="38648" hidden="1" x14ac:dyDescent="0.25"/>
    <row r="38649" hidden="1" x14ac:dyDescent="0.25"/>
    <row r="38650" hidden="1" x14ac:dyDescent="0.25"/>
    <row r="38651" hidden="1" x14ac:dyDescent="0.25"/>
    <row r="38652" hidden="1" x14ac:dyDescent="0.25"/>
    <row r="38653" hidden="1" x14ac:dyDescent="0.25"/>
    <row r="38654" hidden="1" x14ac:dyDescent="0.25"/>
    <row r="38655" hidden="1" x14ac:dyDescent="0.25"/>
    <row r="38656" hidden="1" x14ac:dyDescent="0.25"/>
    <row r="38657" hidden="1" x14ac:dyDescent="0.25"/>
    <row r="38658" hidden="1" x14ac:dyDescent="0.25"/>
    <row r="38659" hidden="1" x14ac:dyDescent="0.25"/>
    <row r="38660" hidden="1" x14ac:dyDescent="0.25"/>
    <row r="38661" hidden="1" x14ac:dyDescent="0.25"/>
    <row r="38662" hidden="1" x14ac:dyDescent="0.25"/>
    <row r="38663" hidden="1" x14ac:dyDescent="0.25"/>
    <row r="38664" hidden="1" x14ac:dyDescent="0.25"/>
    <row r="38665" hidden="1" x14ac:dyDescent="0.25"/>
    <row r="38666" hidden="1" x14ac:dyDescent="0.25"/>
    <row r="38667" hidden="1" x14ac:dyDescent="0.25"/>
    <row r="38668" hidden="1" x14ac:dyDescent="0.25"/>
    <row r="38669" hidden="1" x14ac:dyDescent="0.25"/>
    <row r="38670" hidden="1" x14ac:dyDescent="0.25"/>
    <row r="38671" hidden="1" x14ac:dyDescent="0.25"/>
    <row r="38672" hidden="1" x14ac:dyDescent="0.25"/>
    <row r="38673" hidden="1" x14ac:dyDescent="0.25"/>
    <row r="38674" hidden="1" x14ac:dyDescent="0.25"/>
    <row r="38675" hidden="1" x14ac:dyDescent="0.25"/>
    <row r="38676" hidden="1" x14ac:dyDescent="0.25"/>
    <row r="38677" hidden="1" x14ac:dyDescent="0.25"/>
    <row r="38678" hidden="1" x14ac:dyDescent="0.25"/>
    <row r="38679" hidden="1" x14ac:dyDescent="0.25"/>
    <row r="38680" hidden="1" x14ac:dyDescent="0.25"/>
    <row r="38681" hidden="1" x14ac:dyDescent="0.25"/>
    <row r="38682" hidden="1" x14ac:dyDescent="0.25"/>
    <row r="38683" hidden="1" x14ac:dyDescent="0.25"/>
    <row r="38684" hidden="1" x14ac:dyDescent="0.25"/>
    <row r="38685" hidden="1" x14ac:dyDescent="0.25"/>
    <row r="38686" hidden="1" x14ac:dyDescent="0.25"/>
    <row r="38687" hidden="1" x14ac:dyDescent="0.25"/>
    <row r="38688" hidden="1" x14ac:dyDescent="0.25"/>
    <row r="38689" hidden="1" x14ac:dyDescent="0.25"/>
    <row r="38690" hidden="1" x14ac:dyDescent="0.25"/>
    <row r="38691" hidden="1" x14ac:dyDescent="0.25"/>
    <row r="38692" hidden="1" x14ac:dyDescent="0.25"/>
    <row r="38693" hidden="1" x14ac:dyDescent="0.25"/>
    <row r="38694" hidden="1" x14ac:dyDescent="0.25"/>
    <row r="38695" hidden="1" x14ac:dyDescent="0.25"/>
    <row r="38696" hidden="1" x14ac:dyDescent="0.25"/>
    <row r="38697" hidden="1" x14ac:dyDescent="0.25"/>
    <row r="38698" hidden="1" x14ac:dyDescent="0.25"/>
    <row r="38699" hidden="1" x14ac:dyDescent="0.25"/>
    <row r="38700" hidden="1" x14ac:dyDescent="0.25"/>
    <row r="38701" hidden="1" x14ac:dyDescent="0.25"/>
    <row r="38702" hidden="1" x14ac:dyDescent="0.25"/>
    <row r="38703" hidden="1" x14ac:dyDescent="0.25"/>
    <row r="38704" hidden="1" x14ac:dyDescent="0.25"/>
    <row r="38705" hidden="1" x14ac:dyDescent="0.25"/>
    <row r="38706" hidden="1" x14ac:dyDescent="0.25"/>
    <row r="38707" hidden="1" x14ac:dyDescent="0.25"/>
    <row r="38708" hidden="1" x14ac:dyDescent="0.25"/>
    <row r="38709" hidden="1" x14ac:dyDescent="0.25"/>
    <row r="38710" hidden="1" x14ac:dyDescent="0.25"/>
    <row r="38711" hidden="1" x14ac:dyDescent="0.25"/>
    <row r="38712" hidden="1" x14ac:dyDescent="0.25"/>
    <row r="38713" hidden="1" x14ac:dyDescent="0.25"/>
    <row r="38714" hidden="1" x14ac:dyDescent="0.25"/>
    <row r="38715" hidden="1" x14ac:dyDescent="0.25"/>
    <row r="38716" hidden="1" x14ac:dyDescent="0.25"/>
    <row r="38717" hidden="1" x14ac:dyDescent="0.25"/>
    <row r="38718" hidden="1" x14ac:dyDescent="0.25"/>
    <row r="38719" hidden="1" x14ac:dyDescent="0.25"/>
    <row r="38720" hidden="1" x14ac:dyDescent="0.25"/>
    <row r="38721" hidden="1" x14ac:dyDescent="0.25"/>
    <row r="38722" hidden="1" x14ac:dyDescent="0.25"/>
    <row r="38723" hidden="1" x14ac:dyDescent="0.25"/>
    <row r="38724" hidden="1" x14ac:dyDescent="0.25"/>
    <row r="38725" hidden="1" x14ac:dyDescent="0.25"/>
    <row r="38726" hidden="1" x14ac:dyDescent="0.25"/>
    <row r="38727" hidden="1" x14ac:dyDescent="0.25"/>
    <row r="38728" hidden="1" x14ac:dyDescent="0.25"/>
    <row r="38729" hidden="1" x14ac:dyDescent="0.25"/>
    <row r="38730" hidden="1" x14ac:dyDescent="0.25"/>
    <row r="38731" hidden="1" x14ac:dyDescent="0.25"/>
    <row r="38732" hidden="1" x14ac:dyDescent="0.25"/>
    <row r="38733" hidden="1" x14ac:dyDescent="0.25"/>
    <row r="38734" hidden="1" x14ac:dyDescent="0.25"/>
    <row r="38735" hidden="1" x14ac:dyDescent="0.25"/>
    <row r="38736" hidden="1" x14ac:dyDescent="0.25"/>
    <row r="38737" hidden="1" x14ac:dyDescent="0.25"/>
    <row r="38738" hidden="1" x14ac:dyDescent="0.25"/>
    <row r="38739" hidden="1" x14ac:dyDescent="0.25"/>
    <row r="38740" hidden="1" x14ac:dyDescent="0.25"/>
    <row r="38741" hidden="1" x14ac:dyDescent="0.25"/>
    <row r="38742" hidden="1" x14ac:dyDescent="0.25"/>
    <row r="38743" hidden="1" x14ac:dyDescent="0.25"/>
    <row r="38744" hidden="1" x14ac:dyDescent="0.25"/>
    <row r="38745" hidden="1" x14ac:dyDescent="0.25"/>
    <row r="38746" hidden="1" x14ac:dyDescent="0.25"/>
    <row r="38747" hidden="1" x14ac:dyDescent="0.25"/>
    <row r="38748" hidden="1" x14ac:dyDescent="0.25"/>
    <row r="38749" hidden="1" x14ac:dyDescent="0.25"/>
    <row r="38750" hidden="1" x14ac:dyDescent="0.25"/>
    <row r="38751" hidden="1" x14ac:dyDescent="0.25"/>
    <row r="38752" hidden="1" x14ac:dyDescent="0.25"/>
    <row r="38753" hidden="1" x14ac:dyDescent="0.25"/>
    <row r="38754" hidden="1" x14ac:dyDescent="0.25"/>
    <row r="38755" hidden="1" x14ac:dyDescent="0.25"/>
    <row r="38756" hidden="1" x14ac:dyDescent="0.25"/>
    <row r="38757" hidden="1" x14ac:dyDescent="0.25"/>
    <row r="38758" hidden="1" x14ac:dyDescent="0.25"/>
    <row r="38759" hidden="1" x14ac:dyDescent="0.25"/>
    <row r="38760" hidden="1" x14ac:dyDescent="0.25"/>
    <row r="38761" hidden="1" x14ac:dyDescent="0.25"/>
    <row r="38762" hidden="1" x14ac:dyDescent="0.25"/>
    <row r="38763" hidden="1" x14ac:dyDescent="0.25"/>
    <row r="38764" hidden="1" x14ac:dyDescent="0.25"/>
    <row r="38765" hidden="1" x14ac:dyDescent="0.25"/>
    <row r="38766" hidden="1" x14ac:dyDescent="0.25"/>
    <row r="38767" hidden="1" x14ac:dyDescent="0.25"/>
    <row r="38768" hidden="1" x14ac:dyDescent="0.25"/>
    <row r="38769" hidden="1" x14ac:dyDescent="0.25"/>
    <row r="38770" hidden="1" x14ac:dyDescent="0.25"/>
    <row r="38771" hidden="1" x14ac:dyDescent="0.25"/>
    <row r="38772" hidden="1" x14ac:dyDescent="0.25"/>
    <row r="38773" hidden="1" x14ac:dyDescent="0.25"/>
    <row r="38774" hidden="1" x14ac:dyDescent="0.25"/>
    <row r="38775" hidden="1" x14ac:dyDescent="0.25"/>
    <row r="38776" hidden="1" x14ac:dyDescent="0.25"/>
    <row r="38777" hidden="1" x14ac:dyDescent="0.25"/>
    <row r="38778" hidden="1" x14ac:dyDescent="0.25"/>
    <row r="38779" hidden="1" x14ac:dyDescent="0.25"/>
    <row r="38780" hidden="1" x14ac:dyDescent="0.25"/>
    <row r="38781" hidden="1" x14ac:dyDescent="0.25"/>
    <row r="38782" hidden="1" x14ac:dyDescent="0.25"/>
    <row r="38783" hidden="1" x14ac:dyDescent="0.25"/>
    <row r="38784" hidden="1" x14ac:dyDescent="0.25"/>
    <row r="38785" hidden="1" x14ac:dyDescent="0.25"/>
    <row r="38786" hidden="1" x14ac:dyDescent="0.25"/>
    <row r="38787" hidden="1" x14ac:dyDescent="0.25"/>
    <row r="38788" hidden="1" x14ac:dyDescent="0.25"/>
    <row r="38789" hidden="1" x14ac:dyDescent="0.25"/>
    <row r="38790" hidden="1" x14ac:dyDescent="0.25"/>
    <row r="38791" hidden="1" x14ac:dyDescent="0.25"/>
    <row r="38792" hidden="1" x14ac:dyDescent="0.25"/>
    <row r="38793" hidden="1" x14ac:dyDescent="0.25"/>
    <row r="38794" hidden="1" x14ac:dyDescent="0.25"/>
    <row r="38795" hidden="1" x14ac:dyDescent="0.25"/>
    <row r="38796" hidden="1" x14ac:dyDescent="0.25"/>
    <row r="38797" hidden="1" x14ac:dyDescent="0.25"/>
    <row r="38798" hidden="1" x14ac:dyDescent="0.25"/>
    <row r="38799" hidden="1" x14ac:dyDescent="0.25"/>
    <row r="38800" hidden="1" x14ac:dyDescent="0.25"/>
    <row r="38801" hidden="1" x14ac:dyDescent="0.25"/>
    <row r="38802" hidden="1" x14ac:dyDescent="0.25"/>
    <row r="38803" hidden="1" x14ac:dyDescent="0.25"/>
    <row r="38804" hidden="1" x14ac:dyDescent="0.25"/>
    <row r="38805" hidden="1" x14ac:dyDescent="0.25"/>
    <row r="38806" hidden="1" x14ac:dyDescent="0.25"/>
    <row r="38807" hidden="1" x14ac:dyDescent="0.25"/>
    <row r="38808" hidden="1" x14ac:dyDescent="0.25"/>
    <row r="38809" hidden="1" x14ac:dyDescent="0.25"/>
    <row r="38810" hidden="1" x14ac:dyDescent="0.25"/>
    <row r="38811" hidden="1" x14ac:dyDescent="0.25"/>
    <row r="38812" hidden="1" x14ac:dyDescent="0.25"/>
    <row r="38813" hidden="1" x14ac:dyDescent="0.25"/>
    <row r="38814" hidden="1" x14ac:dyDescent="0.25"/>
    <row r="38815" hidden="1" x14ac:dyDescent="0.25"/>
    <row r="38816" hidden="1" x14ac:dyDescent="0.25"/>
    <row r="38817" hidden="1" x14ac:dyDescent="0.25"/>
    <row r="38818" hidden="1" x14ac:dyDescent="0.25"/>
    <row r="38819" hidden="1" x14ac:dyDescent="0.25"/>
    <row r="38820" hidden="1" x14ac:dyDescent="0.25"/>
    <row r="38821" hidden="1" x14ac:dyDescent="0.25"/>
    <row r="38822" hidden="1" x14ac:dyDescent="0.25"/>
    <row r="38823" hidden="1" x14ac:dyDescent="0.25"/>
    <row r="38824" hidden="1" x14ac:dyDescent="0.25"/>
    <row r="38825" hidden="1" x14ac:dyDescent="0.25"/>
    <row r="38826" hidden="1" x14ac:dyDescent="0.25"/>
    <row r="38827" hidden="1" x14ac:dyDescent="0.25"/>
    <row r="38828" hidden="1" x14ac:dyDescent="0.25"/>
    <row r="38829" hidden="1" x14ac:dyDescent="0.25"/>
    <row r="38830" hidden="1" x14ac:dyDescent="0.25"/>
    <row r="38831" hidden="1" x14ac:dyDescent="0.25"/>
    <row r="38832" hidden="1" x14ac:dyDescent="0.25"/>
    <row r="38833" hidden="1" x14ac:dyDescent="0.25"/>
    <row r="38834" hidden="1" x14ac:dyDescent="0.25"/>
    <row r="38835" hidden="1" x14ac:dyDescent="0.25"/>
    <row r="38836" hidden="1" x14ac:dyDescent="0.25"/>
    <row r="38837" hidden="1" x14ac:dyDescent="0.25"/>
    <row r="38838" hidden="1" x14ac:dyDescent="0.25"/>
    <row r="38839" hidden="1" x14ac:dyDescent="0.25"/>
    <row r="38840" hidden="1" x14ac:dyDescent="0.25"/>
    <row r="38841" hidden="1" x14ac:dyDescent="0.25"/>
    <row r="38842" hidden="1" x14ac:dyDescent="0.25"/>
    <row r="38843" hidden="1" x14ac:dyDescent="0.25"/>
    <row r="38844" hidden="1" x14ac:dyDescent="0.25"/>
    <row r="38845" hidden="1" x14ac:dyDescent="0.25"/>
    <row r="38846" hidden="1" x14ac:dyDescent="0.25"/>
    <row r="38847" hidden="1" x14ac:dyDescent="0.25"/>
    <row r="38848" hidden="1" x14ac:dyDescent="0.25"/>
    <row r="38849" hidden="1" x14ac:dyDescent="0.25"/>
    <row r="38850" hidden="1" x14ac:dyDescent="0.25"/>
    <row r="38851" hidden="1" x14ac:dyDescent="0.25"/>
    <row r="38852" hidden="1" x14ac:dyDescent="0.25"/>
    <row r="38853" hidden="1" x14ac:dyDescent="0.25"/>
    <row r="38854" hidden="1" x14ac:dyDescent="0.25"/>
    <row r="38855" hidden="1" x14ac:dyDescent="0.25"/>
    <row r="38856" hidden="1" x14ac:dyDescent="0.25"/>
    <row r="38857" hidden="1" x14ac:dyDescent="0.25"/>
    <row r="38858" hidden="1" x14ac:dyDescent="0.25"/>
    <row r="38859" hidden="1" x14ac:dyDescent="0.25"/>
    <row r="38860" hidden="1" x14ac:dyDescent="0.25"/>
    <row r="38861" hidden="1" x14ac:dyDescent="0.25"/>
    <row r="38862" hidden="1" x14ac:dyDescent="0.25"/>
    <row r="38863" hidden="1" x14ac:dyDescent="0.25"/>
    <row r="38864" hidden="1" x14ac:dyDescent="0.25"/>
    <row r="38865" hidden="1" x14ac:dyDescent="0.25"/>
    <row r="38866" hidden="1" x14ac:dyDescent="0.25"/>
    <row r="38867" hidden="1" x14ac:dyDescent="0.25"/>
    <row r="38868" hidden="1" x14ac:dyDescent="0.25"/>
    <row r="38869" hidden="1" x14ac:dyDescent="0.25"/>
    <row r="38870" hidden="1" x14ac:dyDescent="0.25"/>
    <row r="38871" hidden="1" x14ac:dyDescent="0.25"/>
    <row r="38872" hidden="1" x14ac:dyDescent="0.25"/>
    <row r="38873" hidden="1" x14ac:dyDescent="0.25"/>
    <row r="38874" hidden="1" x14ac:dyDescent="0.25"/>
    <row r="38875" hidden="1" x14ac:dyDescent="0.25"/>
    <row r="38876" hidden="1" x14ac:dyDescent="0.25"/>
    <row r="38877" hidden="1" x14ac:dyDescent="0.25"/>
    <row r="38878" hidden="1" x14ac:dyDescent="0.25"/>
    <row r="38879" hidden="1" x14ac:dyDescent="0.25"/>
    <row r="38880" hidden="1" x14ac:dyDescent="0.25"/>
    <row r="38881" hidden="1" x14ac:dyDescent="0.25"/>
    <row r="38882" hidden="1" x14ac:dyDescent="0.25"/>
    <row r="38883" hidden="1" x14ac:dyDescent="0.25"/>
    <row r="38884" hidden="1" x14ac:dyDescent="0.25"/>
    <row r="38885" hidden="1" x14ac:dyDescent="0.25"/>
    <row r="38886" hidden="1" x14ac:dyDescent="0.25"/>
    <row r="38887" hidden="1" x14ac:dyDescent="0.25"/>
    <row r="38888" hidden="1" x14ac:dyDescent="0.25"/>
    <row r="38889" hidden="1" x14ac:dyDescent="0.25"/>
    <row r="38890" hidden="1" x14ac:dyDescent="0.25"/>
    <row r="38891" hidden="1" x14ac:dyDescent="0.25"/>
    <row r="38892" hidden="1" x14ac:dyDescent="0.25"/>
    <row r="38893" hidden="1" x14ac:dyDescent="0.25"/>
    <row r="38894" hidden="1" x14ac:dyDescent="0.25"/>
    <row r="38895" hidden="1" x14ac:dyDescent="0.25"/>
    <row r="38896" hidden="1" x14ac:dyDescent="0.25"/>
    <row r="38897" hidden="1" x14ac:dyDescent="0.25"/>
    <row r="38898" hidden="1" x14ac:dyDescent="0.25"/>
    <row r="38899" hidden="1" x14ac:dyDescent="0.25"/>
    <row r="38900" hidden="1" x14ac:dyDescent="0.25"/>
    <row r="38901" hidden="1" x14ac:dyDescent="0.25"/>
    <row r="38902" hidden="1" x14ac:dyDescent="0.25"/>
    <row r="38903" hidden="1" x14ac:dyDescent="0.25"/>
    <row r="38904" hidden="1" x14ac:dyDescent="0.25"/>
    <row r="38905" hidden="1" x14ac:dyDescent="0.25"/>
    <row r="38906" hidden="1" x14ac:dyDescent="0.25"/>
    <row r="38907" hidden="1" x14ac:dyDescent="0.25"/>
    <row r="38908" hidden="1" x14ac:dyDescent="0.25"/>
    <row r="38909" hidden="1" x14ac:dyDescent="0.25"/>
    <row r="38910" hidden="1" x14ac:dyDescent="0.25"/>
    <row r="38911" hidden="1" x14ac:dyDescent="0.25"/>
    <row r="38912" hidden="1" x14ac:dyDescent="0.25"/>
    <row r="38913" hidden="1" x14ac:dyDescent="0.25"/>
    <row r="38914" hidden="1" x14ac:dyDescent="0.25"/>
    <row r="38915" hidden="1" x14ac:dyDescent="0.25"/>
    <row r="38916" hidden="1" x14ac:dyDescent="0.25"/>
    <row r="38917" hidden="1" x14ac:dyDescent="0.25"/>
    <row r="38918" hidden="1" x14ac:dyDescent="0.25"/>
    <row r="38919" hidden="1" x14ac:dyDescent="0.25"/>
    <row r="38920" hidden="1" x14ac:dyDescent="0.25"/>
    <row r="38921" hidden="1" x14ac:dyDescent="0.25"/>
    <row r="38922" hidden="1" x14ac:dyDescent="0.25"/>
    <row r="38923" hidden="1" x14ac:dyDescent="0.25"/>
    <row r="38924" hidden="1" x14ac:dyDescent="0.25"/>
    <row r="38925" hidden="1" x14ac:dyDescent="0.25"/>
    <row r="38926" hidden="1" x14ac:dyDescent="0.25"/>
    <row r="38927" hidden="1" x14ac:dyDescent="0.25"/>
    <row r="38928" hidden="1" x14ac:dyDescent="0.25"/>
    <row r="38929" hidden="1" x14ac:dyDescent="0.25"/>
    <row r="38930" hidden="1" x14ac:dyDescent="0.25"/>
    <row r="38931" hidden="1" x14ac:dyDescent="0.25"/>
    <row r="38932" hidden="1" x14ac:dyDescent="0.25"/>
    <row r="38933" hidden="1" x14ac:dyDescent="0.25"/>
    <row r="38934" hidden="1" x14ac:dyDescent="0.25"/>
    <row r="38935" hidden="1" x14ac:dyDescent="0.25"/>
    <row r="38936" hidden="1" x14ac:dyDescent="0.25"/>
    <row r="38937" hidden="1" x14ac:dyDescent="0.25"/>
    <row r="38938" hidden="1" x14ac:dyDescent="0.25"/>
    <row r="38939" hidden="1" x14ac:dyDescent="0.25"/>
    <row r="38940" hidden="1" x14ac:dyDescent="0.25"/>
    <row r="38941" hidden="1" x14ac:dyDescent="0.25"/>
    <row r="38942" hidden="1" x14ac:dyDescent="0.25"/>
    <row r="38943" hidden="1" x14ac:dyDescent="0.25"/>
    <row r="38944" hidden="1" x14ac:dyDescent="0.25"/>
    <row r="38945" hidden="1" x14ac:dyDescent="0.25"/>
    <row r="38946" hidden="1" x14ac:dyDescent="0.25"/>
    <row r="38947" hidden="1" x14ac:dyDescent="0.25"/>
    <row r="38948" hidden="1" x14ac:dyDescent="0.25"/>
    <row r="38949" hidden="1" x14ac:dyDescent="0.25"/>
    <row r="38950" hidden="1" x14ac:dyDescent="0.25"/>
    <row r="38951" hidden="1" x14ac:dyDescent="0.25"/>
    <row r="38952" hidden="1" x14ac:dyDescent="0.25"/>
    <row r="38953" hidden="1" x14ac:dyDescent="0.25"/>
    <row r="38954" hidden="1" x14ac:dyDescent="0.25"/>
    <row r="38955" hidden="1" x14ac:dyDescent="0.25"/>
    <row r="38956" hidden="1" x14ac:dyDescent="0.25"/>
    <row r="38957" hidden="1" x14ac:dyDescent="0.25"/>
    <row r="38958" hidden="1" x14ac:dyDescent="0.25"/>
    <row r="38959" hidden="1" x14ac:dyDescent="0.25"/>
    <row r="38960" hidden="1" x14ac:dyDescent="0.25"/>
    <row r="38961" hidden="1" x14ac:dyDescent="0.25"/>
    <row r="38962" hidden="1" x14ac:dyDescent="0.25"/>
    <row r="38963" hidden="1" x14ac:dyDescent="0.25"/>
    <row r="38964" hidden="1" x14ac:dyDescent="0.25"/>
    <row r="38965" hidden="1" x14ac:dyDescent="0.25"/>
    <row r="38966" hidden="1" x14ac:dyDescent="0.25"/>
    <row r="38967" hidden="1" x14ac:dyDescent="0.25"/>
    <row r="38968" hidden="1" x14ac:dyDescent="0.25"/>
    <row r="38969" hidden="1" x14ac:dyDescent="0.25"/>
    <row r="38970" hidden="1" x14ac:dyDescent="0.25"/>
    <row r="38971" hidden="1" x14ac:dyDescent="0.25"/>
    <row r="38972" hidden="1" x14ac:dyDescent="0.25"/>
    <row r="38973" hidden="1" x14ac:dyDescent="0.25"/>
    <row r="38974" hidden="1" x14ac:dyDescent="0.25"/>
    <row r="38975" hidden="1" x14ac:dyDescent="0.25"/>
    <row r="38976" hidden="1" x14ac:dyDescent="0.25"/>
    <row r="38977" hidden="1" x14ac:dyDescent="0.25"/>
    <row r="38978" hidden="1" x14ac:dyDescent="0.25"/>
    <row r="38979" hidden="1" x14ac:dyDescent="0.25"/>
    <row r="38980" hidden="1" x14ac:dyDescent="0.25"/>
    <row r="38981" hidden="1" x14ac:dyDescent="0.25"/>
    <row r="38982" hidden="1" x14ac:dyDescent="0.25"/>
    <row r="38983" hidden="1" x14ac:dyDescent="0.25"/>
    <row r="38984" hidden="1" x14ac:dyDescent="0.25"/>
    <row r="38985" hidden="1" x14ac:dyDescent="0.25"/>
    <row r="38986" hidden="1" x14ac:dyDescent="0.25"/>
    <row r="38987" hidden="1" x14ac:dyDescent="0.25"/>
    <row r="38988" hidden="1" x14ac:dyDescent="0.25"/>
    <row r="38989" hidden="1" x14ac:dyDescent="0.25"/>
    <row r="38990" hidden="1" x14ac:dyDescent="0.25"/>
    <row r="38991" hidden="1" x14ac:dyDescent="0.25"/>
    <row r="38992" hidden="1" x14ac:dyDescent="0.25"/>
    <row r="38993" hidden="1" x14ac:dyDescent="0.25"/>
    <row r="38994" hidden="1" x14ac:dyDescent="0.25"/>
    <row r="38995" hidden="1" x14ac:dyDescent="0.25"/>
    <row r="38996" hidden="1" x14ac:dyDescent="0.25"/>
    <row r="38997" hidden="1" x14ac:dyDescent="0.25"/>
    <row r="38998" hidden="1" x14ac:dyDescent="0.25"/>
    <row r="38999" hidden="1" x14ac:dyDescent="0.25"/>
    <row r="39000" hidden="1" x14ac:dyDescent="0.25"/>
    <row r="39001" hidden="1" x14ac:dyDescent="0.25"/>
    <row r="39002" hidden="1" x14ac:dyDescent="0.25"/>
    <row r="39003" hidden="1" x14ac:dyDescent="0.25"/>
    <row r="39004" hidden="1" x14ac:dyDescent="0.25"/>
    <row r="39005" hidden="1" x14ac:dyDescent="0.25"/>
    <row r="39006" hidden="1" x14ac:dyDescent="0.25"/>
    <row r="39007" hidden="1" x14ac:dyDescent="0.25"/>
    <row r="39008" hidden="1" x14ac:dyDescent="0.25"/>
    <row r="39009" hidden="1" x14ac:dyDescent="0.25"/>
    <row r="39010" hidden="1" x14ac:dyDescent="0.25"/>
    <row r="39011" hidden="1" x14ac:dyDescent="0.25"/>
    <row r="39012" hidden="1" x14ac:dyDescent="0.25"/>
    <row r="39013" hidden="1" x14ac:dyDescent="0.25"/>
    <row r="39014" hidden="1" x14ac:dyDescent="0.25"/>
    <row r="39015" hidden="1" x14ac:dyDescent="0.25"/>
    <row r="39016" hidden="1" x14ac:dyDescent="0.25"/>
    <row r="39017" hidden="1" x14ac:dyDescent="0.25"/>
    <row r="39018" hidden="1" x14ac:dyDescent="0.25"/>
    <row r="39019" hidden="1" x14ac:dyDescent="0.25"/>
    <row r="39020" hidden="1" x14ac:dyDescent="0.25"/>
    <row r="39021" hidden="1" x14ac:dyDescent="0.25"/>
    <row r="39022" hidden="1" x14ac:dyDescent="0.25"/>
    <row r="39023" hidden="1" x14ac:dyDescent="0.25"/>
    <row r="39024" hidden="1" x14ac:dyDescent="0.25"/>
    <row r="39025" hidden="1" x14ac:dyDescent="0.25"/>
    <row r="39026" hidden="1" x14ac:dyDescent="0.25"/>
    <row r="39027" hidden="1" x14ac:dyDescent="0.25"/>
    <row r="39028" hidden="1" x14ac:dyDescent="0.25"/>
    <row r="39029" hidden="1" x14ac:dyDescent="0.25"/>
    <row r="39030" hidden="1" x14ac:dyDescent="0.25"/>
    <row r="39031" hidden="1" x14ac:dyDescent="0.25"/>
    <row r="39032" hidden="1" x14ac:dyDescent="0.25"/>
    <row r="39033" hidden="1" x14ac:dyDescent="0.25"/>
    <row r="39034" hidden="1" x14ac:dyDescent="0.25"/>
    <row r="39035" hidden="1" x14ac:dyDescent="0.25"/>
    <row r="39036" hidden="1" x14ac:dyDescent="0.25"/>
    <row r="39037" hidden="1" x14ac:dyDescent="0.25"/>
    <row r="39038" hidden="1" x14ac:dyDescent="0.25"/>
    <row r="39039" hidden="1" x14ac:dyDescent="0.25"/>
    <row r="39040" hidden="1" x14ac:dyDescent="0.25"/>
    <row r="39041" hidden="1" x14ac:dyDescent="0.25"/>
    <row r="39042" hidden="1" x14ac:dyDescent="0.25"/>
    <row r="39043" hidden="1" x14ac:dyDescent="0.25"/>
    <row r="39044" hidden="1" x14ac:dyDescent="0.25"/>
    <row r="39045" hidden="1" x14ac:dyDescent="0.25"/>
    <row r="39046" hidden="1" x14ac:dyDescent="0.25"/>
    <row r="39047" hidden="1" x14ac:dyDescent="0.25"/>
    <row r="39048" hidden="1" x14ac:dyDescent="0.25"/>
    <row r="39049" hidden="1" x14ac:dyDescent="0.25"/>
    <row r="39050" hidden="1" x14ac:dyDescent="0.25"/>
    <row r="39051" hidden="1" x14ac:dyDescent="0.25"/>
    <row r="39052" hidden="1" x14ac:dyDescent="0.25"/>
    <row r="39053" hidden="1" x14ac:dyDescent="0.25"/>
    <row r="39054" hidden="1" x14ac:dyDescent="0.25"/>
    <row r="39055" hidden="1" x14ac:dyDescent="0.25"/>
    <row r="39056" hidden="1" x14ac:dyDescent="0.25"/>
    <row r="39057" hidden="1" x14ac:dyDescent="0.25"/>
    <row r="39058" hidden="1" x14ac:dyDescent="0.25"/>
    <row r="39059" hidden="1" x14ac:dyDescent="0.25"/>
    <row r="39060" hidden="1" x14ac:dyDescent="0.25"/>
    <row r="39061" hidden="1" x14ac:dyDescent="0.25"/>
    <row r="39062" hidden="1" x14ac:dyDescent="0.25"/>
    <row r="39063" hidden="1" x14ac:dyDescent="0.25"/>
    <row r="39064" hidden="1" x14ac:dyDescent="0.25"/>
    <row r="39065" hidden="1" x14ac:dyDescent="0.25"/>
    <row r="39066" hidden="1" x14ac:dyDescent="0.25"/>
    <row r="39067" hidden="1" x14ac:dyDescent="0.25"/>
    <row r="39068" hidden="1" x14ac:dyDescent="0.25"/>
    <row r="39069" hidden="1" x14ac:dyDescent="0.25"/>
    <row r="39070" hidden="1" x14ac:dyDescent="0.25"/>
    <row r="39071" hidden="1" x14ac:dyDescent="0.25"/>
    <row r="39072" hidden="1" x14ac:dyDescent="0.25"/>
    <row r="39073" hidden="1" x14ac:dyDescent="0.25"/>
    <row r="39074" hidden="1" x14ac:dyDescent="0.25"/>
    <row r="39075" hidden="1" x14ac:dyDescent="0.25"/>
    <row r="39076" hidden="1" x14ac:dyDescent="0.25"/>
    <row r="39077" hidden="1" x14ac:dyDescent="0.25"/>
    <row r="39078" hidden="1" x14ac:dyDescent="0.25"/>
    <row r="39079" hidden="1" x14ac:dyDescent="0.25"/>
    <row r="39080" hidden="1" x14ac:dyDescent="0.25"/>
    <row r="39081" hidden="1" x14ac:dyDescent="0.25"/>
    <row r="39082" hidden="1" x14ac:dyDescent="0.25"/>
    <row r="39083" hidden="1" x14ac:dyDescent="0.25"/>
    <row r="39084" hidden="1" x14ac:dyDescent="0.25"/>
    <row r="39085" hidden="1" x14ac:dyDescent="0.25"/>
    <row r="39086" hidden="1" x14ac:dyDescent="0.25"/>
    <row r="39087" hidden="1" x14ac:dyDescent="0.25"/>
    <row r="39088" hidden="1" x14ac:dyDescent="0.25"/>
    <row r="39089" hidden="1" x14ac:dyDescent="0.25"/>
    <row r="39090" hidden="1" x14ac:dyDescent="0.25"/>
    <row r="39091" hidden="1" x14ac:dyDescent="0.25"/>
    <row r="39092" hidden="1" x14ac:dyDescent="0.25"/>
    <row r="39093" hidden="1" x14ac:dyDescent="0.25"/>
    <row r="39094" hidden="1" x14ac:dyDescent="0.25"/>
    <row r="39095" hidden="1" x14ac:dyDescent="0.25"/>
    <row r="39096" hidden="1" x14ac:dyDescent="0.25"/>
    <row r="39097" hidden="1" x14ac:dyDescent="0.25"/>
    <row r="39098" hidden="1" x14ac:dyDescent="0.25"/>
    <row r="39099" hidden="1" x14ac:dyDescent="0.25"/>
    <row r="39100" hidden="1" x14ac:dyDescent="0.25"/>
    <row r="39101" hidden="1" x14ac:dyDescent="0.25"/>
    <row r="39102" hidden="1" x14ac:dyDescent="0.25"/>
    <row r="39103" hidden="1" x14ac:dyDescent="0.25"/>
    <row r="39104" hidden="1" x14ac:dyDescent="0.25"/>
    <row r="39105" hidden="1" x14ac:dyDescent="0.25"/>
    <row r="39106" hidden="1" x14ac:dyDescent="0.25"/>
    <row r="39107" hidden="1" x14ac:dyDescent="0.25"/>
    <row r="39108" hidden="1" x14ac:dyDescent="0.25"/>
    <row r="39109" hidden="1" x14ac:dyDescent="0.25"/>
    <row r="39110" hidden="1" x14ac:dyDescent="0.25"/>
    <row r="39111" hidden="1" x14ac:dyDescent="0.25"/>
    <row r="39112" hidden="1" x14ac:dyDescent="0.25"/>
    <row r="39113" hidden="1" x14ac:dyDescent="0.25"/>
    <row r="39114" hidden="1" x14ac:dyDescent="0.25"/>
    <row r="39115" hidden="1" x14ac:dyDescent="0.25"/>
    <row r="39116" hidden="1" x14ac:dyDescent="0.25"/>
    <row r="39117" hidden="1" x14ac:dyDescent="0.25"/>
    <row r="39118" hidden="1" x14ac:dyDescent="0.25"/>
    <row r="39119" hidden="1" x14ac:dyDescent="0.25"/>
    <row r="39120" hidden="1" x14ac:dyDescent="0.25"/>
    <row r="39121" hidden="1" x14ac:dyDescent="0.25"/>
    <row r="39122" hidden="1" x14ac:dyDescent="0.25"/>
    <row r="39123" hidden="1" x14ac:dyDescent="0.25"/>
    <row r="39124" hidden="1" x14ac:dyDescent="0.25"/>
    <row r="39125" hidden="1" x14ac:dyDescent="0.25"/>
    <row r="39126" hidden="1" x14ac:dyDescent="0.25"/>
    <row r="39127" hidden="1" x14ac:dyDescent="0.25"/>
    <row r="39128" hidden="1" x14ac:dyDescent="0.25"/>
    <row r="39129" hidden="1" x14ac:dyDescent="0.25"/>
    <row r="39130" hidden="1" x14ac:dyDescent="0.25"/>
    <row r="39131" hidden="1" x14ac:dyDescent="0.25"/>
    <row r="39132" hidden="1" x14ac:dyDescent="0.25"/>
    <row r="39133" hidden="1" x14ac:dyDescent="0.25"/>
    <row r="39134" hidden="1" x14ac:dyDescent="0.25"/>
    <row r="39135" hidden="1" x14ac:dyDescent="0.25"/>
    <row r="39136" hidden="1" x14ac:dyDescent="0.25"/>
    <row r="39137" hidden="1" x14ac:dyDescent="0.25"/>
    <row r="39138" hidden="1" x14ac:dyDescent="0.25"/>
    <row r="39139" hidden="1" x14ac:dyDescent="0.25"/>
    <row r="39140" hidden="1" x14ac:dyDescent="0.25"/>
    <row r="39141" hidden="1" x14ac:dyDescent="0.25"/>
    <row r="39142" hidden="1" x14ac:dyDescent="0.25"/>
    <row r="39143" hidden="1" x14ac:dyDescent="0.25"/>
    <row r="39144" hidden="1" x14ac:dyDescent="0.25"/>
    <row r="39145" hidden="1" x14ac:dyDescent="0.25"/>
    <row r="39146" hidden="1" x14ac:dyDescent="0.25"/>
    <row r="39147" hidden="1" x14ac:dyDescent="0.25"/>
    <row r="39148" hidden="1" x14ac:dyDescent="0.25"/>
    <row r="39149" hidden="1" x14ac:dyDescent="0.25"/>
    <row r="39150" hidden="1" x14ac:dyDescent="0.25"/>
    <row r="39151" hidden="1" x14ac:dyDescent="0.25"/>
    <row r="39152" hidden="1" x14ac:dyDescent="0.25"/>
    <row r="39153" hidden="1" x14ac:dyDescent="0.25"/>
    <row r="39154" hidden="1" x14ac:dyDescent="0.25"/>
    <row r="39155" hidden="1" x14ac:dyDescent="0.25"/>
    <row r="39156" hidden="1" x14ac:dyDescent="0.25"/>
    <row r="39157" hidden="1" x14ac:dyDescent="0.25"/>
    <row r="39158" hidden="1" x14ac:dyDescent="0.25"/>
    <row r="39159" hidden="1" x14ac:dyDescent="0.25"/>
    <row r="39160" hidden="1" x14ac:dyDescent="0.25"/>
    <row r="39161" hidden="1" x14ac:dyDescent="0.25"/>
    <row r="39162" hidden="1" x14ac:dyDescent="0.25"/>
    <row r="39163" hidden="1" x14ac:dyDescent="0.25"/>
    <row r="39164" hidden="1" x14ac:dyDescent="0.25"/>
    <row r="39165" hidden="1" x14ac:dyDescent="0.25"/>
    <row r="39166" hidden="1" x14ac:dyDescent="0.25"/>
    <row r="39167" hidden="1" x14ac:dyDescent="0.25"/>
    <row r="39168" hidden="1" x14ac:dyDescent="0.25"/>
    <row r="39169" hidden="1" x14ac:dyDescent="0.25"/>
    <row r="39170" hidden="1" x14ac:dyDescent="0.25"/>
    <row r="39171" hidden="1" x14ac:dyDescent="0.25"/>
    <row r="39172" hidden="1" x14ac:dyDescent="0.25"/>
    <row r="39173" hidden="1" x14ac:dyDescent="0.25"/>
    <row r="39174" hidden="1" x14ac:dyDescent="0.25"/>
    <row r="39175" hidden="1" x14ac:dyDescent="0.25"/>
    <row r="39176" hidden="1" x14ac:dyDescent="0.25"/>
    <row r="39177" hidden="1" x14ac:dyDescent="0.25"/>
    <row r="39178" hidden="1" x14ac:dyDescent="0.25"/>
    <row r="39179" hidden="1" x14ac:dyDescent="0.25"/>
    <row r="39180" hidden="1" x14ac:dyDescent="0.25"/>
    <row r="39181" hidden="1" x14ac:dyDescent="0.25"/>
    <row r="39182" hidden="1" x14ac:dyDescent="0.25"/>
    <row r="39183" hidden="1" x14ac:dyDescent="0.25"/>
    <row r="39184" hidden="1" x14ac:dyDescent="0.25"/>
    <row r="39185" hidden="1" x14ac:dyDescent="0.25"/>
    <row r="39186" hidden="1" x14ac:dyDescent="0.25"/>
    <row r="39187" hidden="1" x14ac:dyDescent="0.25"/>
    <row r="39188" hidden="1" x14ac:dyDescent="0.25"/>
    <row r="39189" hidden="1" x14ac:dyDescent="0.25"/>
    <row r="39190" hidden="1" x14ac:dyDescent="0.25"/>
    <row r="39191" hidden="1" x14ac:dyDescent="0.25"/>
    <row r="39192" hidden="1" x14ac:dyDescent="0.25"/>
    <row r="39193" hidden="1" x14ac:dyDescent="0.25"/>
    <row r="39194" hidden="1" x14ac:dyDescent="0.25"/>
    <row r="39195" hidden="1" x14ac:dyDescent="0.25"/>
    <row r="39196" hidden="1" x14ac:dyDescent="0.25"/>
    <row r="39197" hidden="1" x14ac:dyDescent="0.25"/>
    <row r="39198" hidden="1" x14ac:dyDescent="0.25"/>
    <row r="39199" hidden="1" x14ac:dyDescent="0.25"/>
    <row r="39200" hidden="1" x14ac:dyDescent="0.25"/>
    <row r="39201" hidden="1" x14ac:dyDescent="0.25"/>
    <row r="39202" hidden="1" x14ac:dyDescent="0.25"/>
    <row r="39203" hidden="1" x14ac:dyDescent="0.25"/>
    <row r="39204" hidden="1" x14ac:dyDescent="0.25"/>
    <row r="39205" hidden="1" x14ac:dyDescent="0.25"/>
    <row r="39206" hidden="1" x14ac:dyDescent="0.25"/>
    <row r="39207" hidden="1" x14ac:dyDescent="0.25"/>
    <row r="39208" hidden="1" x14ac:dyDescent="0.25"/>
    <row r="39209" hidden="1" x14ac:dyDescent="0.25"/>
    <row r="39210" hidden="1" x14ac:dyDescent="0.25"/>
    <row r="39211" hidden="1" x14ac:dyDescent="0.25"/>
    <row r="39212" hidden="1" x14ac:dyDescent="0.25"/>
    <row r="39213" hidden="1" x14ac:dyDescent="0.25"/>
    <row r="39214" hidden="1" x14ac:dyDescent="0.25"/>
    <row r="39215" hidden="1" x14ac:dyDescent="0.25"/>
    <row r="39216" hidden="1" x14ac:dyDescent="0.25"/>
    <row r="39217" hidden="1" x14ac:dyDescent="0.25"/>
    <row r="39218" hidden="1" x14ac:dyDescent="0.25"/>
    <row r="39219" hidden="1" x14ac:dyDescent="0.25"/>
    <row r="39220" hidden="1" x14ac:dyDescent="0.25"/>
    <row r="39221" hidden="1" x14ac:dyDescent="0.25"/>
    <row r="39222" hidden="1" x14ac:dyDescent="0.25"/>
    <row r="39223" hidden="1" x14ac:dyDescent="0.25"/>
    <row r="39224" hidden="1" x14ac:dyDescent="0.25"/>
    <row r="39225" hidden="1" x14ac:dyDescent="0.25"/>
    <row r="39226" hidden="1" x14ac:dyDescent="0.25"/>
    <row r="39227" hidden="1" x14ac:dyDescent="0.25"/>
    <row r="39228" hidden="1" x14ac:dyDescent="0.25"/>
    <row r="39229" hidden="1" x14ac:dyDescent="0.25"/>
    <row r="39230" hidden="1" x14ac:dyDescent="0.25"/>
    <row r="39231" hidden="1" x14ac:dyDescent="0.25"/>
    <row r="39232" hidden="1" x14ac:dyDescent="0.25"/>
    <row r="39233" hidden="1" x14ac:dyDescent="0.25"/>
    <row r="39234" hidden="1" x14ac:dyDescent="0.25"/>
    <row r="39235" hidden="1" x14ac:dyDescent="0.25"/>
    <row r="39236" hidden="1" x14ac:dyDescent="0.25"/>
    <row r="39237" hidden="1" x14ac:dyDescent="0.25"/>
    <row r="39238" hidden="1" x14ac:dyDescent="0.25"/>
    <row r="39239" hidden="1" x14ac:dyDescent="0.25"/>
    <row r="39240" hidden="1" x14ac:dyDescent="0.25"/>
    <row r="39241" hidden="1" x14ac:dyDescent="0.25"/>
    <row r="39242" hidden="1" x14ac:dyDescent="0.25"/>
    <row r="39243" hidden="1" x14ac:dyDescent="0.25"/>
    <row r="39244" hidden="1" x14ac:dyDescent="0.25"/>
    <row r="39245" hidden="1" x14ac:dyDescent="0.25"/>
    <row r="39246" hidden="1" x14ac:dyDescent="0.25"/>
    <row r="39247" hidden="1" x14ac:dyDescent="0.25"/>
    <row r="39248" hidden="1" x14ac:dyDescent="0.25"/>
    <row r="39249" hidden="1" x14ac:dyDescent="0.25"/>
    <row r="39250" hidden="1" x14ac:dyDescent="0.25"/>
    <row r="39251" hidden="1" x14ac:dyDescent="0.25"/>
    <row r="39252" hidden="1" x14ac:dyDescent="0.25"/>
    <row r="39253" hidden="1" x14ac:dyDescent="0.25"/>
    <row r="39254" hidden="1" x14ac:dyDescent="0.25"/>
    <row r="39255" hidden="1" x14ac:dyDescent="0.25"/>
    <row r="39256" hidden="1" x14ac:dyDescent="0.25"/>
    <row r="39257" hidden="1" x14ac:dyDescent="0.25"/>
    <row r="39258" hidden="1" x14ac:dyDescent="0.25"/>
    <row r="39259" hidden="1" x14ac:dyDescent="0.25"/>
    <row r="39260" hidden="1" x14ac:dyDescent="0.25"/>
    <row r="39261" hidden="1" x14ac:dyDescent="0.25"/>
    <row r="39262" hidden="1" x14ac:dyDescent="0.25"/>
    <row r="39263" hidden="1" x14ac:dyDescent="0.25"/>
    <row r="39264" hidden="1" x14ac:dyDescent="0.25"/>
    <row r="39265" hidden="1" x14ac:dyDescent="0.25"/>
    <row r="39266" hidden="1" x14ac:dyDescent="0.25"/>
    <row r="39267" hidden="1" x14ac:dyDescent="0.25"/>
    <row r="39268" hidden="1" x14ac:dyDescent="0.25"/>
    <row r="39269" hidden="1" x14ac:dyDescent="0.25"/>
    <row r="39270" hidden="1" x14ac:dyDescent="0.25"/>
    <row r="39271" hidden="1" x14ac:dyDescent="0.25"/>
    <row r="39272" hidden="1" x14ac:dyDescent="0.25"/>
    <row r="39273" hidden="1" x14ac:dyDescent="0.25"/>
    <row r="39274" hidden="1" x14ac:dyDescent="0.25"/>
    <row r="39275" hidden="1" x14ac:dyDescent="0.25"/>
    <row r="39276" hidden="1" x14ac:dyDescent="0.25"/>
    <row r="39277" hidden="1" x14ac:dyDescent="0.25"/>
    <row r="39278" hidden="1" x14ac:dyDescent="0.25"/>
    <row r="39279" hidden="1" x14ac:dyDescent="0.25"/>
    <row r="39280" hidden="1" x14ac:dyDescent="0.25"/>
    <row r="39281" hidden="1" x14ac:dyDescent="0.25"/>
    <row r="39282" hidden="1" x14ac:dyDescent="0.25"/>
    <row r="39283" hidden="1" x14ac:dyDescent="0.25"/>
    <row r="39284" hidden="1" x14ac:dyDescent="0.25"/>
    <row r="39285" hidden="1" x14ac:dyDescent="0.25"/>
    <row r="39286" hidden="1" x14ac:dyDescent="0.25"/>
    <row r="39287" hidden="1" x14ac:dyDescent="0.25"/>
    <row r="39288" hidden="1" x14ac:dyDescent="0.25"/>
    <row r="39289" hidden="1" x14ac:dyDescent="0.25"/>
    <row r="39290" hidden="1" x14ac:dyDescent="0.25"/>
    <row r="39291" hidden="1" x14ac:dyDescent="0.25"/>
    <row r="39292" hidden="1" x14ac:dyDescent="0.25"/>
    <row r="39293" hidden="1" x14ac:dyDescent="0.25"/>
    <row r="39294" hidden="1" x14ac:dyDescent="0.25"/>
    <row r="39295" hidden="1" x14ac:dyDescent="0.25"/>
    <row r="39296" hidden="1" x14ac:dyDescent="0.25"/>
    <row r="39297" hidden="1" x14ac:dyDescent="0.25"/>
    <row r="39298" hidden="1" x14ac:dyDescent="0.25"/>
    <row r="39299" hidden="1" x14ac:dyDescent="0.25"/>
    <row r="39300" hidden="1" x14ac:dyDescent="0.25"/>
    <row r="39301" hidden="1" x14ac:dyDescent="0.25"/>
    <row r="39302" hidden="1" x14ac:dyDescent="0.25"/>
    <row r="39303" hidden="1" x14ac:dyDescent="0.25"/>
    <row r="39304" hidden="1" x14ac:dyDescent="0.25"/>
    <row r="39305" hidden="1" x14ac:dyDescent="0.25"/>
    <row r="39306" hidden="1" x14ac:dyDescent="0.25"/>
    <row r="39307" hidden="1" x14ac:dyDescent="0.25"/>
    <row r="39308" hidden="1" x14ac:dyDescent="0.25"/>
    <row r="39309" hidden="1" x14ac:dyDescent="0.25"/>
    <row r="39310" hidden="1" x14ac:dyDescent="0.25"/>
    <row r="39311" hidden="1" x14ac:dyDescent="0.25"/>
    <row r="39312" hidden="1" x14ac:dyDescent="0.25"/>
    <row r="39313" hidden="1" x14ac:dyDescent="0.25"/>
    <row r="39314" hidden="1" x14ac:dyDescent="0.25"/>
    <row r="39315" hidden="1" x14ac:dyDescent="0.25"/>
    <row r="39316" hidden="1" x14ac:dyDescent="0.25"/>
    <row r="39317" hidden="1" x14ac:dyDescent="0.25"/>
    <row r="39318" hidden="1" x14ac:dyDescent="0.25"/>
    <row r="39319" hidden="1" x14ac:dyDescent="0.25"/>
    <row r="39320" hidden="1" x14ac:dyDescent="0.25"/>
    <row r="39321" hidden="1" x14ac:dyDescent="0.25"/>
    <row r="39322" hidden="1" x14ac:dyDescent="0.25"/>
    <row r="39323" hidden="1" x14ac:dyDescent="0.25"/>
    <row r="39324" hidden="1" x14ac:dyDescent="0.25"/>
    <row r="39325" hidden="1" x14ac:dyDescent="0.25"/>
    <row r="39326" hidden="1" x14ac:dyDescent="0.25"/>
    <row r="39327" hidden="1" x14ac:dyDescent="0.25"/>
    <row r="39328" hidden="1" x14ac:dyDescent="0.25"/>
    <row r="39329" hidden="1" x14ac:dyDescent="0.25"/>
    <row r="39330" hidden="1" x14ac:dyDescent="0.25"/>
    <row r="39331" hidden="1" x14ac:dyDescent="0.25"/>
    <row r="39332" hidden="1" x14ac:dyDescent="0.25"/>
    <row r="39333" hidden="1" x14ac:dyDescent="0.25"/>
    <row r="39334" hidden="1" x14ac:dyDescent="0.25"/>
    <row r="39335" hidden="1" x14ac:dyDescent="0.25"/>
    <row r="39336" hidden="1" x14ac:dyDescent="0.25"/>
    <row r="39337" hidden="1" x14ac:dyDescent="0.25"/>
    <row r="39338" hidden="1" x14ac:dyDescent="0.25"/>
    <row r="39339" hidden="1" x14ac:dyDescent="0.25"/>
    <row r="39340" hidden="1" x14ac:dyDescent="0.25"/>
    <row r="39341" hidden="1" x14ac:dyDescent="0.25"/>
    <row r="39342" hidden="1" x14ac:dyDescent="0.25"/>
    <row r="39343" hidden="1" x14ac:dyDescent="0.25"/>
    <row r="39344" hidden="1" x14ac:dyDescent="0.25"/>
    <row r="39345" hidden="1" x14ac:dyDescent="0.25"/>
    <row r="39346" hidden="1" x14ac:dyDescent="0.25"/>
    <row r="39347" hidden="1" x14ac:dyDescent="0.25"/>
    <row r="39348" hidden="1" x14ac:dyDescent="0.25"/>
    <row r="39349" hidden="1" x14ac:dyDescent="0.25"/>
    <row r="39350" hidden="1" x14ac:dyDescent="0.25"/>
    <row r="39351" hidden="1" x14ac:dyDescent="0.25"/>
    <row r="39352" hidden="1" x14ac:dyDescent="0.25"/>
    <row r="39353" hidden="1" x14ac:dyDescent="0.25"/>
    <row r="39354" hidden="1" x14ac:dyDescent="0.25"/>
    <row r="39355" hidden="1" x14ac:dyDescent="0.25"/>
    <row r="39356" hidden="1" x14ac:dyDescent="0.25"/>
    <row r="39357" hidden="1" x14ac:dyDescent="0.25"/>
    <row r="39358" hidden="1" x14ac:dyDescent="0.25"/>
    <row r="39359" hidden="1" x14ac:dyDescent="0.25"/>
    <row r="39360" hidden="1" x14ac:dyDescent="0.25"/>
    <row r="39361" hidden="1" x14ac:dyDescent="0.25"/>
    <row r="39362" hidden="1" x14ac:dyDescent="0.25"/>
    <row r="39363" hidden="1" x14ac:dyDescent="0.25"/>
    <row r="39364" hidden="1" x14ac:dyDescent="0.25"/>
    <row r="39365" hidden="1" x14ac:dyDescent="0.25"/>
    <row r="39366" hidden="1" x14ac:dyDescent="0.25"/>
    <row r="39367" hidden="1" x14ac:dyDescent="0.25"/>
    <row r="39368" hidden="1" x14ac:dyDescent="0.25"/>
    <row r="39369" hidden="1" x14ac:dyDescent="0.25"/>
    <row r="39370" hidden="1" x14ac:dyDescent="0.25"/>
    <row r="39371" hidden="1" x14ac:dyDescent="0.25"/>
    <row r="39372" hidden="1" x14ac:dyDescent="0.25"/>
    <row r="39373" hidden="1" x14ac:dyDescent="0.25"/>
    <row r="39374" hidden="1" x14ac:dyDescent="0.25"/>
    <row r="39375" hidden="1" x14ac:dyDescent="0.25"/>
    <row r="39376" hidden="1" x14ac:dyDescent="0.25"/>
    <row r="39377" hidden="1" x14ac:dyDescent="0.25"/>
    <row r="39378" hidden="1" x14ac:dyDescent="0.25"/>
    <row r="39379" hidden="1" x14ac:dyDescent="0.25"/>
    <row r="39380" hidden="1" x14ac:dyDescent="0.25"/>
    <row r="39381" hidden="1" x14ac:dyDescent="0.25"/>
    <row r="39382" hidden="1" x14ac:dyDescent="0.25"/>
    <row r="39383" hidden="1" x14ac:dyDescent="0.25"/>
    <row r="39384" hidden="1" x14ac:dyDescent="0.25"/>
    <row r="39385" hidden="1" x14ac:dyDescent="0.25"/>
    <row r="39386" hidden="1" x14ac:dyDescent="0.25"/>
    <row r="39387" hidden="1" x14ac:dyDescent="0.25"/>
    <row r="39388" hidden="1" x14ac:dyDescent="0.25"/>
    <row r="39389" hidden="1" x14ac:dyDescent="0.25"/>
    <row r="39390" hidden="1" x14ac:dyDescent="0.25"/>
    <row r="39391" hidden="1" x14ac:dyDescent="0.25"/>
    <row r="39392" hidden="1" x14ac:dyDescent="0.25"/>
    <row r="39393" hidden="1" x14ac:dyDescent="0.25"/>
    <row r="39394" hidden="1" x14ac:dyDescent="0.25"/>
    <row r="39395" hidden="1" x14ac:dyDescent="0.25"/>
    <row r="39396" hidden="1" x14ac:dyDescent="0.25"/>
    <row r="39397" hidden="1" x14ac:dyDescent="0.25"/>
    <row r="39398" hidden="1" x14ac:dyDescent="0.25"/>
    <row r="39399" hidden="1" x14ac:dyDescent="0.25"/>
    <row r="39400" hidden="1" x14ac:dyDescent="0.25"/>
    <row r="39401" hidden="1" x14ac:dyDescent="0.25"/>
    <row r="39402" hidden="1" x14ac:dyDescent="0.25"/>
    <row r="39403" hidden="1" x14ac:dyDescent="0.25"/>
    <row r="39404" hidden="1" x14ac:dyDescent="0.25"/>
    <row r="39405" hidden="1" x14ac:dyDescent="0.25"/>
    <row r="39406" hidden="1" x14ac:dyDescent="0.25"/>
    <row r="39407" hidden="1" x14ac:dyDescent="0.25"/>
    <row r="39408" hidden="1" x14ac:dyDescent="0.25"/>
    <row r="39409" hidden="1" x14ac:dyDescent="0.25"/>
    <row r="39410" hidden="1" x14ac:dyDescent="0.25"/>
    <row r="39411" hidden="1" x14ac:dyDescent="0.25"/>
    <row r="39412" hidden="1" x14ac:dyDescent="0.25"/>
    <row r="39413" hidden="1" x14ac:dyDescent="0.25"/>
    <row r="39414" hidden="1" x14ac:dyDescent="0.25"/>
    <row r="39415" hidden="1" x14ac:dyDescent="0.25"/>
    <row r="39416" hidden="1" x14ac:dyDescent="0.25"/>
    <row r="39417" hidden="1" x14ac:dyDescent="0.25"/>
    <row r="39418" hidden="1" x14ac:dyDescent="0.25"/>
    <row r="39419" hidden="1" x14ac:dyDescent="0.25"/>
    <row r="39420" hidden="1" x14ac:dyDescent="0.25"/>
    <row r="39421" hidden="1" x14ac:dyDescent="0.25"/>
    <row r="39422" hidden="1" x14ac:dyDescent="0.25"/>
    <row r="39423" hidden="1" x14ac:dyDescent="0.25"/>
    <row r="39424" hidden="1" x14ac:dyDescent="0.25"/>
    <row r="39425" hidden="1" x14ac:dyDescent="0.25"/>
    <row r="39426" hidden="1" x14ac:dyDescent="0.25"/>
    <row r="39427" hidden="1" x14ac:dyDescent="0.25"/>
    <row r="39428" hidden="1" x14ac:dyDescent="0.25"/>
    <row r="39429" hidden="1" x14ac:dyDescent="0.25"/>
    <row r="39430" hidden="1" x14ac:dyDescent="0.25"/>
    <row r="39431" hidden="1" x14ac:dyDescent="0.25"/>
    <row r="39432" hidden="1" x14ac:dyDescent="0.25"/>
    <row r="39433" hidden="1" x14ac:dyDescent="0.25"/>
    <row r="39434" hidden="1" x14ac:dyDescent="0.25"/>
    <row r="39435" hidden="1" x14ac:dyDescent="0.25"/>
    <row r="39436" hidden="1" x14ac:dyDescent="0.25"/>
    <row r="39437" hidden="1" x14ac:dyDescent="0.25"/>
    <row r="39438" hidden="1" x14ac:dyDescent="0.25"/>
    <row r="39439" hidden="1" x14ac:dyDescent="0.25"/>
    <row r="39440" hidden="1" x14ac:dyDescent="0.25"/>
    <row r="39441" hidden="1" x14ac:dyDescent="0.25"/>
    <row r="39442" hidden="1" x14ac:dyDescent="0.25"/>
    <row r="39443" hidden="1" x14ac:dyDescent="0.25"/>
    <row r="39444" hidden="1" x14ac:dyDescent="0.25"/>
    <row r="39445" hidden="1" x14ac:dyDescent="0.25"/>
    <row r="39446" hidden="1" x14ac:dyDescent="0.25"/>
    <row r="39447" hidden="1" x14ac:dyDescent="0.25"/>
    <row r="39448" hidden="1" x14ac:dyDescent="0.25"/>
    <row r="39449" hidden="1" x14ac:dyDescent="0.25"/>
    <row r="39450" hidden="1" x14ac:dyDescent="0.25"/>
    <row r="39451" hidden="1" x14ac:dyDescent="0.25"/>
    <row r="39452" hidden="1" x14ac:dyDescent="0.25"/>
    <row r="39453" hidden="1" x14ac:dyDescent="0.25"/>
    <row r="39454" hidden="1" x14ac:dyDescent="0.25"/>
    <row r="39455" hidden="1" x14ac:dyDescent="0.25"/>
    <row r="39456" hidden="1" x14ac:dyDescent="0.25"/>
    <row r="39457" hidden="1" x14ac:dyDescent="0.25"/>
    <row r="39458" hidden="1" x14ac:dyDescent="0.25"/>
    <row r="39459" hidden="1" x14ac:dyDescent="0.25"/>
    <row r="39460" hidden="1" x14ac:dyDescent="0.25"/>
    <row r="39461" hidden="1" x14ac:dyDescent="0.25"/>
    <row r="39462" hidden="1" x14ac:dyDescent="0.25"/>
    <row r="39463" hidden="1" x14ac:dyDescent="0.25"/>
    <row r="39464" hidden="1" x14ac:dyDescent="0.25"/>
    <row r="39465" hidden="1" x14ac:dyDescent="0.25"/>
    <row r="39466" hidden="1" x14ac:dyDescent="0.25"/>
    <row r="39467" hidden="1" x14ac:dyDescent="0.25"/>
    <row r="39468" hidden="1" x14ac:dyDescent="0.25"/>
    <row r="39469" hidden="1" x14ac:dyDescent="0.25"/>
    <row r="39470" hidden="1" x14ac:dyDescent="0.25"/>
    <row r="39471" hidden="1" x14ac:dyDescent="0.25"/>
    <row r="39472" hidden="1" x14ac:dyDescent="0.25"/>
    <row r="39473" hidden="1" x14ac:dyDescent="0.25"/>
    <row r="39474" hidden="1" x14ac:dyDescent="0.25"/>
    <row r="39475" hidden="1" x14ac:dyDescent="0.25"/>
    <row r="39476" hidden="1" x14ac:dyDescent="0.25"/>
    <row r="39477" hidden="1" x14ac:dyDescent="0.25"/>
    <row r="39478" hidden="1" x14ac:dyDescent="0.25"/>
    <row r="39479" hidden="1" x14ac:dyDescent="0.25"/>
    <row r="39480" hidden="1" x14ac:dyDescent="0.25"/>
    <row r="39481" hidden="1" x14ac:dyDescent="0.25"/>
    <row r="39482" hidden="1" x14ac:dyDescent="0.25"/>
    <row r="39483" hidden="1" x14ac:dyDescent="0.25"/>
    <row r="39484" hidden="1" x14ac:dyDescent="0.25"/>
    <row r="39485" hidden="1" x14ac:dyDescent="0.25"/>
    <row r="39486" hidden="1" x14ac:dyDescent="0.25"/>
    <row r="39487" hidden="1" x14ac:dyDescent="0.25"/>
    <row r="39488" hidden="1" x14ac:dyDescent="0.25"/>
    <row r="39489" hidden="1" x14ac:dyDescent="0.25"/>
    <row r="39490" hidden="1" x14ac:dyDescent="0.25"/>
    <row r="39491" hidden="1" x14ac:dyDescent="0.25"/>
    <row r="39492" hidden="1" x14ac:dyDescent="0.25"/>
    <row r="39493" hidden="1" x14ac:dyDescent="0.25"/>
    <row r="39494" hidden="1" x14ac:dyDescent="0.25"/>
    <row r="39495" hidden="1" x14ac:dyDescent="0.25"/>
    <row r="39496" hidden="1" x14ac:dyDescent="0.25"/>
    <row r="39497" hidden="1" x14ac:dyDescent="0.25"/>
    <row r="39498" hidden="1" x14ac:dyDescent="0.25"/>
    <row r="39499" hidden="1" x14ac:dyDescent="0.25"/>
    <row r="39500" hidden="1" x14ac:dyDescent="0.25"/>
    <row r="39501" hidden="1" x14ac:dyDescent="0.25"/>
    <row r="39502" hidden="1" x14ac:dyDescent="0.25"/>
    <row r="39503" hidden="1" x14ac:dyDescent="0.25"/>
    <row r="39504" hidden="1" x14ac:dyDescent="0.25"/>
    <row r="39505" hidden="1" x14ac:dyDescent="0.25"/>
    <row r="39506" hidden="1" x14ac:dyDescent="0.25"/>
    <row r="39507" hidden="1" x14ac:dyDescent="0.25"/>
    <row r="39508" hidden="1" x14ac:dyDescent="0.25"/>
    <row r="39509" hidden="1" x14ac:dyDescent="0.25"/>
    <row r="39510" hidden="1" x14ac:dyDescent="0.25"/>
    <row r="39511" hidden="1" x14ac:dyDescent="0.25"/>
    <row r="39512" hidden="1" x14ac:dyDescent="0.25"/>
    <row r="39513" hidden="1" x14ac:dyDescent="0.25"/>
    <row r="39514" hidden="1" x14ac:dyDescent="0.25"/>
    <row r="39515" hidden="1" x14ac:dyDescent="0.25"/>
    <row r="39516" hidden="1" x14ac:dyDescent="0.25"/>
    <row r="39517" hidden="1" x14ac:dyDescent="0.25"/>
    <row r="39518" hidden="1" x14ac:dyDescent="0.25"/>
    <row r="39519" hidden="1" x14ac:dyDescent="0.25"/>
    <row r="39520" hidden="1" x14ac:dyDescent="0.25"/>
    <row r="39521" hidden="1" x14ac:dyDescent="0.25"/>
    <row r="39522" hidden="1" x14ac:dyDescent="0.25"/>
    <row r="39523" hidden="1" x14ac:dyDescent="0.25"/>
    <row r="39524" hidden="1" x14ac:dyDescent="0.25"/>
    <row r="39525" hidden="1" x14ac:dyDescent="0.25"/>
    <row r="39526" hidden="1" x14ac:dyDescent="0.25"/>
    <row r="39527" hidden="1" x14ac:dyDescent="0.25"/>
    <row r="39528" hidden="1" x14ac:dyDescent="0.25"/>
    <row r="39529" hidden="1" x14ac:dyDescent="0.25"/>
    <row r="39530" hidden="1" x14ac:dyDescent="0.25"/>
    <row r="39531" hidden="1" x14ac:dyDescent="0.25"/>
    <row r="39532" hidden="1" x14ac:dyDescent="0.25"/>
    <row r="39533" hidden="1" x14ac:dyDescent="0.25"/>
    <row r="39534" hidden="1" x14ac:dyDescent="0.25"/>
    <row r="39535" hidden="1" x14ac:dyDescent="0.25"/>
    <row r="39536" hidden="1" x14ac:dyDescent="0.25"/>
    <row r="39537" hidden="1" x14ac:dyDescent="0.25"/>
    <row r="39538" hidden="1" x14ac:dyDescent="0.25"/>
    <row r="39539" hidden="1" x14ac:dyDescent="0.25"/>
    <row r="39540" hidden="1" x14ac:dyDescent="0.25"/>
    <row r="39541" hidden="1" x14ac:dyDescent="0.25"/>
    <row r="39542" hidden="1" x14ac:dyDescent="0.25"/>
    <row r="39543" hidden="1" x14ac:dyDescent="0.25"/>
    <row r="39544" hidden="1" x14ac:dyDescent="0.25"/>
    <row r="39545" hidden="1" x14ac:dyDescent="0.25"/>
    <row r="39546" hidden="1" x14ac:dyDescent="0.25"/>
    <row r="39547" hidden="1" x14ac:dyDescent="0.25"/>
    <row r="39548" hidden="1" x14ac:dyDescent="0.25"/>
    <row r="39549" hidden="1" x14ac:dyDescent="0.25"/>
    <row r="39550" hidden="1" x14ac:dyDescent="0.25"/>
    <row r="39551" hidden="1" x14ac:dyDescent="0.25"/>
    <row r="39552" hidden="1" x14ac:dyDescent="0.25"/>
    <row r="39553" hidden="1" x14ac:dyDescent="0.25"/>
    <row r="39554" hidden="1" x14ac:dyDescent="0.25"/>
    <row r="39555" hidden="1" x14ac:dyDescent="0.25"/>
    <row r="39556" hidden="1" x14ac:dyDescent="0.25"/>
    <row r="39557" hidden="1" x14ac:dyDescent="0.25"/>
    <row r="39558" hidden="1" x14ac:dyDescent="0.25"/>
    <row r="39559" hidden="1" x14ac:dyDescent="0.25"/>
    <row r="39560" hidden="1" x14ac:dyDescent="0.25"/>
    <row r="39561" hidden="1" x14ac:dyDescent="0.25"/>
    <row r="39562" hidden="1" x14ac:dyDescent="0.25"/>
    <row r="39563" hidden="1" x14ac:dyDescent="0.25"/>
    <row r="39564" hidden="1" x14ac:dyDescent="0.25"/>
    <row r="39565" hidden="1" x14ac:dyDescent="0.25"/>
    <row r="39566" hidden="1" x14ac:dyDescent="0.25"/>
    <row r="39567" hidden="1" x14ac:dyDescent="0.25"/>
    <row r="39568" hidden="1" x14ac:dyDescent="0.25"/>
    <row r="39569" hidden="1" x14ac:dyDescent="0.25"/>
    <row r="39570" hidden="1" x14ac:dyDescent="0.25"/>
    <row r="39571" hidden="1" x14ac:dyDescent="0.25"/>
    <row r="39572" hidden="1" x14ac:dyDescent="0.25"/>
    <row r="39573" hidden="1" x14ac:dyDescent="0.25"/>
    <row r="39574" hidden="1" x14ac:dyDescent="0.25"/>
    <row r="39575" hidden="1" x14ac:dyDescent="0.25"/>
    <row r="39576" hidden="1" x14ac:dyDescent="0.25"/>
    <row r="39577" hidden="1" x14ac:dyDescent="0.25"/>
    <row r="39578" hidden="1" x14ac:dyDescent="0.25"/>
    <row r="39579" hidden="1" x14ac:dyDescent="0.25"/>
    <row r="39580" hidden="1" x14ac:dyDescent="0.25"/>
    <row r="39581" hidden="1" x14ac:dyDescent="0.25"/>
    <row r="39582" hidden="1" x14ac:dyDescent="0.25"/>
    <row r="39583" hidden="1" x14ac:dyDescent="0.25"/>
    <row r="39584" hidden="1" x14ac:dyDescent="0.25"/>
    <row r="39585" hidden="1" x14ac:dyDescent="0.25"/>
    <row r="39586" hidden="1" x14ac:dyDescent="0.25"/>
    <row r="39587" hidden="1" x14ac:dyDescent="0.25"/>
    <row r="39588" hidden="1" x14ac:dyDescent="0.25"/>
    <row r="39589" hidden="1" x14ac:dyDescent="0.25"/>
    <row r="39590" hidden="1" x14ac:dyDescent="0.25"/>
    <row r="39591" hidden="1" x14ac:dyDescent="0.25"/>
    <row r="39592" hidden="1" x14ac:dyDescent="0.25"/>
    <row r="39593" hidden="1" x14ac:dyDescent="0.25"/>
    <row r="39594" hidden="1" x14ac:dyDescent="0.25"/>
    <row r="39595" hidden="1" x14ac:dyDescent="0.25"/>
    <row r="39596" hidden="1" x14ac:dyDescent="0.25"/>
    <row r="39597" hidden="1" x14ac:dyDescent="0.25"/>
    <row r="39598" hidden="1" x14ac:dyDescent="0.25"/>
    <row r="39599" hidden="1" x14ac:dyDescent="0.25"/>
    <row r="39600" hidden="1" x14ac:dyDescent="0.25"/>
    <row r="39601" hidden="1" x14ac:dyDescent="0.25"/>
    <row r="39602" hidden="1" x14ac:dyDescent="0.25"/>
    <row r="39603" hidden="1" x14ac:dyDescent="0.25"/>
    <row r="39604" hidden="1" x14ac:dyDescent="0.25"/>
    <row r="39605" hidden="1" x14ac:dyDescent="0.25"/>
    <row r="39606" hidden="1" x14ac:dyDescent="0.25"/>
    <row r="39607" hidden="1" x14ac:dyDescent="0.25"/>
    <row r="39608" hidden="1" x14ac:dyDescent="0.25"/>
    <row r="39609" hidden="1" x14ac:dyDescent="0.25"/>
    <row r="39610" hidden="1" x14ac:dyDescent="0.25"/>
    <row r="39611" hidden="1" x14ac:dyDescent="0.25"/>
    <row r="39612" hidden="1" x14ac:dyDescent="0.25"/>
    <row r="39613" hidden="1" x14ac:dyDescent="0.25"/>
    <row r="39614" hidden="1" x14ac:dyDescent="0.25"/>
    <row r="39615" hidden="1" x14ac:dyDescent="0.25"/>
    <row r="39616" hidden="1" x14ac:dyDescent="0.25"/>
    <row r="39617" hidden="1" x14ac:dyDescent="0.25"/>
    <row r="39618" hidden="1" x14ac:dyDescent="0.25"/>
    <row r="39619" hidden="1" x14ac:dyDescent="0.25"/>
    <row r="39620" hidden="1" x14ac:dyDescent="0.25"/>
    <row r="39621" hidden="1" x14ac:dyDescent="0.25"/>
    <row r="39622" hidden="1" x14ac:dyDescent="0.25"/>
    <row r="39623" hidden="1" x14ac:dyDescent="0.25"/>
    <row r="39624" hidden="1" x14ac:dyDescent="0.25"/>
    <row r="39625" hidden="1" x14ac:dyDescent="0.25"/>
    <row r="39626" hidden="1" x14ac:dyDescent="0.25"/>
    <row r="39627" hidden="1" x14ac:dyDescent="0.25"/>
    <row r="39628" hidden="1" x14ac:dyDescent="0.25"/>
    <row r="39629" hidden="1" x14ac:dyDescent="0.25"/>
    <row r="39630" hidden="1" x14ac:dyDescent="0.25"/>
    <row r="39631" hidden="1" x14ac:dyDescent="0.25"/>
    <row r="39632" hidden="1" x14ac:dyDescent="0.25"/>
    <row r="39633" hidden="1" x14ac:dyDescent="0.25"/>
    <row r="39634" hidden="1" x14ac:dyDescent="0.25"/>
    <row r="39635" hidden="1" x14ac:dyDescent="0.25"/>
    <row r="39636" hidden="1" x14ac:dyDescent="0.25"/>
    <row r="39637" hidden="1" x14ac:dyDescent="0.25"/>
    <row r="39638" hidden="1" x14ac:dyDescent="0.25"/>
    <row r="39639" hidden="1" x14ac:dyDescent="0.25"/>
    <row r="39640" hidden="1" x14ac:dyDescent="0.25"/>
    <row r="39641" hidden="1" x14ac:dyDescent="0.25"/>
    <row r="39642" hidden="1" x14ac:dyDescent="0.25"/>
    <row r="39643" hidden="1" x14ac:dyDescent="0.25"/>
    <row r="39644" hidden="1" x14ac:dyDescent="0.25"/>
    <row r="39645" hidden="1" x14ac:dyDescent="0.25"/>
    <row r="39646" hidden="1" x14ac:dyDescent="0.25"/>
    <row r="39647" hidden="1" x14ac:dyDescent="0.25"/>
    <row r="39648" hidden="1" x14ac:dyDescent="0.25"/>
    <row r="39649" hidden="1" x14ac:dyDescent="0.25"/>
    <row r="39650" hidden="1" x14ac:dyDescent="0.25"/>
    <row r="39651" hidden="1" x14ac:dyDescent="0.25"/>
    <row r="39652" hidden="1" x14ac:dyDescent="0.25"/>
    <row r="39653" hidden="1" x14ac:dyDescent="0.25"/>
    <row r="39654" hidden="1" x14ac:dyDescent="0.25"/>
    <row r="39655" hidden="1" x14ac:dyDescent="0.25"/>
    <row r="39656" hidden="1" x14ac:dyDescent="0.25"/>
    <row r="39657" hidden="1" x14ac:dyDescent="0.25"/>
    <row r="39658" hidden="1" x14ac:dyDescent="0.25"/>
    <row r="39659" hidden="1" x14ac:dyDescent="0.25"/>
    <row r="39660" hidden="1" x14ac:dyDescent="0.25"/>
    <row r="39661" hidden="1" x14ac:dyDescent="0.25"/>
    <row r="39662" hidden="1" x14ac:dyDescent="0.25"/>
    <row r="39663" hidden="1" x14ac:dyDescent="0.25"/>
    <row r="39664" hidden="1" x14ac:dyDescent="0.25"/>
    <row r="39665" hidden="1" x14ac:dyDescent="0.25"/>
    <row r="39666" hidden="1" x14ac:dyDescent="0.25"/>
    <row r="39667" hidden="1" x14ac:dyDescent="0.25"/>
    <row r="39668" hidden="1" x14ac:dyDescent="0.25"/>
    <row r="39669" hidden="1" x14ac:dyDescent="0.25"/>
    <row r="39670" hidden="1" x14ac:dyDescent="0.25"/>
    <row r="39671" hidden="1" x14ac:dyDescent="0.25"/>
    <row r="39672" hidden="1" x14ac:dyDescent="0.25"/>
    <row r="39673" hidden="1" x14ac:dyDescent="0.25"/>
    <row r="39674" hidden="1" x14ac:dyDescent="0.25"/>
    <row r="39675" hidden="1" x14ac:dyDescent="0.25"/>
    <row r="39676" hidden="1" x14ac:dyDescent="0.25"/>
    <row r="39677" hidden="1" x14ac:dyDescent="0.25"/>
    <row r="39678" hidden="1" x14ac:dyDescent="0.25"/>
    <row r="39679" hidden="1" x14ac:dyDescent="0.25"/>
    <row r="39680" hidden="1" x14ac:dyDescent="0.25"/>
    <row r="39681" hidden="1" x14ac:dyDescent="0.25"/>
    <row r="39682" hidden="1" x14ac:dyDescent="0.25"/>
    <row r="39683" hidden="1" x14ac:dyDescent="0.25"/>
    <row r="39684" hidden="1" x14ac:dyDescent="0.25"/>
    <row r="39685" hidden="1" x14ac:dyDescent="0.25"/>
    <row r="39686" hidden="1" x14ac:dyDescent="0.25"/>
    <row r="39687" hidden="1" x14ac:dyDescent="0.25"/>
    <row r="39688" hidden="1" x14ac:dyDescent="0.25"/>
    <row r="39689" hidden="1" x14ac:dyDescent="0.25"/>
    <row r="39690" hidden="1" x14ac:dyDescent="0.25"/>
    <row r="39691" hidden="1" x14ac:dyDescent="0.25"/>
    <row r="39692" hidden="1" x14ac:dyDescent="0.25"/>
    <row r="39693" hidden="1" x14ac:dyDescent="0.25"/>
    <row r="39694" hidden="1" x14ac:dyDescent="0.25"/>
    <row r="39695" hidden="1" x14ac:dyDescent="0.25"/>
    <row r="39696" hidden="1" x14ac:dyDescent="0.25"/>
    <row r="39697" hidden="1" x14ac:dyDescent="0.25"/>
    <row r="39698" hidden="1" x14ac:dyDescent="0.25"/>
    <row r="39699" hidden="1" x14ac:dyDescent="0.25"/>
    <row r="39700" hidden="1" x14ac:dyDescent="0.25"/>
    <row r="39701" hidden="1" x14ac:dyDescent="0.25"/>
    <row r="39702" hidden="1" x14ac:dyDescent="0.25"/>
    <row r="39703" hidden="1" x14ac:dyDescent="0.25"/>
    <row r="39704" hidden="1" x14ac:dyDescent="0.25"/>
    <row r="39705" hidden="1" x14ac:dyDescent="0.25"/>
    <row r="39706" hidden="1" x14ac:dyDescent="0.25"/>
    <row r="39707" hidden="1" x14ac:dyDescent="0.25"/>
    <row r="39708" hidden="1" x14ac:dyDescent="0.25"/>
    <row r="39709" hidden="1" x14ac:dyDescent="0.25"/>
    <row r="39710" hidden="1" x14ac:dyDescent="0.25"/>
    <row r="39711" hidden="1" x14ac:dyDescent="0.25"/>
    <row r="39712" hidden="1" x14ac:dyDescent="0.25"/>
    <row r="39713" hidden="1" x14ac:dyDescent="0.25"/>
    <row r="39714" hidden="1" x14ac:dyDescent="0.25"/>
    <row r="39715" hidden="1" x14ac:dyDescent="0.25"/>
    <row r="39716" hidden="1" x14ac:dyDescent="0.25"/>
    <row r="39717" hidden="1" x14ac:dyDescent="0.25"/>
    <row r="39718" hidden="1" x14ac:dyDescent="0.25"/>
    <row r="39719" hidden="1" x14ac:dyDescent="0.25"/>
    <row r="39720" hidden="1" x14ac:dyDescent="0.25"/>
    <row r="39721" hidden="1" x14ac:dyDescent="0.25"/>
    <row r="39722" hidden="1" x14ac:dyDescent="0.25"/>
    <row r="39723" hidden="1" x14ac:dyDescent="0.25"/>
    <row r="39724" hidden="1" x14ac:dyDescent="0.25"/>
    <row r="39725" hidden="1" x14ac:dyDescent="0.25"/>
    <row r="39726" hidden="1" x14ac:dyDescent="0.25"/>
    <row r="39727" hidden="1" x14ac:dyDescent="0.25"/>
    <row r="39728" hidden="1" x14ac:dyDescent="0.25"/>
    <row r="39729" hidden="1" x14ac:dyDescent="0.25"/>
    <row r="39730" hidden="1" x14ac:dyDescent="0.25"/>
    <row r="39731" hidden="1" x14ac:dyDescent="0.25"/>
    <row r="39732" hidden="1" x14ac:dyDescent="0.25"/>
    <row r="39733" hidden="1" x14ac:dyDescent="0.25"/>
    <row r="39734" hidden="1" x14ac:dyDescent="0.25"/>
    <row r="39735" hidden="1" x14ac:dyDescent="0.25"/>
    <row r="39736" hidden="1" x14ac:dyDescent="0.25"/>
    <row r="39737" hidden="1" x14ac:dyDescent="0.25"/>
    <row r="39738" hidden="1" x14ac:dyDescent="0.25"/>
    <row r="39739" hidden="1" x14ac:dyDescent="0.25"/>
    <row r="39740" hidden="1" x14ac:dyDescent="0.25"/>
    <row r="39741" hidden="1" x14ac:dyDescent="0.25"/>
    <row r="39742" hidden="1" x14ac:dyDescent="0.25"/>
    <row r="39743" hidden="1" x14ac:dyDescent="0.25"/>
    <row r="39744" hidden="1" x14ac:dyDescent="0.25"/>
    <row r="39745" hidden="1" x14ac:dyDescent="0.25"/>
    <row r="39746" hidden="1" x14ac:dyDescent="0.25"/>
    <row r="39747" hidden="1" x14ac:dyDescent="0.25"/>
    <row r="39748" hidden="1" x14ac:dyDescent="0.25"/>
    <row r="39749" hidden="1" x14ac:dyDescent="0.25"/>
    <row r="39750" hidden="1" x14ac:dyDescent="0.25"/>
    <row r="39751" hidden="1" x14ac:dyDescent="0.25"/>
    <row r="39752" hidden="1" x14ac:dyDescent="0.25"/>
    <row r="39753" hidden="1" x14ac:dyDescent="0.25"/>
    <row r="39754" hidden="1" x14ac:dyDescent="0.25"/>
    <row r="39755" hidden="1" x14ac:dyDescent="0.25"/>
    <row r="39756" hidden="1" x14ac:dyDescent="0.25"/>
    <row r="39757" hidden="1" x14ac:dyDescent="0.25"/>
    <row r="39758" hidden="1" x14ac:dyDescent="0.25"/>
    <row r="39759" hidden="1" x14ac:dyDescent="0.25"/>
    <row r="39760" hidden="1" x14ac:dyDescent="0.25"/>
    <row r="39761" hidden="1" x14ac:dyDescent="0.25"/>
    <row r="39762" hidden="1" x14ac:dyDescent="0.25"/>
    <row r="39763" hidden="1" x14ac:dyDescent="0.25"/>
    <row r="39764" hidden="1" x14ac:dyDescent="0.25"/>
    <row r="39765" hidden="1" x14ac:dyDescent="0.25"/>
    <row r="39766" hidden="1" x14ac:dyDescent="0.25"/>
    <row r="39767" hidden="1" x14ac:dyDescent="0.25"/>
    <row r="39768" hidden="1" x14ac:dyDescent="0.25"/>
    <row r="39769" hidden="1" x14ac:dyDescent="0.25"/>
    <row r="39770" hidden="1" x14ac:dyDescent="0.25"/>
    <row r="39771" hidden="1" x14ac:dyDescent="0.25"/>
    <row r="39772" hidden="1" x14ac:dyDescent="0.25"/>
    <row r="39773" hidden="1" x14ac:dyDescent="0.25"/>
    <row r="39774" hidden="1" x14ac:dyDescent="0.25"/>
    <row r="39775" hidden="1" x14ac:dyDescent="0.25"/>
    <row r="39776" hidden="1" x14ac:dyDescent="0.25"/>
    <row r="39777" hidden="1" x14ac:dyDescent="0.25"/>
    <row r="39778" hidden="1" x14ac:dyDescent="0.25"/>
    <row r="39779" hidden="1" x14ac:dyDescent="0.25"/>
    <row r="39780" hidden="1" x14ac:dyDescent="0.25"/>
    <row r="39781" hidden="1" x14ac:dyDescent="0.25"/>
    <row r="39782" hidden="1" x14ac:dyDescent="0.25"/>
    <row r="39783" hidden="1" x14ac:dyDescent="0.25"/>
    <row r="39784" hidden="1" x14ac:dyDescent="0.25"/>
    <row r="39785" hidden="1" x14ac:dyDescent="0.25"/>
    <row r="39786" hidden="1" x14ac:dyDescent="0.25"/>
    <row r="39787" hidden="1" x14ac:dyDescent="0.25"/>
    <row r="39788" hidden="1" x14ac:dyDescent="0.25"/>
    <row r="39789" hidden="1" x14ac:dyDescent="0.25"/>
    <row r="39790" hidden="1" x14ac:dyDescent="0.25"/>
    <row r="39791" hidden="1" x14ac:dyDescent="0.25"/>
    <row r="39792" hidden="1" x14ac:dyDescent="0.25"/>
    <row r="39793" hidden="1" x14ac:dyDescent="0.25"/>
    <row r="39794" hidden="1" x14ac:dyDescent="0.25"/>
    <row r="39795" hidden="1" x14ac:dyDescent="0.25"/>
    <row r="39796" hidden="1" x14ac:dyDescent="0.25"/>
    <row r="39797" hidden="1" x14ac:dyDescent="0.25"/>
    <row r="39798" hidden="1" x14ac:dyDescent="0.25"/>
    <row r="39799" hidden="1" x14ac:dyDescent="0.25"/>
    <row r="39800" hidden="1" x14ac:dyDescent="0.25"/>
    <row r="39801" hidden="1" x14ac:dyDescent="0.25"/>
    <row r="39802" hidden="1" x14ac:dyDescent="0.25"/>
    <row r="39803" hidden="1" x14ac:dyDescent="0.25"/>
    <row r="39804" hidden="1" x14ac:dyDescent="0.25"/>
    <row r="39805" hidden="1" x14ac:dyDescent="0.25"/>
    <row r="39806" hidden="1" x14ac:dyDescent="0.25"/>
    <row r="39807" hidden="1" x14ac:dyDescent="0.25"/>
    <row r="39808" hidden="1" x14ac:dyDescent="0.25"/>
    <row r="39809" hidden="1" x14ac:dyDescent="0.25"/>
    <row r="39810" hidden="1" x14ac:dyDescent="0.25"/>
    <row r="39811" hidden="1" x14ac:dyDescent="0.25"/>
    <row r="39812" hidden="1" x14ac:dyDescent="0.25"/>
    <row r="39813" hidden="1" x14ac:dyDescent="0.25"/>
    <row r="39814" hidden="1" x14ac:dyDescent="0.25"/>
    <row r="39815" hidden="1" x14ac:dyDescent="0.25"/>
    <row r="39816" hidden="1" x14ac:dyDescent="0.25"/>
    <row r="39817" hidden="1" x14ac:dyDescent="0.25"/>
    <row r="39818" hidden="1" x14ac:dyDescent="0.25"/>
    <row r="39819" hidden="1" x14ac:dyDescent="0.25"/>
    <row r="39820" hidden="1" x14ac:dyDescent="0.25"/>
    <row r="39821" hidden="1" x14ac:dyDescent="0.25"/>
    <row r="39822" hidden="1" x14ac:dyDescent="0.25"/>
    <row r="39823" hidden="1" x14ac:dyDescent="0.25"/>
    <row r="39824" hidden="1" x14ac:dyDescent="0.25"/>
    <row r="39825" hidden="1" x14ac:dyDescent="0.25"/>
    <row r="39826" hidden="1" x14ac:dyDescent="0.25"/>
    <row r="39827" hidden="1" x14ac:dyDescent="0.25"/>
    <row r="39828" hidden="1" x14ac:dyDescent="0.25"/>
    <row r="39829" hidden="1" x14ac:dyDescent="0.25"/>
    <row r="39830" hidden="1" x14ac:dyDescent="0.25"/>
    <row r="39831" hidden="1" x14ac:dyDescent="0.25"/>
    <row r="39832" hidden="1" x14ac:dyDescent="0.25"/>
    <row r="39833" hidden="1" x14ac:dyDescent="0.25"/>
    <row r="39834" hidden="1" x14ac:dyDescent="0.25"/>
    <row r="39835" hidden="1" x14ac:dyDescent="0.25"/>
    <row r="39836" hidden="1" x14ac:dyDescent="0.25"/>
    <row r="39837" hidden="1" x14ac:dyDescent="0.25"/>
    <row r="39838" hidden="1" x14ac:dyDescent="0.25"/>
    <row r="39839" hidden="1" x14ac:dyDescent="0.25"/>
    <row r="39840" hidden="1" x14ac:dyDescent="0.25"/>
    <row r="39841" hidden="1" x14ac:dyDescent="0.25"/>
    <row r="39842" hidden="1" x14ac:dyDescent="0.25"/>
    <row r="39843" hidden="1" x14ac:dyDescent="0.25"/>
    <row r="39844" hidden="1" x14ac:dyDescent="0.25"/>
    <row r="39845" hidden="1" x14ac:dyDescent="0.25"/>
    <row r="39846" hidden="1" x14ac:dyDescent="0.25"/>
    <row r="39847" hidden="1" x14ac:dyDescent="0.25"/>
    <row r="39848" hidden="1" x14ac:dyDescent="0.25"/>
    <row r="39849" hidden="1" x14ac:dyDescent="0.25"/>
    <row r="39850" hidden="1" x14ac:dyDescent="0.25"/>
    <row r="39851" hidden="1" x14ac:dyDescent="0.25"/>
    <row r="39852" hidden="1" x14ac:dyDescent="0.25"/>
    <row r="39853" hidden="1" x14ac:dyDescent="0.25"/>
    <row r="39854" hidden="1" x14ac:dyDescent="0.25"/>
    <row r="39855" hidden="1" x14ac:dyDescent="0.25"/>
    <row r="39856" hidden="1" x14ac:dyDescent="0.25"/>
    <row r="39857" hidden="1" x14ac:dyDescent="0.25"/>
    <row r="39858" hidden="1" x14ac:dyDescent="0.25"/>
    <row r="39859" hidden="1" x14ac:dyDescent="0.25"/>
    <row r="39860" hidden="1" x14ac:dyDescent="0.25"/>
    <row r="39861" hidden="1" x14ac:dyDescent="0.25"/>
    <row r="39862" hidden="1" x14ac:dyDescent="0.25"/>
    <row r="39863" hidden="1" x14ac:dyDescent="0.25"/>
    <row r="39864" hidden="1" x14ac:dyDescent="0.25"/>
    <row r="39865" hidden="1" x14ac:dyDescent="0.25"/>
    <row r="39866" hidden="1" x14ac:dyDescent="0.25"/>
    <row r="39867" hidden="1" x14ac:dyDescent="0.25"/>
    <row r="39868" hidden="1" x14ac:dyDescent="0.25"/>
    <row r="39869" hidden="1" x14ac:dyDescent="0.25"/>
    <row r="39870" hidden="1" x14ac:dyDescent="0.25"/>
    <row r="39871" hidden="1" x14ac:dyDescent="0.25"/>
    <row r="39872" hidden="1" x14ac:dyDescent="0.25"/>
    <row r="39873" hidden="1" x14ac:dyDescent="0.25"/>
    <row r="39874" hidden="1" x14ac:dyDescent="0.25"/>
    <row r="39875" hidden="1" x14ac:dyDescent="0.25"/>
    <row r="39876" hidden="1" x14ac:dyDescent="0.25"/>
    <row r="39877" hidden="1" x14ac:dyDescent="0.25"/>
    <row r="39878" hidden="1" x14ac:dyDescent="0.25"/>
    <row r="39879" hidden="1" x14ac:dyDescent="0.25"/>
    <row r="39880" hidden="1" x14ac:dyDescent="0.25"/>
    <row r="39881" hidden="1" x14ac:dyDescent="0.25"/>
    <row r="39882" hidden="1" x14ac:dyDescent="0.25"/>
    <row r="39883" hidden="1" x14ac:dyDescent="0.25"/>
    <row r="39884" hidden="1" x14ac:dyDescent="0.25"/>
    <row r="39885" hidden="1" x14ac:dyDescent="0.25"/>
    <row r="39886" hidden="1" x14ac:dyDescent="0.25"/>
    <row r="39887" hidden="1" x14ac:dyDescent="0.25"/>
    <row r="39888" hidden="1" x14ac:dyDescent="0.25"/>
    <row r="39889" hidden="1" x14ac:dyDescent="0.25"/>
    <row r="39890" hidden="1" x14ac:dyDescent="0.25"/>
    <row r="39891" hidden="1" x14ac:dyDescent="0.25"/>
    <row r="39892" hidden="1" x14ac:dyDescent="0.25"/>
    <row r="39893" hidden="1" x14ac:dyDescent="0.25"/>
    <row r="39894" hidden="1" x14ac:dyDescent="0.25"/>
    <row r="39895" hidden="1" x14ac:dyDescent="0.25"/>
    <row r="39896" hidden="1" x14ac:dyDescent="0.25"/>
    <row r="39897" hidden="1" x14ac:dyDescent="0.25"/>
    <row r="39898" hidden="1" x14ac:dyDescent="0.25"/>
    <row r="39899" hidden="1" x14ac:dyDescent="0.25"/>
    <row r="39900" hidden="1" x14ac:dyDescent="0.25"/>
    <row r="39901" hidden="1" x14ac:dyDescent="0.25"/>
    <row r="39902" hidden="1" x14ac:dyDescent="0.25"/>
    <row r="39903" hidden="1" x14ac:dyDescent="0.25"/>
    <row r="39904" hidden="1" x14ac:dyDescent="0.25"/>
    <row r="39905" hidden="1" x14ac:dyDescent="0.25"/>
    <row r="39906" hidden="1" x14ac:dyDescent="0.25"/>
    <row r="39907" hidden="1" x14ac:dyDescent="0.25"/>
    <row r="39908" hidden="1" x14ac:dyDescent="0.25"/>
    <row r="39909" hidden="1" x14ac:dyDescent="0.25"/>
    <row r="39910" hidden="1" x14ac:dyDescent="0.25"/>
    <row r="39911" hidden="1" x14ac:dyDescent="0.25"/>
    <row r="39912" hidden="1" x14ac:dyDescent="0.25"/>
    <row r="39913" hidden="1" x14ac:dyDescent="0.25"/>
    <row r="39914" hidden="1" x14ac:dyDescent="0.25"/>
    <row r="39915" hidden="1" x14ac:dyDescent="0.25"/>
    <row r="39916" hidden="1" x14ac:dyDescent="0.25"/>
    <row r="39917" hidden="1" x14ac:dyDescent="0.25"/>
    <row r="39918" hidden="1" x14ac:dyDescent="0.25"/>
    <row r="39919" hidden="1" x14ac:dyDescent="0.25"/>
    <row r="39920" hidden="1" x14ac:dyDescent="0.25"/>
    <row r="39921" hidden="1" x14ac:dyDescent="0.25"/>
    <row r="39922" hidden="1" x14ac:dyDescent="0.25"/>
    <row r="39923" hidden="1" x14ac:dyDescent="0.25"/>
    <row r="39924" hidden="1" x14ac:dyDescent="0.25"/>
    <row r="39925" hidden="1" x14ac:dyDescent="0.25"/>
    <row r="39926" hidden="1" x14ac:dyDescent="0.25"/>
    <row r="39927" hidden="1" x14ac:dyDescent="0.25"/>
    <row r="39928" hidden="1" x14ac:dyDescent="0.25"/>
    <row r="39929" hidden="1" x14ac:dyDescent="0.25"/>
    <row r="39930" hidden="1" x14ac:dyDescent="0.25"/>
    <row r="39931" hidden="1" x14ac:dyDescent="0.25"/>
    <row r="39932" hidden="1" x14ac:dyDescent="0.25"/>
    <row r="39933" hidden="1" x14ac:dyDescent="0.25"/>
    <row r="39934" hidden="1" x14ac:dyDescent="0.25"/>
    <row r="39935" hidden="1" x14ac:dyDescent="0.25"/>
    <row r="39936" hidden="1" x14ac:dyDescent="0.25"/>
    <row r="39937" hidden="1" x14ac:dyDescent="0.25"/>
    <row r="39938" hidden="1" x14ac:dyDescent="0.25"/>
    <row r="39939" hidden="1" x14ac:dyDescent="0.25"/>
    <row r="39940" hidden="1" x14ac:dyDescent="0.25"/>
    <row r="39941" hidden="1" x14ac:dyDescent="0.25"/>
    <row r="39942" hidden="1" x14ac:dyDescent="0.25"/>
    <row r="39943" hidden="1" x14ac:dyDescent="0.25"/>
    <row r="39944" hidden="1" x14ac:dyDescent="0.25"/>
    <row r="39945" hidden="1" x14ac:dyDescent="0.25"/>
    <row r="39946" hidden="1" x14ac:dyDescent="0.25"/>
    <row r="39947" hidden="1" x14ac:dyDescent="0.25"/>
    <row r="39948" hidden="1" x14ac:dyDescent="0.25"/>
    <row r="39949" hidden="1" x14ac:dyDescent="0.25"/>
    <row r="39950" hidden="1" x14ac:dyDescent="0.25"/>
    <row r="39951" hidden="1" x14ac:dyDescent="0.25"/>
    <row r="39952" hidden="1" x14ac:dyDescent="0.25"/>
    <row r="39953" hidden="1" x14ac:dyDescent="0.25"/>
    <row r="39954" hidden="1" x14ac:dyDescent="0.25"/>
    <row r="39955" hidden="1" x14ac:dyDescent="0.25"/>
    <row r="39956" hidden="1" x14ac:dyDescent="0.25"/>
    <row r="39957" hidden="1" x14ac:dyDescent="0.25"/>
    <row r="39958" hidden="1" x14ac:dyDescent="0.25"/>
    <row r="39959" hidden="1" x14ac:dyDescent="0.25"/>
    <row r="39960" hidden="1" x14ac:dyDescent="0.25"/>
    <row r="39961" hidden="1" x14ac:dyDescent="0.25"/>
    <row r="39962" hidden="1" x14ac:dyDescent="0.25"/>
    <row r="39963" hidden="1" x14ac:dyDescent="0.25"/>
    <row r="39964" hidden="1" x14ac:dyDescent="0.25"/>
    <row r="39965" hidden="1" x14ac:dyDescent="0.25"/>
    <row r="39966" hidden="1" x14ac:dyDescent="0.25"/>
    <row r="39967" hidden="1" x14ac:dyDescent="0.25"/>
    <row r="39968" hidden="1" x14ac:dyDescent="0.25"/>
    <row r="39969" hidden="1" x14ac:dyDescent="0.25"/>
    <row r="39970" hidden="1" x14ac:dyDescent="0.25"/>
    <row r="39971" hidden="1" x14ac:dyDescent="0.25"/>
    <row r="39972" hidden="1" x14ac:dyDescent="0.25"/>
    <row r="39973" hidden="1" x14ac:dyDescent="0.25"/>
    <row r="39974" hidden="1" x14ac:dyDescent="0.25"/>
    <row r="39975" hidden="1" x14ac:dyDescent="0.25"/>
    <row r="39976" hidden="1" x14ac:dyDescent="0.25"/>
    <row r="39977" hidden="1" x14ac:dyDescent="0.25"/>
    <row r="39978" hidden="1" x14ac:dyDescent="0.25"/>
    <row r="39979" hidden="1" x14ac:dyDescent="0.25"/>
    <row r="39980" hidden="1" x14ac:dyDescent="0.25"/>
    <row r="39981" hidden="1" x14ac:dyDescent="0.25"/>
    <row r="39982" hidden="1" x14ac:dyDescent="0.25"/>
    <row r="39983" hidden="1" x14ac:dyDescent="0.25"/>
    <row r="39984" hidden="1" x14ac:dyDescent="0.25"/>
    <row r="39985" hidden="1" x14ac:dyDescent="0.25"/>
    <row r="39986" hidden="1" x14ac:dyDescent="0.25"/>
    <row r="39987" hidden="1" x14ac:dyDescent="0.25"/>
    <row r="39988" hidden="1" x14ac:dyDescent="0.25"/>
    <row r="39989" hidden="1" x14ac:dyDescent="0.25"/>
    <row r="39990" hidden="1" x14ac:dyDescent="0.25"/>
    <row r="39991" hidden="1" x14ac:dyDescent="0.25"/>
    <row r="39992" hidden="1" x14ac:dyDescent="0.25"/>
    <row r="39993" hidden="1" x14ac:dyDescent="0.25"/>
    <row r="39994" hidden="1" x14ac:dyDescent="0.25"/>
    <row r="39995" hidden="1" x14ac:dyDescent="0.25"/>
    <row r="39996" hidden="1" x14ac:dyDescent="0.25"/>
    <row r="39997" hidden="1" x14ac:dyDescent="0.25"/>
    <row r="39998" hidden="1" x14ac:dyDescent="0.25"/>
    <row r="39999" hidden="1" x14ac:dyDescent="0.25"/>
    <row r="40000" hidden="1" x14ac:dyDescent="0.25"/>
    <row r="40001" hidden="1" x14ac:dyDescent="0.25"/>
    <row r="40002" hidden="1" x14ac:dyDescent="0.25"/>
    <row r="40003" hidden="1" x14ac:dyDescent="0.25"/>
    <row r="40004" hidden="1" x14ac:dyDescent="0.25"/>
    <row r="40005" hidden="1" x14ac:dyDescent="0.25"/>
    <row r="40006" hidden="1" x14ac:dyDescent="0.25"/>
    <row r="40007" hidden="1" x14ac:dyDescent="0.25"/>
    <row r="40008" hidden="1" x14ac:dyDescent="0.25"/>
    <row r="40009" hidden="1" x14ac:dyDescent="0.25"/>
    <row r="40010" hidden="1" x14ac:dyDescent="0.25"/>
    <row r="40011" hidden="1" x14ac:dyDescent="0.25"/>
    <row r="40012" hidden="1" x14ac:dyDescent="0.25"/>
    <row r="40013" hidden="1" x14ac:dyDescent="0.25"/>
    <row r="40014" hidden="1" x14ac:dyDescent="0.25"/>
    <row r="40015" hidden="1" x14ac:dyDescent="0.25"/>
    <row r="40016" hidden="1" x14ac:dyDescent="0.25"/>
    <row r="40017" hidden="1" x14ac:dyDescent="0.25"/>
    <row r="40018" hidden="1" x14ac:dyDescent="0.25"/>
    <row r="40019" hidden="1" x14ac:dyDescent="0.25"/>
    <row r="40020" hidden="1" x14ac:dyDescent="0.25"/>
    <row r="40021" hidden="1" x14ac:dyDescent="0.25"/>
    <row r="40022" hidden="1" x14ac:dyDescent="0.25"/>
    <row r="40023" hidden="1" x14ac:dyDescent="0.25"/>
    <row r="40024" hidden="1" x14ac:dyDescent="0.25"/>
    <row r="40025" hidden="1" x14ac:dyDescent="0.25"/>
    <row r="40026" hidden="1" x14ac:dyDescent="0.25"/>
    <row r="40027" hidden="1" x14ac:dyDescent="0.25"/>
    <row r="40028" hidden="1" x14ac:dyDescent="0.25"/>
    <row r="40029" hidden="1" x14ac:dyDescent="0.25"/>
    <row r="40030" hidden="1" x14ac:dyDescent="0.25"/>
    <row r="40031" hidden="1" x14ac:dyDescent="0.25"/>
    <row r="40032" hidden="1" x14ac:dyDescent="0.25"/>
    <row r="40033" hidden="1" x14ac:dyDescent="0.25"/>
    <row r="40034" hidden="1" x14ac:dyDescent="0.25"/>
    <row r="40035" hidden="1" x14ac:dyDescent="0.25"/>
    <row r="40036" hidden="1" x14ac:dyDescent="0.25"/>
    <row r="40037" hidden="1" x14ac:dyDescent="0.25"/>
    <row r="40038" hidden="1" x14ac:dyDescent="0.25"/>
    <row r="40039" hidden="1" x14ac:dyDescent="0.25"/>
    <row r="40040" hidden="1" x14ac:dyDescent="0.25"/>
    <row r="40041" hidden="1" x14ac:dyDescent="0.25"/>
    <row r="40042" hidden="1" x14ac:dyDescent="0.25"/>
    <row r="40043" hidden="1" x14ac:dyDescent="0.25"/>
    <row r="40044" hidden="1" x14ac:dyDescent="0.25"/>
    <row r="40045" hidden="1" x14ac:dyDescent="0.25"/>
    <row r="40046" hidden="1" x14ac:dyDescent="0.25"/>
    <row r="40047" hidden="1" x14ac:dyDescent="0.25"/>
    <row r="40048" hidden="1" x14ac:dyDescent="0.25"/>
    <row r="40049" hidden="1" x14ac:dyDescent="0.25"/>
    <row r="40050" hidden="1" x14ac:dyDescent="0.25"/>
    <row r="40051" hidden="1" x14ac:dyDescent="0.25"/>
    <row r="40052" hidden="1" x14ac:dyDescent="0.25"/>
    <row r="40053" hidden="1" x14ac:dyDescent="0.25"/>
    <row r="40054" hidden="1" x14ac:dyDescent="0.25"/>
    <row r="40055" hidden="1" x14ac:dyDescent="0.25"/>
    <row r="40056" hidden="1" x14ac:dyDescent="0.25"/>
    <row r="40057" hidden="1" x14ac:dyDescent="0.25"/>
    <row r="40058" hidden="1" x14ac:dyDescent="0.25"/>
    <row r="40059" hidden="1" x14ac:dyDescent="0.25"/>
    <row r="40060" hidden="1" x14ac:dyDescent="0.25"/>
    <row r="40061" hidden="1" x14ac:dyDescent="0.25"/>
    <row r="40062" hidden="1" x14ac:dyDescent="0.25"/>
    <row r="40063" hidden="1" x14ac:dyDescent="0.25"/>
    <row r="40064" hidden="1" x14ac:dyDescent="0.25"/>
    <row r="40065" hidden="1" x14ac:dyDescent="0.25"/>
    <row r="40066" hidden="1" x14ac:dyDescent="0.25"/>
    <row r="40067" hidden="1" x14ac:dyDescent="0.25"/>
    <row r="40068" hidden="1" x14ac:dyDescent="0.25"/>
    <row r="40069" hidden="1" x14ac:dyDescent="0.25"/>
    <row r="40070" hidden="1" x14ac:dyDescent="0.25"/>
    <row r="40071" hidden="1" x14ac:dyDescent="0.25"/>
    <row r="40072" hidden="1" x14ac:dyDescent="0.25"/>
    <row r="40073" hidden="1" x14ac:dyDescent="0.25"/>
    <row r="40074" hidden="1" x14ac:dyDescent="0.25"/>
    <row r="40075" hidden="1" x14ac:dyDescent="0.25"/>
    <row r="40076" hidden="1" x14ac:dyDescent="0.25"/>
    <row r="40077" hidden="1" x14ac:dyDescent="0.25"/>
    <row r="40078" hidden="1" x14ac:dyDescent="0.25"/>
    <row r="40079" hidden="1" x14ac:dyDescent="0.25"/>
    <row r="40080" hidden="1" x14ac:dyDescent="0.25"/>
    <row r="40081" hidden="1" x14ac:dyDescent="0.25"/>
    <row r="40082" hidden="1" x14ac:dyDescent="0.25"/>
    <row r="40083" hidden="1" x14ac:dyDescent="0.25"/>
    <row r="40084" hidden="1" x14ac:dyDescent="0.25"/>
    <row r="40085" hidden="1" x14ac:dyDescent="0.25"/>
    <row r="40086" hidden="1" x14ac:dyDescent="0.25"/>
    <row r="40087" hidden="1" x14ac:dyDescent="0.25"/>
    <row r="40088" hidden="1" x14ac:dyDescent="0.25"/>
    <row r="40089" hidden="1" x14ac:dyDescent="0.25"/>
    <row r="40090" hidden="1" x14ac:dyDescent="0.25"/>
    <row r="40091" hidden="1" x14ac:dyDescent="0.25"/>
    <row r="40092" hidden="1" x14ac:dyDescent="0.25"/>
    <row r="40093" hidden="1" x14ac:dyDescent="0.25"/>
    <row r="40094" hidden="1" x14ac:dyDescent="0.25"/>
    <row r="40095" hidden="1" x14ac:dyDescent="0.25"/>
    <row r="40096" hidden="1" x14ac:dyDescent="0.25"/>
    <row r="40097" hidden="1" x14ac:dyDescent="0.25"/>
    <row r="40098" hidden="1" x14ac:dyDescent="0.25"/>
    <row r="40099" hidden="1" x14ac:dyDescent="0.25"/>
    <row r="40100" hidden="1" x14ac:dyDescent="0.25"/>
    <row r="40101" hidden="1" x14ac:dyDescent="0.25"/>
    <row r="40102" hidden="1" x14ac:dyDescent="0.25"/>
    <row r="40103" hidden="1" x14ac:dyDescent="0.25"/>
    <row r="40104" hidden="1" x14ac:dyDescent="0.25"/>
    <row r="40105" hidden="1" x14ac:dyDescent="0.25"/>
    <row r="40106" hidden="1" x14ac:dyDescent="0.25"/>
    <row r="40107" hidden="1" x14ac:dyDescent="0.25"/>
    <row r="40108" hidden="1" x14ac:dyDescent="0.25"/>
    <row r="40109" hidden="1" x14ac:dyDescent="0.25"/>
    <row r="40110" hidden="1" x14ac:dyDescent="0.25"/>
    <row r="40111" hidden="1" x14ac:dyDescent="0.25"/>
    <row r="40112" hidden="1" x14ac:dyDescent="0.25"/>
    <row r="40113" hidden="1" x14ac:dyDescent="0.25"/>
    <row r="40114" hidden="1" x14ac:dyDescent="0.25"/>
    <row r="40115" hidden="1" x14ac:dyDescent="0.25"/>
    <row r="40116" hidden="1" x14ac:dyDescent="0.25"/>
    <row r="40117" hidden="1" x14ac:dyDescent="0.25"/>
    <row r="40118" hidden="1" x14ac:dyDescent="0.25"/>
    <row r="40119" hidden="1" x14ac:dyDescent="0.25"/>
    <row r="40120" hidden="1" x14ac:dyDescent="0.25"/>
    <row r="40121" hidden="1" x14ac:dyDescent="0.25"/>
    <row r="40122" hidden="1" x14ac:dyDescent="0.25"/>
    <row r="40123" hidden="1" x14ac:dyDescent="0.25"/>
    <row r="40124" hidden="1" x14ac:dyDescent="0.25"/>
    <row r="40125" hidden="1" x14ac:dyDescent="0.25"/>
    <row r="40126" hidden="1" x14ac:dyDescent="0.25"/>
    <row r="40127" hidden="1" x14ac:dyDescent="0.25"/>
    <row r="40128" hidden="1" x14ac:dyDescent="0.25"/>
    <row r="40129" hidden="1" x14ac:dyDescent="0.25"/>
    <row r="40130" hidden="1" x14ac:dyDescent="0.25"/>
    <row r="40131" hidden="1" x14ac:dyDescent="0.25"/>
    <row r="40132" hidden="1" x14ac:dyDescent="0.25"/>
    <row r="40133" hidden="1" x14ac:dyDescent="0.25"/>
    <row r="40134" hidden="1" x14ac:dyDescent="0.25"/>
    <row r="40135" hidden="1" x14ac:dyDescent="0.25"/>
    <row r="40136" hidden="1" x14ac:dyDescent="0.25"/>
    <row r="40137" hidden="1" x14ac:dyDescent="0.25"/>
    <row r="40138" hidden="1" x14ac:dyDescent="0.25"/>
    <row r="40139" hidden="1" x14ac:dyDescent="0.25"/>
    <row r="40140" hidden="1" x14ac:dyDescent="0.25"/>
    <row r="40141" hidden="1" x14ac:dyDescent="0.25"/>
    <row r="40142" hidden="1" x14ac:dyDescent="0.25"/>
    <row r="40143" hidden="1" x14ac:dyDescent="0.25"/>
    <row r="40144" hidden="1" x14ac:dyDescent="0.25"/>
    <row r="40145" hidden="1" x14ac:dyDescent="0.25"/>
    <row r="40146" hidden="1" x14ac:dyDescent="0.25"/>
    <row r="40147" hidden="1" x14ac:dyDescent="0.25"/>
    <row r="40148" hidden="1" x14ac:dyDescent="0.25"/>
    <row r="40149" hidden="1" x14ac:dyDescent="0.25"/>
    <row r="40150" hidden="1" x14ac:dyDescent="0.25"/>
    <row r="40151" hidden="1" x14ac:dyDescent="0.25"/>
    <row r="40152" hidden="1" x14ac:dyDescent="0.25"/>
    <row r="40153" hidden="1" x14ac:dyDescent="0.25"/>
    <row r="40154" hidden="1" x14ac:dyDescent="0.25"/>
    <row r="40155" hidden="1" x14ac:dyDescent="0.25"/>
    <row r="40156" hidden="1" x14ac:dyDescent="0.25"/>
    <row r="40157" hidden="1" x14ac:dyDescent="0.25"/>
    <row r="40158" hidden="1" x14ac:dyDescent="0.25"/>
    <row r="40159" hidden="1" x14ac:dyDescent="0.25"/>
    <row r="40160" hidden="1" x14ac:dyDescent="0.25"/>
    <row r="40161" hidden="1" x14ac:dyDescent="0.25"/>
    <row r="40162" hidden="1" x14ac:dyDescent="0.25"/>
    <row r="40163" hidden="1" x14ac:dyDescent="0.25"/>
    <row r="40164" hidden="1" x14ac:dyDescent="0.25"/>
    <row r="40165" hidden="1" x14ac:dyDescent="0.25"/>
    <row r="40166" hidden="1" x14ac:dyDescent="0.25"/>
    <row r="40167" hidden="1" x14ac:dyDescent="0.25"/>
    <row r="40168" hidden="1" x14ac:dyDescent="0.25"/>
    <row r="40169" hidden="1" x14ac:dyDescent="0.25"/>
    <row r="40170" hidden="1" x14ac:dyDescent="0.25"/>
    <row r="40171" hidden="1" x14ac:dyDescent="0.25"/>
    <row r="40172" hidden="1" x14ac:dyDescent="0.25"/>
    <row r="40173" hidden="1" x14ac:dyDescent="0.25"/>
    <row r="40174" hidden="1" x14ac:dyDescent="0.25"/>
    <row r="40175" hidden="1" x14ac:dyDescent="0.25"/>
    <row r="40176" hidden="1" x14ac:dyDescent="0.25"/>
    <row r="40177" hidden="1" x14ac:dyDescent="0.25"/>
    <row r="40178" hidden="1" x14ac:dyDescent="0.25"/>
    <row r="40179" hidden="1" x14ac:dyDescent="0.25"/>
    <row r="40180" hidden="1" x14ac:dyDescent="0.25"/>
    <row r="40181" hidden="1" x14ac:dyDescent="0.25"/>
    <row r="40182" hidden="1" x14ac:dyDescent="0.25"/>
    <row r="40183" hidden="1" x14ac:dyDescent="0.25"/>
    <row r="40184" hidden="1" x14ac:dyDescent="0.25"/>
    <row r="40185" hidden="1" x14ac:dyDescent="0.25"/>
    <row r="40186" hidden="1" x14ac:dyDescent="0.25"/>
    <row r="40187" hidden="1" x14ac:dyDescent="0.25"/>
    <row r="40188" hidden="1" x14ac:dyDescent="0.25"/>
    <row r="40189" hidden="1" x14ac:dyDescent="0.25"/>
    <row r="40190" hidden="1" x14ac:dyDescent="0.25"/>
    <row r="40191" hidden="1" x14ac:dyDescent="0.25"/>
    <row r="40192" hidden="1" x14ac:dyDescent="0.25"/>
    <row r="40193" hidden="1" x14ac:dyDescent="0.25"/>
    <row r="40194" hidden="1" x14ac:dyDescent="0.25"/>
    <row r="40195" hidden="1" x14ac:dyDescent="0.25"/>
    <row r="40196" hidden="1" x14ac:dyDescent="0.25"/>
    <row r="40197" hidden="1" x14ac:dyDescent="0.25"/>
    <row r="40198" hidden="1" x14ac:dyDescent="0.25"/>
    <row r="40199" hidden="1" x14ac:dyDescent="0.25"/>
    <row r="40200" hidden="1" x14ac:dyDescent="0.25"/>
    <row r="40201" hidden="1" x14ac:dyDescent="0.25"/>
    <row r="40202" hidden="1" x14ac:dyDescent="0.25"/>
    <row r="40203" hidden="1" x14ac:dyDescent="0.25"/>
    <row r="40204" hidden="1" x14ac:dyDescent="0.25"/>
    <row r="40205" hidden="1" x14ac:dyDescent="0.25"/>
    <row r="40206" hidden="1" x14ac:dyDescent="0.25"/>
    <row r="40207" hidden="1" x14ac:dyDescent="0.25"/>
    <row r="40208" hidden="1" x14ac:dyDescent="0.25"/>
    <row r="40209" hidden="1" x14ac:dyDescent="0.25"/>
    <row r="40210" hidden="1" x14ac:dyDescent="0.25"/>
    <row r="40211" hidden="1" x14ac:dyDescent="0.25"/>
    <row r="40212" hidden="1" x14ac:dyDescent="0.25"/>
    <row r="40213" hidden="1" x14ac:dyDescent="0.25"/>
    <row r="40214" hidden="1" x14ac:dyDescent="0.25"/>
    <row r="40215" hidden="1" x14ac:dyDescent="0.25"/>
    <row r="40216" hidden="1" x14ac:dyDescent="0.25"/>
    <row r="40217" hidden="1" x14ac:dyDescent="0.25"/>
    <row r="40218" hidden="1" x14ac:dyDescent="0.25"/>
    <row r="40219" hidden="1" x14ac:dyDescent="0.25"/>
    <row r="40220" hidden="1" x14ac:dyDescent="0.25"/>
    <row r="40221" hidden="1" x14ac:dyDescent="0.25"/>
    <row r="40222" hidden="1" x14ac:dyDescent="0.25"/>
    <row r="40223" hidden="1" x14ac:dyDescent="0.25"/>
    <row r="40224" hidden="1" x14ac:dyDescent="0.25"/>
    <row r="40225" hidden="1" x14ac:dyDescent="0.25"/>
    <row r="40226" hidden="1" x14ac:dyDescent="0.25"/>
    <row r="40227" hidden="1" x14ac:dyDescent="0.25"/>
    <row r="40228" hidden="1" x14ac:dyDescent="0.25"/>
    <row r="40229" hidden="1" x14ac:dyDescent="0.25"/>
    <row r="40230" hidden="1" x14ac:dyDescent="0.25"/>
    <row r="40231" hidden="1" x14ac:dyDescent="0.25"/>
    <row r="40232" hidden="1" x14ac:dyDescent="0.25"/>
    <row r="40233" hidden="1" x14ac:dyDescent="0.25"/>
    <row r="40234" hidden="1" x14ac:dyDescent="0.25"/>
    <row r="40235" hidden="1" x14ac:dyDescent="0.25"/>
    <row r="40236" hidden="1" x14ac:dyDescent="0.25"/>
    <row r="40237" hidden="1" x14ac:dyDescent="0.25"/>
    <row r="40238" hidden="1" x14ac:dyDescent="0.25"/>
    <row r="40239" hidden="1" x14ac:dyDescent="0.25"/>
    <row r="40240" hidden="1" x14ac:dyDescent="0.25"/>
    <row r="40241" hidden="1" x14ac:dyDescent="0.25"/>
    <row r="40242" hidden="1" x14ac:dyDescent="0.25"/>
    <row r="40243" hidden="1" x14ac:dyDescent="0.25"/>
    <row r="40244" hidden="1" x14ac:dyDescent="0.25"/>
    <row r="40245" hidden="1" x14ac:dyDescent="0.25"/>
    <row r="40246" hidden="1" x14ac:dyDescent="0.25"/>
    <row r="40247" hidden="1" x14ac:dyDescent="0.25"/>
    <row r="40248" hidden="1" x14ac:dyDescent="0.25"/>
    <row r="40249" hidden="1" x14ac:dyDescent="0.25"/>
    <row r="40250" hidden="1" x14ac:dyDescent="0.25"/>
    <row r="40251" hidden="1" x14ac:dyDescent="0.25"/>
    <row r="40252" hidden="1" x14ac:dyDescent="0.25"/>
    <row r="40253" hidden="1" x14ac:dyDescent="0.25"/>
    <row r="40254" hidden="1" x14ac:dyDescent="0.25"/>
    <row r="40255" hidden="1" x14ac:dyDescent="0.25"/>
    <row r="40256" hidden="1" x14ac:dyDescent="0.25"/>
    <row r="40257" hidden="1" x14ac:dyDescent="0.25"/>
    <row r="40258" hidden="1" x14ac:dyDescent="0.25"/>
    <row r="40259" hidden="1" x14ac:dyDescent="0.25"/>
    <row r="40260" hidden="1" x14ac:dyDescent="0.25"/>
    <row r="40261" hidden="1" x14ac:dyDescent="0.25"/>
    <row r="40262" hidden="1" x14ac:dyDescent="0.25"/>
    <row r="40263" hidden="1" x14ac:dyDescent="0.25"/>
    <row r="40264" hidden="1" x14ac:dyDescent="0.25"/>
    <row r="40265" hidden="1" x14ac:dyDescent="0.25"/>
    <row r="40266" hidden="1" x14ac:dyDescent="0.25"/>
    <row r="40267" hidden="1" x14ac:dyDescent="0.25"/>
    <row r="40268" hidden="1" x14ac:dyDescent="0.25"/>
    <row r="40269" hidden="1" x14ac:dyDescent="0.25"/>
    <row r="40270" hidden="1" x14ac:dyDescent="0.25"/>
    <row r="40271" hidden="1" x14ac:dyDescent="0.25"/>
    <row r="40272" hidden="1" x14ac:dyDescent="0.25"/>
    <row r="40273" hidden="1" x14ac:dyDescent="0.25"/>
    <row r="40274" hidden="1" x14ac:dyDescent="0.25"/>
    <row r="40275" hidden="1" x14ac:dyDescent="0.25"/>
    <row r="40276" hidden="1" x14ac:dyDescent="0.25"/>
    <row r="40277" hidden="1" x14ac:dyDescent="0.25"/>
    <row r="40278" hidden="1" x14ac:dyDescent="0.25"/>
    <row r="40279" hidden="1" x14ac:dyDescent="0.25"/>
    <row r="40280" hidden="1" x14ac:dyDescent="0.25"/>
    <row r="40281" hidden="1" x14ac:dyDescent="0.25"/>
    <row r="40282" hidden="1" x14ac:dyDescent="0.25"/>
    <row r="40283" hidden="1" x14ac:dyDescent="0.25"/>
    <row r="40284" hidden="1" x14ac:dyDescent="0.25"/>
    <row r="40285" hidden="1" x14ac:dyDescent="0.25"/>
    <row r="40286" hidden="1" x14ac:dyDescent="0.25"/>
    <row r="40287" hidden="1" x14ac:dyDescent="0.25"/>
    <row r="40288" hidden="1" x14ac:dyDescent="0.25"/>
    <row r="40289" hidden="1" x14ac:dyDescent="0.25"/>
    <row r="40290" hidden="1" x14ac:dyDescent="0.25"/>
    <row r="40291" hidden="1" x14ac:dyDescent="0.25"/>
    <row r="40292" hidden="1" x14ac:dyDescent="0.25"/>
    <row r="40293" hidden="1" x14ac:dyDescent="0.25"/>
    <row r="40294" hidden="1" x14ac:dyDescent="0.25"/>
    <row r="40295" hidden="1" x14ac:dyDescent="0.25"/>
    <row r="40296" hidden="1" x14ac:dyDescent="0.25"/>
    <row r="40297" hidden="1" x14ac:dyDescent="0.25"/>
    <row r="40298" hidden="1" x14ac:dyDescent="0.25"/>
    <row r="40299" hidden="1" x14ac:dyDescent="0.25"/>
    <row r="40300" hidden="1" x14ac:dyDescent="0.25"/>
    <row r="40301" hidden="1" x14ac:dyDescent="0.25"/>
    <row r="40302" hidden="1" x14ac:dyDescent="0.25"/>
    <row r="40303" hidden="1" x14ac:dyDescent="0.25"/>
    <row r="40304" hidden="1" x14ac:dyDescent="0.25"/>
    <row r="40305" hidden="1" x14ac:dyDescent="0.25"/>
    <row r="40306" hidden="1" x14ac:dyDescent="0.25"/>
    <row r="40307" hidden="1" x14ac:dyDescent="0.25"/>
    <row r="40308" hidden="1" x14ac:dyDescent="0.25"/>
    <row r="40309" hidden="1" x14ac:dyDescent="0.25"/>
    <row r="40310" hidden="1" x14ac:dyDescent="0.25"/>
    <row r="40311" hidden="1" x14ac:dyDescent="0.25"/>
    <row r="40312" hidden="1" x14ac:dyDescent="0.25"/>
    <row r="40313" hidden="1" x14ac:dyDescent="0.25"/>
    <row r="40314" hidden="1" x14ac:dyDescent="0.25"/>
    <row r="40315" hidden="1" x14ac:dyDescent="0.25"/>
    <row r="40316" hidden="1" x14ac:dyDescent="0.25"/>
    <row r="40317" hidden="1" x14ac:dyDescent="0.25"/>
    <row r="40318" hidden="1" x14ac:dyDescent="0.25"/>
    <row r="40319" hidden="1" x14ac:dyDescent="0.25"/>
    <row r="40320" hidden="1" x14ac:dyDescent="0.25"/>
    <row r="40321" hidden="1" x14ac:dyDescent="0.25"/>
    <row r="40322" hidden="1" x14ac:dyDescent="0.25"/>
    <row r="40323" hidden="1" x14ac:dyDescent="0.25"/>
    <row r="40324" hidden="1" x14ac:dyDescent="0.25"/>
    <row r="40325" hidden="1" x14ac:dyDescent="0.25"/>
    <row r="40326" hidden="1" x14ac:dyDescent="0.25"/>
    <row r="40327" hidden="1" x14ac:dyDescent="0.25"/>
    <row r="40328" hidden="1" x14ac:dyDescent="0.25"/>
    <row r="40329" hidden="1" x14ac:dyDescent="0.25"/>
    <row r="40330" hidden="1" x14ac:dyDescent="0.25"/>
    <row r="40331" hidden="1" x14ac:dyDescent="0.25"/>
    <row r="40332" hidden="1" x14ac:dyDescent="0.25"/>
    <row r="40333" hidden="1" x14ac:dyDescent="0.25"/>
    <row r="40334" hidden="1" x14ac:dyDescent="0.25"/>
    <row r="40335" hidden="1" x14ac:dyDescent="0.25"/>
    <row r="40336" hidden="1" x14ac:dyDescent="0.25"/>
    <row r="40337" hidden="1" x14ac:dyDescent="0.25"/>
    <row r="40338" hidden="1" x14ac:dyDescent="0.25"/>
    <row r="40339" hidden="1" x14ac:dyDescent="0.25"/>
    <row r="40340" hidden="1" x14ac:dyDescent="0.25"/>
    <row r="40341" hidden="1" x14ac:dyDescent="0.25"/>
    <row r="40342" hidden="1" x14ac:dyDescent="0.25"/>
    <row r="40343" hidden="1" x14ac:dyDescent="0.25"/>
    <row r="40344" hidden="1" x14ac:dyDescent="0.25"/>
    <row r="40345" hidden="1" x14ac:dyDescent="0.25"/>
    <row r="40346" hidden="1" x14ac:dyDescent="0.25"/>
    <row r="40347" hidden="1" x14ac:dyDescent="0.25"/>
    <row r="40348" hidden="1" x14ac:dyDescent="0.25"/>
    <row r="40349" hidden="1" x14ac:dyDescent="0.25"/>
    <row r="40350" hidden="1" x14ac:dyDescent="0.25"/>
    <row r="40351" hidden="1" x14ac:dyDescent="0.25"/>
    <row r="40352" hidden="1" x14ac:dyDescent="0.25"/>
    <row r="40353" hidden="1" x14ac:dyDescent="0.25"/>
    <row r="40354" hidden="1" x14ac:dyDescent="0.25"/>
    <row r="40355" hidden="1" x14ac:dyDescent="0.25"/>
    <row r="40356" hidden="1" x14ac:dyDescent="0.25"/>
    <row r="40357" hidden="1" x14ac:dyDescent="0.25"/>
    <row r="40358" hidden="1" x14ac:dyDescent="0.25"/>
    <row r="40359" hidden="1" x14ac:dyDescent="0.25"/>
    <row r="40360" hidden="1" x14ac:dyDescent="0.25"/>
    <row r="40361" hidden="1" x14ac:dyDescent="0.25"/>
    <row r="40362" hidden="1" x14ac:dyDescent="0.25"/>
    <row r="40363" hidden="1" x14ac:dyDescent="0.25"/>
    <row r="40364" hidden="1" x14ac:dyDescent="0.25"/>
    <row r="40365" hidden="1" x14ac:dyDescent="0.25"/>
    <row r="40366" hidden="1" x14ac:dyDescent="0.25"/>
    <row r="40367" hidden="1" x14ac:dyDescent="0.25"/>
    <row r="40368" hidden="1" x14ac:dyDescent="0.25"/>
    <row r="40369" hidden="1" x14ac:dyDescent="0.25"/>
    <row r="40370" hidden="1" x14ac:dyDescent="0.25"/>
    <row r="40371" hidden="1" x14ac:dyDescent="0.25"/>
    <row r="40372" hidden="1" x14ac:dyDescent="0.25"/>
    <row r="40373" hidden="1" x14ac:dyDescent="0.25"/>
    <row r="40374" hidden="1" x14ac:dyDescent="0.25"/>
    <row r="40375" hidden="1" x14ac:dyDescent="0.25"/>
    <row r="40376" hidden="1" x14ac:dyDescent="0.25"/>
    <row r="40377" hidden="1" x14ac:dyDescent="0.25"/>
    <row r="40378" hidden="1" x14ac:dyDescent="0.25"/>
    <row r="40379" hidden="1" x14ac:dyDescent="0.25"/>
    <row r="40380" hidden="1" x14ac:dyDescent="0.25"/>
    <row r="40381" hidden="1" x14ac:dyDescent="0.25"/>
    <row r="40382" hidden="1" x14ac:dyDescent="0.25"/>
    <row r="40383" hidden="1" x14ac:dyDescent="0.25"/>
    <row r="40384" hidden="1" x14ac:dyDescent="0.25"/>
    <row r="40385" hidden="1" x14ac:dyDescent="0.25"/>
    <row r="40386" hidden="1" x14ac:dyDescent="0.25"/>
    <row r="40387" hidden="1" x14ac:dyDescent="0.25"/>
    <row r="40388" hidden="1" x14ac:dyDescent="0.25"/>
    <row r="40389" hidden="1" x14ac:dyDescent="0.25"/>
    <row r="40390" hidden="1" x14ac:dyDescent="0.25"/>
    <row r="40391" hidden="1" x14ac:dyDescent="0.25"/>
    <row r="40392" hidden="1" x14ac:dyDescent="0.25"/>
    <row r="40393" hidden="1" x14ac:dyDescent="0.25"/>
    <row r="40394" hidden="1" x14ac:dyDescent="0.25"/>
    <row r="40395" hidden="1" x14ac:dyDescent="0.25"/>
    <row r="40396" hidden="1" x14ac:dyDescent="0.25"/>
    <row r="40397" hidden="1" x14ac:dyDescent="0.25"/>
    <row r="40398" hidden="1" x14ac:dyDescent="0.25"/>
    <row r="40399" hidden="1" x14ac:dyDescent="0.25"/>
    <row r="40400" hidden="1" x14ac:dyDescent="0.25"/>
    <row r="40401" hidden="1" x14ac:dyDescent="0.25"/>
    <row r="40402" hidden="1" x14ac:dyDescent="0.25"/>
    <row r="40403" hidden="1" x14ac:dyDescent="0.25"/>
    <row r="40404" hidden="1" x14ac:dyDescent="0.25"/>
    <row r="40405" hidden="1" x14ac:dyDescent="0.25"/>
    <row r="40406" hidden="1" x14ac:dyDescent="0.25"/>
    <row r="40407" hidden="1" x14ac:dyDescent="0.25"/>
    <row r="40408" hidden="1" x14ac:dyDescent="0.25"/>
    <row r="40409" hidden="1" x14ac:dyDescent="0.25"/>
    <row r="40410" hidden="1" x14ac:dyDescent="0.25"/>
    <row r="40411" hidden="1" x14ac:dyDescent="0.25"/>
    <row r="40412" hidden="1" x14ac:dyDescent="0.25"/>
    <row r="40413" hidden="1" x14ac:dyDescent="0.25"/>
    <row r="40414" hidden="1" x14ac:dyDescent="0.25"/>
    <row r="40415" hidden="1" x14ac:dyDescent="0.25"/>
    <row r="40416" hidden="1" x14ac:dyDescent="0.25"/>
    <row r="40417" hidden="1" x14ac:dyDescent="0.25"/>
    <row r="40418" hidden="1" x14ac:dyDescent="0.25"/>
    <row r="40419" hidden="1" x14ac:dyDescent="0.25"/>
    <row r="40420" hidden="1" x14ac:dyDescent="0.25"/>
    <row r="40421" hidden="1" x14ac:dyDescent="0.25"/>
    <row r="40422" hidden="1" x14ac:dyDescent="0.25"/>
    <row r="40423" hidden="1" x14ac:dyDescent="0.25"/>
    <row r="40424" hidden="1" x14ac:dyDescent="0.25"/>
    <row r="40425" hidden="1" x14ac:dyDescent="0.25"/>
    <row r="40426" hidden="1" x14ac:dyDescent="0.25"/>
    <row r="40427" hidden="1" x14ac:dyDescent="0.25"/>
    <row r="40428" hidden="1" x14ac:dyDescent="0.25"/>
    <row r="40429" hidden="1" x14ac:dyDescent="0.25"/>
    <row r="40430" hidden="1" x14ac:dyDescent="0.25"/>
    <row r="40431" hidden="1" x14ac:dyDescent="0.25"/>
    <row r="40432" hidden="1" x14ac:dyDescent="0.25"/>
    <row r="40433" hidden="1" x14ac:dyDescent="0.25"/>
    <row r="40434" hidden="1" x14ac:dyDescent="0.25"/>
    <row r="40435" hidden="1" x14ac:dyDescent="0.25"/>
    <row r="40436" hidden="1" x14ac:dyDescent="0.25"/>
    <row r="40437" hidden="1" x14ac:dyDescent="0.25"/>
    <row r="40438" hidden="1" x14ac:dyDescent="0.25"/>
    <row r="40439" hidden="1" x14ac:dyDescent="0.25"/>
    <row r="40440" hidden="1" x14ac:dyDescent="0.25"/>
    <row r="40441" hidden="1" x14ac:dyDescent="0.25"/>
    <row r="40442" hidden="1" x14ac:dyDescent="0.25"/>
    <row r="40443" hidden="1" x14ac:dyDescent="0.25"/>
    <row r="40444" hidden="1" x14ac:dyDescent="0.25"/>
    <row r="40445" hidden="1" x14ac:dyDescent="0.25"/>
    <row r="40446" hidden="1" x14ac:dyDescent="0.25"/>
    <row r="40447" hidden="1" x14ac:dyDescent="0.25"/>
    <row r="40448" hidden="1" x14ac:dyDescent="0.25"/>
    <row r="40449" hidden="1" x14ac:dyDescent="0.25"/>
    <row r="40450" hidden="1" x14ac:dyDescent="0.25"/>
    <row r="40451" hidden="1" x14ac:dyDescent="0.25"/>
    <row r="40452" hidden="1" x14ac:dyDescent="0.25"/>
    <row r="40453" hidden="1" x14ac:dyDescent="0.25"/>
    <row r="40454" hidden="1" x14ac:dyDescent="0.25"/>
    <row r="40455" hidden="1" x14ac:dyDescent="0.25"/>
    <row r="40456" hidden="1" x14ac:dyDescent="0.25"/>
    <row r="40457" hidden="1" x14ac:dyDescent="0.25"/>
    <row r="40458" hidden="1" x14ac:dyDescent="0.25"/>
    <row r="40459" hidden="1" x14ac:dyDescent="0.25"/>
    <row r="40460" hidden="1" x14ac:dyDescent="0.25"/>
    <row r="40461" hidden="1" x14ac:dyDescent="0.25"/>
    <row r="40462" hidden="1" x14ac:dyDescent="0.25"/>
    <row r="40463" hidden="1" x14ac:dyDescent="0.25"/>
    <row r="40464" hidden="1" x14ac:dyDescent="0.25"/>
    <row r="40465" hidden="1" x14ac:dyDescent="0.25"/>
    <row r="40466" hidden="1" x14ac:dyDescent="0.25"/>
    <row r="40467" hidden="1" x14ac:dyDescent="0.25"/>
    <row r="40468" hidden="1" x14ac:dyDescent="0.25"/>
    <row r="40469" hidden="1" x14ac:dyDescent="0.25"/>
    <row r="40470" hidden="1" x14ac:dyDescent="0.25"/>
    <row r="40471" hidden="1" x14ac:dyDescent="0.25"/>
    <row r="40472" hidden="1" x14ac:dyDescent="0.25"/>
    <row r="40473" hidden="1" x14ac:dyDescent="0.25"/>
    <row r="40474" hidden="1" x14ac:dyDescent="0.25"/>
    <row r="40475" hidden="1" x14ac:dyDescent="0.25"/>
    <row r="40476" hidden="1" x14ac:dyDescent="0.25"/>
    <row r="40477" hidden="1" x14ac:dyDescent="0.25"/>
    <row r="40478" hidden="1" x14ac:dyDescent="0.25"/>
    <row r="40479" hidden="1" x14ac:dyDescent="0.25"/>
    <row r="40480" hidden="1" x14ac:dyDescent="0.25"/>
    <row r="40481" hidden="1" x14ac:dyDescent="0.25"/>
    <row r="40482" hidden="1" x14ac:dyDescent="0.25"/>
    <row r="40483" hidden="1" x14ac:dyDescent="0.25"/>
    <row r="40484" hidden="1" x14ac:dyDescent="0.25"/>
    <row r="40485" hidden="1" x14ac:dyDescent="0.25"/>
    <row r="40486" hidden="1" x14ac:dyDescent="0.25"/>
    <row r="40487" hidden="1" x14ac:dyDescent="0.25"/>
    <row r="40488" hidden="1" x14ac:dyDescent="0.25"/>
    <row r="40489" hidden="1" x14ac:dyDescent="0.25"/>
    <row r="40490" hidden="1" x14ac:dyDescent="0.25"/>
    <row r="40491" hidden="1" x14ac:dyDescent="0.25"/>
    <row r="40492" hidden="1" x14ac:dyDescent="0.25"/>
    <row r="40493" hidden="1" x14ac:dyDescent="0.25"/>
    <row r="40494" hidden="1" x14ac:dyDescent="0.25"/>
    <row r="40495" hidden="1" x14ac:dyDescent="0.25"/>
    <row r="40496" hidden="1" x14ac:dyDescent="0.25"/>
    <row r="40497" hidden="1" x14ac:dyDescent="0.25"/>
    <row r="40498" hidden="1" x14ac:dyDescent="0.25"/>
    <row r="40499" hidden="1" x14ac:dyDescent="0.25"/>
    <row r="40500" hidden="1" x14ac:dyDescent="0.25"/>
    <row r="40501" hidden="1" x14ac:dyDescent="0.25"/>
    <row r="40502" hidden="1" x14ac:dyDescent="0.25"/>
    <row r="40503" hidden="1" x14ac:dyDescent="0.25"/>
    <row r="40504" hidden="1" x14ac:dyDescent="0.25"/>
    <row r="40505" hidden="1" x14ac:dyDescent="0.25"/>
    <row r="40506" hidden="1" x14ac:dyDescent="0.25"/>
    <row r="40507" hidden="1" x14ac:dyDescent="0.25"/>
    <row r="40508" hidden="1" x14ac:dyDescent="0.25"/>
    <row r="40509" hidden="1" x14ac:dyDescent="0.25"/>
    <row r="40510" hidden="1" x14ac:dyDescent="0.25"/>
    <row r="40511" hidden="1" x14ac:dyDescent="0.25"/>
    <row r="40512" hidden="1" x14ac:dyDescent="0.25"/>
    <row r="40513" hidden="1" x14ac:dyDescent="0.25"/>
    <row r="40514" hidden="1" x14ac:dyDescent="0.25"/>
    <row r="40515" hidden="1" x14ac:dyDescent="0.25"/>
    <row r="40516" hidden="1" x14ac:dyDescent="0.25"/>
    <row r="40517" hidden="1" x14ac:dyDescent="0.25"/>
    <row r="40518" hidden="1" x14ac:dyDescent="0.25"/>
    <row r="40519" hidden="1" x14ac:dyDescent="0.25"/>
    <row r="40520" hidden="1" x14ac:dyDescent="0.25"/>
    <row r="40521" hidden="1" x14ac:dyDescent="0.25"/>
    <row r="40522" hidden="1" x14ac:dyDescent="0.25"/>
    <row r="40523" hidden="1" x14ac:dyDescent="0.25"/>
    <row r="40524" hidden="1" x14ac:dyDescent="0.25"/>
    <row r="40525" hidden="1" x14ac:dyDescent="0.25"/>
    <row r="40526" hidden="1" x14ac:dyDescent="0.25"/>
    <row r="40527" hidden="1" x14ac:dyDescent="0.25"/>
    <row r="40528" hidden="1" x14ac:dyDescent="0.25"/>
    <row r="40529" hidden="1" x14ac:dyDescent="0.25"/>
    <row r="40530" hidden="1" x14ac:dyDescent="0.25"/>
    <row r="40531" hidden="1" x14ac:dyDescent="0.25"/>
    <row r="40532" hidden="1" x14ac:dyDescent="0.25"/>
    <row r="40533" hidden="1" x14ac:dyDescent="0.25"/>
    <row r="40534" hidden="1" x14ac:dyDescent="0.25"/>
    <row r="40535" hidden="1" x14ac:dyDescent="0.25"/>
    <row r="40536" hidden="1" x14ac:dyDescent="0.25"/>
    <row r="40537" hidden="1" x14ac:dyDescent="0.25"/>
    <row r="40538" hidden="1" x14ac:dyDescent="0.25"/>
    <row r="40539" hidden="1" x14ac:dyDescent="0.25"/>
    <row r="40540" hidden="1" x14ac:dyDescent="0.25"/>
    <row r="40541" hidden="1" x14ac:dyDescent="0.25"/>
    <row r="40542" hidden="1" x14ac:dyDescent="0.25"/>
    <row r="40543" hidden="1" x14ac:dyDescent="0.25"/>
    <row r="40544" hidden="1" x14ac:dyDescent="0.25"/>
    <row r="40545" hidden="1" x14ac:dyDescent="0.25"/>
    <row r="40546" hidden="1" x14ac:dyDescent="0.25"/>
    <row r="40547" hidden="1" x14ac:dyDescent="0.25"/>
    <row r="40548" hidden="1" x14ac:dyDescent="0.25"/>
    <row r="40549" hidden="1" x14ac:dyDescent="0.25"/>
    <row r="40550" hidden="1" x14ac:dyDescent="0.25"/>
    <row r="40551" hidden="1" x14ac:dyDescent="0.25"/>
    <row r="40552" hidden="1" x14ac:dyDescent="0.25"/>
    <row r="40553" hidden="1" x14ac:dyDescent="0.25"/>
    <row r="40554" hidden="1" x14ac:dyDescent="0.25"/>
    <row r="40555" hidden="1" x14ac:dyDescent="0.25"/>
    <row r="40556" hidden="1" x14ac:dyDescent="0.25"/>
    <row r="40557" hidden="1" x14ac:dyDescent="0.25"/>
    <row r="40558" hidden="1" x14ac:dyDescent="0.25"/>
    <row r="40559" hidden="1" x14ac:dyDescent="0.25"/>
    <row r="40560" hidden="1" x14ac:dyDescent="0.25"/>
    <row r="40561" hidden="1" x14ac:dyDescent="0.25"/>
    <row r="40562" hidden="1" x14ac:dyDescent="0.25"/>
    <row r="40563" hidden="1" x14ac:dyDescent="0.25"/>
    <row r="40564" hidden="1" x14ac:dyDescent="0.25"/>
    <row r="40565" hidden="1" x14ac:dyDescent="0.25"/>
    <row r="40566" hidden="1" x14ac:dyDescent="0.25"/>
    <row r="40567" hidden="1" x14ac:dyDescent="0.25"/>
    <row r="40568" hidden="1" x14ac:dyDescent="0.25"/>
    <row r="40569" hidden="1" x14ac:dyDescent="0.25"/>
    <row r="40570" hidden="1" x14ac:dyDescent="0.25"/>
    <row r="40571" hidden="1" x14ac:dyDescent="0.25"/>
    <row r="40572" hidden="1" x14ac:dyDescent="0.25"/>
    <row r="40573" hidden="1" x14ac:dyDescent="0.25"/>
    <row r="40574" hidden="1" x14ac:dyDescent="0.25"/>
    <row r="40575" hidden="1" x14ac:dyDescent="0.25"/>
    <row r="40576" hidden="1" x14ac:dyDescent="0.25"/>
    <row r="40577" hidden="1" x14ac:dyDescent="0.25"/>
    <row r="40578" hidden="1" x14ac:dyDescent="0.25"/>
    <row r="40579" hidden="1" x14ac:dyDescent="0.25"/>
    <row r="40580" hidden="1" x14ac:dyDescent="0.25"/>
    <row r="40581" hidden="1" x14ac:dyDescent="0.25"/>
    <row r="40582" hidden="1" x14ac:dyDescent="0.25"/>
    <row r="40583" hidden="1" x14ac:dyDescent="0.25"/>
    <row r="40584" hidden="1" x14ac:dyDescent="0.25"/>
    <row r="40585" hidden="1" x14ac:dyDescent="0.25"/>
    <row r="40586" hidden="1" x14ac:dyDescent="0.25"/>
    <row r="40587" hidden="1" x14ac:dyDescent="0.25"/>
    <row r="40588" hidden="1" x14ac:dyDescent="0.25"/>
    <row r="40589" hidden="1" x14ac:dyDescent="0.25"/>
    <row r="40590" hidden="1" x14ac:dyDescent="0.25"/>
    <row r="40591" hidden="1" x14ac:dyDescent="0.25"/>
    <row r="40592" hidden="1" x14ac:dyDescent="0.25"/>
    <row r="40593" hidden="1" x14ac:dyDescent="0.25"/>
    <row r="40594" hidden="1" x14ac:dyDescent="0.25"/>
    <row r="40595" hidden="1" x14ac:dyDescent="0.25"/>
    <row r="40596" hidden="1" x14ac:dyDescent="0.25"/>
    <row r="40597" hidden="1" x14ac:dyDescent="0.25"/>
    <row r="40598" hidden="1" x14ac:dyDescent="0.25"/>
    <row r="40599" hidden="1" x14ac:dyDescent="0.25"/>
    <row r="40600" hidden="1" x14ac:dyDescent="0.25"/>
    <row r="40601" hidden="1" x14ac:dyDescent="0.25"/>
    <row r="40602" hidden="1" x14ac:dyDescent="0.25"/>
    <row r="40603" hidden="1" x14ac:dyDescent="0.25"/>
    <row r="40604" hidden="1" x14ac:dyDescent="0.25"/>
    <row r="40605" hidden="1" x14ac:dyDescent="0.25"/>
    <row r="40606" hidden="1" x14ac:dyDescent="0.25"/>
    <row r="40607" hidden="1" x14ac:dyDescent="0.25"/>
    <row r="40608" hidden="1" x14ac:dyDescent="0.25"/>
    <row r="40609" hidden="1" x14ac:dyDescent="0.25"/>
    <row r="40610" hidden="1" x14ac:dyDescent="0.25"/>
    <row r="40611" hidden="1" x14ac:dyDescent="0.25"/>
    <row r="40612" hidden="1" x14ac:dyDescent="0.25"/>
    <row r="40613" hidden="1" x14ac:dyDescent="0.25"/>
    <row r="40614" hidden="1" x14ac:dyDescent="0.25"/>
    <row r="40615" hidden="1" x14ac:dyDescent="0.25"/>
    <row r="40616" hidden="1" x14ac:dyDescent="0.25"/>
    <row r="40617" hidden="1" x14ac:dyDescent="0.25"/>
    <row r="40618" hidden="1" x14ac:dyDescent="0.25"/>
    <row r="40619" hidden="1" x14ac:dyDescent="0.25"/>
    <row r="40620" hidden="1" x14ac:dyDescent="0.25"/>
    <row r="40621" hidden="1" x14ac:dyDescent="0.25"/>
    <row r="40622" hidden="1" x14ac:dyDescent="0.25"/>
    <row r="40623" hidden="1" x14ac:dyDescent="0.25"/>
    <row r="40624" hidden="1" x14ac:dyDescent="0.25"/>
    <row r="40625" hidden="1" x14ac:dyDescent="0.25"/>
    <row r="40626" hidden="1" x14ac:dyDescent="0.25"/>
    <row r="40627" hidden="1" x14ac:dyDescent="0.25"/>
    <row r="40628" hidden="1" x14ac:dyDescent="0.25"/>
    <row r="40629" hidden="1" x14ac:dyDescent="0.25"/>
    <row r="40630" hidden="1" x14ac:dyDescent="0.25"/>
    <row r="40631" hidden="1" x14ac:dyDescent="0.25"/>
    <row r="40632" hidden="1" x14ac:dyDescent="0.25"/>
    <row r="40633" hidden="1" x14ac:dyDescent="0.25"/>
    <row r="40634" hidden="1" x14ac:dyDescent="0.25"/>
    <row r="40635" hidden="1" x14ac:dyDescent="0.25"/>
    <row r="40636" hidden="1" x14ac:dyDescent="0.25"/>
    <row r="40637" hidden="1" x14ac:dyDescent="0.25"/>
    <row r="40638" hidden="1" x14ac:dyDescent="0.25"/>
    <row r="40639" hidden="1" x14ac:dyDescent="0.25"/>
    <row r="40640" hidden="1" x14ac:dyDescent="0.25"/>
    <row r="40641" hidden="1" x14ac:dyDescent="0.25"/>
    <row r="40642" hidden="1" x14ac:dyDescent="0.25"/>
    <row r="40643" hidden="1" x14ac:dyDescent="0.25"/>
    <row r="40644" hidden="1" x14ac:dyDescent="0.25"/>
    <row r="40645" hidden="1" x14ac:dyDescent="0.25"/>
    <row r="40646" hidden="1" x14ac:dyDescent="0.25"/>
    <row r="40647" hidden="1" x14ac:dyDescent="0.25"/>
    <row r="40648" hidden="1" x14ac:dyDescent="0.25"/>
    <row r="40649" hidden="1" x14ac:dyDescent="0.25"/>
    <row r="40650" hidden="1" x14ac:dyDescent="0.25"/>
    <row r="40651" hidden="1" x14ac:dyDescent="0.25"/>
    <row r="40652" hidden="1" x14ac:dyDescent="0.25"/>
    <row r="40653" hidden="1" x14ac:dyDescent="0.25"/>
    <row r="40654" hidden="1" x14ac:dyDescent="0.25"/>
    <row r="40655" hidden="1" x14ac:dyDescent="0.25"/>
    <row r="40656" hidden="1" x14ac:dyDescent="0.25"/>
    <row r="40657" hidden="1" x14ac:dyDescent="0.25"/>
    <row r="40658" hidden="1" x14ac:dyDescent="0.25"/>
    <row r="40659" hidden="1" x14ac:dyDescent="0.25"/>
    <row r="40660" hidden="1" x14ac:dyDescent="0.25"/>
    <row r="40661" hidden="1" x14ac:dyDescent="0.25"/>
    <row r="40662" hidden="1" x14ac:dyDescent="0.25"/>
    <row r="40663" hidden="1" x14ac:dyDescent="0.25"/>
    <row r="40664" hidden="1" x14ac:dyDescent="0.25"/>
    <row r="40665" hidden="1" x14ac:dyDescent="0.25"/>
    <row r="40666" hidden="1" x14ac:dyDescent="0.25"/>
    <row r="40667" hidden="1" x14ac:dyDescent="0.25"/>
    <row r="40668" hidden="1" x14ac:dyDescent="0.25"/>
    <row r="40669" hidden="1" x14ac:dyDescent="0.25"/>
    <row r="40670" hidden="1" x14ac:dyDescent="0.25"/>
    <row r="40671" hidden="1" x14ac:dyDescent="0.25"/>
    <row r="40672" hidden="1" x14ac:dyDescent="0.25"/>
    <row r="40673" hidden="1" x14ac:dyDescent="0.25"/>
    <row r="40674" hidden="1" x14ac:dyDescent="0.25"/>
    <row r="40675" hidden="1" x14ac:dyDescent="0.25"/>
    <row r="40676" hidden="1" x14ac:dyDescent="0.25"/>
    <row r="40677" hidden="1" x14ac:dyDescent="0.25"/>
    <row r="40678" hidden="1" x14ac:dyDescent="0.25"/>
    <row r="40679" hidden="1" x14ac:dyDescent="0.25"/>
    <row r="40680" hidden="1" x14ac:dyDescent="0.25"/>
    <row r="40681" hidden="1" x14ac:dyDescent="0.25"/>
    <row r="40682" hidden="1" x14ac:dyDescent="0.25"/>
    <row r="40683" hidden="1" x14ac:dyDescent="0.25"/>
    <row r="40684" hidden="1" x14ac:dyDescent="0.25"/>
    <row r="40685" hidden="1" x14ac:dyDescent="0.25"/>
    <row r="40686" hidden="1" x14ac:dyDescent="0.25"/>
    <row r="40687" hidden="1" x14ac:dyDescent="0.25"/>
    <row r="40688" hidden="1" x14ac:dyDescent="0.25"/>
    <row r="40689" hidden="1" x14ac:dyDescent="0.25"/>
    <row r="40690" hidden="1" x14ac:dyDescent="0.25"/>
    <row r="40691" hidden="1" x14ac:dyDescent="0.25"/>
    <row r="40692" hidden="1" x14ac:dyDescent="0.25"/>
    <row r="40693" hidden="1" x14ac:dyDescent="0.25"/>
    <row r="40694" hidden="1" x14ac:dyDescent="0.25"/>
    <row r="40695" hidden="1" x14ac:dyDescent="0.25"/>
    <row r="40696" hidden="1" x14ac:dyDescent="0.25"/>
    <row r="40697" hidden="1" x14ac:dyDescent="0.25"/>
    <row r="40698" hidden="1" x14ac:dyDescent="0.25"/>
    <row r="40699" hidden="1" x14ac:dyDescent="0.25"/>
    <row r="40700" hidden="1" x14ac:dyDescent="0.25"/>
    <row r="40701" hidden="1" x14ac:dyDescent="0.25"/>
    <row r="40702" hidden="1" x14ac:dyDescent="0.25"/>
    <row r="40703" hidden="1" x14ac:dyDescent="0.25"/>
    <row r="40704" hidden="1" x14ac:dyDescent="0.25"/>
    <row r="40705" hidden="1" x14ac:dyDescent="0.25"/>
    <row r="40706" hidden="1" x14ac:dyDescent="0.25"/>
    <row r="40707" hidden="1" x14ac:dyDescent="0.25"/>
    <row r="40708" hidden="1" x14ac:dyDescent="0.25"/>
    <row r="40709" hidden="1" x14ac:dyDescent="0.25"/>
    <row r="40710" hidden="1" x14ac:dyDescent="0.25"/>
    <row r="40711" hidden="1" x14ac:dyDescent="0.25"/>
    <row r="40712" hidden="1" x14ac:dyDescent="0.25"/>
    <row r="40713" hidden="1" x14ac:dyDescent="0.25"/>
    <row r="40714" hidden="1" x14ac:dyDescent="0.25"/>
    <row r="40715" hidden="1" x14ac:dyDescent="0.25"/>
    <row r="40716" hidden="1" x14ac:dyDescent="0.25"/>
    <row r="40717" hidden="1" x14ac:dyDescent="0.25"/>
    <row r="40718" hidden="1" x14ac:dyDescent="0.25"/>
    <row r="40719" hidden="1" x14ac:dyDescent="0.25"/>
    <row r="40720" hidden="1" x14ac:dyDescent="0.25"/>
    <row r="40721" hidden="1" x14ac:dyDescent="0.25"/>
    <row r="40722" hidden="1" x14ac:dyDescent="0.25"/>
    <row r="40723" hidden="1" x14ac:dyDescent="0.25"/>
    <row r="40724" hidden="1" x14ac:dyDescent="0.25"/>
    <row r="40725" hidden="1" x14ac:dyDescent="0.25"/>
    <row r="40726" hidden="1" x14ac:dyDescent="0.25"/>
    <row r="40727" hidden="1" x14ac:dyDescent="0.25"/>
    <row r="40728" hidden="1" x14ac:dyDescent="0.25"/>
    <row r="40729" hidden="1" x14ac:dyDescent="0.25"/>
    <row r="40730" hidden="1" x14ac:dyDescent="0.25"/>
    <row r="40731" hidden="1" x14ac:dyDescent="0.25"/>
    <row r="40732" hidden="1" x14ac:dyDescent="0.25"/>
    <row r="40733" hidden="1" x14ac:dyDescent="0.25"/>
    <row r="40734" hidden="1" x14ac:dyDescent="0.25"/>
    <row r="40735" hidden="1" x14ac:dyDescent="0.25"/>
    <row r="40736" hidden="1" x14ac:dyDescent="0.25"/>
    <row r="40737" hidden="1" x14ac:dyDescent="0.25"/>
    <row r="40738" hidden="1" x14ac:dyDescent="0.25"/>
    <row r="40739" hidden="1" x14ac:dyDescent="0.25"/>
    <row r="40740" hidden="1" x14ac:dyDescent="0.25"/>
    <row r="40741" hidden="1" x14ac:dyDescent="0.25"/>
    <row r="40742" hidden="1" x14ac:dyDescent="0.25"/>
    <row r="40743" hidden="1" x14ac:dyDescent="0.25"/>
    <row r="40744" hidden="1" x14ac:dyDescent="0.25"/>
    <row r="40745" hidden="1" x14ac:dyDescent="0.25"/>
    <row r="40746" hidden="1" x14ac:dyDescent="0.25"/>
    <row r="40747" hidden="1" x14ac:dyDescent="0.25"/>
    <row r="40748" hidden="1" x14ac:dyDescent="0.25"/>
    <row r="40749" hidden="1" x14ac:dyDescent="0.25"/>
    <row r="40750" hidden="1" x14ac:dyDescent="0.25"/>
    <row r="40751" hidden="1" x14ac:dyDescent="0.25"/>
    <row r="40752" hidden="1" x14ac:dyDescent="0.25"/>
    <row r="40753" hidden="1" x14ac:dyDescent="0.25"/>
    <row r="40754" hidden="1" x14ac:dyDescent="0.25"/>
    <row r="40755" hidden="1" x14ac:dyDescent="0.25"/>
    <row r="40756" hidden="1" x14ac:dyDescent="0.25"/>
    <row r="40757" hidden="1" x14ac:dyDescent="0.25"/>
    <row r="40758" hidden="1" x14ac:dyDescent="0.25"/>
    <row r="40759" hidden="1" x14ac:dyDescent="0.25"/>
    <row r="40760" hidden="1" x14ac:dyDescent="0.25"/>
    <row r="40761" hidden="1" x14ac:dyDescent="0.25"/>
    <row r="40762" hidden="1" x14ac:dyDescent="0.25"/>
    <row r="40763" hidden="1" x14ac:dyDescent="0.25"/>
    <row r="40764" hidden="1" x14ac:dyDescent="0.25"/>
    <row r="40765" hidden="1" x14ac:dyDescent="0.25"/>
    <row r="40766" hidden="1" x14ac:dyDescent="0.25"/>
    <row r="40767" hidden="1" x14ac:dyDescent="0.25"/>
    <row r="40768" hidden="1" x14ac:dyDescent="0.25"/>
    <row r="40769" hidden="1" x14ac:dyDescent="0.25"/>
    <row r="40770" hidden="1" x14ac:dyDescent="0.25"/>
    <row r="40771" hidden="1" x14ac:dyDescent="0.25"/>
    <row r="40772" hidden="1" x14ac:dyDescent="0.25"/>
    <row r="40773" hidden="1" x14ac:dyDescent="0.25"/>
    <row r="40774" hidden="1" x14ac:dyDescent="0.25"/>
    <row r="40775" hidden="1" x14ac:dyDescent="0.25"/>
    <row r="40776" hidden="1" x14ac:dyDescent="0.25"/>
    <row r="40777" hidden="1" x14ac:dyDescent="0.25"/>
    <row r="40778" hidden="1" x14ac:dyDescent="0.25"/>
    <row r="40779" hidden="1" x14ac:dyDescent="0.25"/>
    <row r="40780" hidden="1" x14ac:dyDescent="0.25"/>
    <row r="40781" hidden="1" x14ac:dyDescent="0.25"/>
    <row r="40782" hidden="1" x14ac:dyDescent="0.25"/>
    <row r="40783" hidden="1" x14ac:dyDescent="0.25"/>
    <row r="40784" hidden="1" x14ac:dyDescent="0.25"/>
    <row r="40785" hidden="1" x14ac:dyDescent="0.25"/>
    <row r="40786" hidden="1" x14ac:dyDescent="0.25"/>
    <row r="40787" hidden="1" x14ac:dyDescent="0.25"/>
    <row r="40788" hidden="1" x14ac:dyDescent="0.25"/>
    <row r="40789" hidden="1" x14ac:dyDescent="0.25"/>
    <row r="40790" hidden="1" x14ac:dyDescent="0.25"/>
    <row r="40791" hidden="1" x14ac:dyDescent="0.25"/>
    <row r="40792" hidden="1" x14ac:dyDescent="0.25"/>
    <row r="40793" hidden="1" x14ac:dyDescent="0.25"/>
    <row r="40794" hidden="1" x14ac:dyDescent="0.25"/>
    <row r="40795" hidden="1" x14ac:dyDescent="0.25"/>
    <row r="40796" hidden="1" x14ac:dyDescent="0.25"/>
    <row r="40797" hidden="1" x14ac:dyDescent="0.25"/>
    <row r="40798" hidden="1" x14ac:dyDescent="0.25"/>
    <row r="40799" hidden="1" x14ac:dyDescent="0.25"/>
    <row r="40800" hidden="1" x14ac:dyDescent="0.25"/>
    <row r="40801" hidden="1" x14ac:dyDescent="0.25"/>
    <row r="40802" hidden="1" x14ac:dyDescent="0.25"/>
    <row r="40803" hidden="1" x14ac:dyDescent="0.25"/>
    <row r="40804" hidden="1" x14ac:dyDescent="0.25"/>
    <row r="40805" hidden="1" x14ac:dyDescent="0.25"/>
    <row r="40806" hidden="1" x14ac:dyDescent="0.25"/>
    <row r="40807" hidden="1" x14ac:dyDescent="0.25"/>
    <row r="40808" hidden="1" x14ac:dyDescent="0.25"/>
    <row r="40809" hidden="1" x14ac:dyDescent="0.25"/>
    <row r="40810" hidden="1" x14ac:dyDescent="0.25"/>
    <row r="40811" hidden="1" x14ac:dyDescent="0.25"/>
    <row r="40812" hidden="1" x14ac:dyDescent="0.25"/>
    <row r="40813" hidden="1" x14ac:dyDescent="0.25"/>
    <row r="40814" hidden="1" x14ac:dyDescent="0.25"/>
    <row r="40815" hidden="1" x14ac:dyDescent="0.25"/>
    <row r="40816" hidden="1" x14ac:dyDescent="0.25"/>
    <row r="40817" hidden="1" x14ac:dyDescent="0.25"/>
    <row r="40818" hidden="1" x14ac:dyDescent="0.25"/>
    <row r="40819" hidden="1" x14ac:dyDescent="0.25"/>
    <row r="40820" hidden="1" x14ac:dyDescent="0.25"/>
    <row r="40821" hidden="1" x14ac:dyDescent="0.25"/>
    <row r="40822" hidden="1" x14ac:dyDescent="0.25"/>
    <row r="40823" hidden="1" x14ac:dyDescent="0.25"/>
    <row r="40824" hidden="1" x14ac:dyDescent="0.25"/>
    <row r="40825" hidden="1" x14ac:dyDescent="0.25"/>
    <row r="40826" hidden="1" x14ac:dyDescent="0.25"/>
    <row r="40827" hidden="1" x14ac:dyDescent="0.25"/>
    <row r="40828" hidden="1" x14ac:dyDescent="0.25"/>
    <row r="40829" hidden="1" x14ac:dyDescent="0.25"/>
    <row r="40830" hidden="1" x14ac:dyDescent="0.25"/>
    <row r="40831" hidden="1" x14ac:dyDescent="0.25"/>
    <row r="40832" hidden="1" x14ac:dyDescent="0.25"/>
    <row r="40833" hidden="1" x14ac:dyDescent="0.25"/>
    <row r="40834" hidden="1" x14ac:dyDescent="0.25"/>
    <row r="40835" hidden="1" x14ac:dyDescent="0.25"/>
    <row r="40836" hidden="1" x14ac:dyDescent="0.25"/>
    <row r="40837" hidden="1" x14ac:dyDescent="0.25"/>
    <row r="40838" hidden="1" x14ac:dyDescent="0.25"/>
    <row r="40839" hidden="1" x14ac:dyDescent="0.25"/>
    <row r="40840" hidden="1" x14ac:dyDescent="0.25"/>
    <row r="40841" hidden="1" x14ac:dyDescent="0.25"/>
    <row r="40842" hidden="1" x14ac:dyDescent="0.25"/>
    <row r="40843" hidden="1" x14ac:dyDescent="0.25"/>
    <row r="40844" hidden="1" x14ac:dyDescent="0.25"/>
    <row r="40845" hidden="1" x14ac:dyDescent="0.25"/>
    <row r="40846" hidden="1" x14ac:dyDescent="0.25"/>
    <row r="40847" hidden="1" x14ac:dyDescent="0.25"/>
    <row r="40848" hidden="1" x14ac:dyDescent="0.25"/>
    <row r="40849" hidden="1" x14ac:dyDescent="0.25"/>
    <row r="40850" hidden="1" x14ac:dyDescent="0.25"/>
    <row r="40851" hidden="1" x14ac:dyDescent="0.25"/>
    <row r="40852" hidden="1" x14ac:dyDescent="0.25"/>
    <row r="40853" hidden="1" x14ac:dyDescent="0.25"/>
    <row r="40854" hidden="1" x14ac:dyDescent="0.25"/>
    <row r="40855" hidden="1" x14ac:dyDescent="0.25"/>
    <row r="40856" hidden="1" x14ac:dyDescent="0.25"/>
    <row r="40857" hidden="1" x14ac:dyDescent="0.25"/>
    <row r="40858" hidden="1" x14ac:dyDescent="0.25"/>
    <row r="40859" hidden="1" x14ac:dyDescent="0.25"/>
    <row r="40860" hidden="1" x14ac:dyDescent="0.25"/>
    <row r="40861" hidden="1" x14ac:dyDescent="0.25"/>
    <row r="40862" hidden="1" x14ac:dyDescent="0.25"/>
    <row r="40863" hidden="1" x14ac:dyDescent="0.25"/>
    <row r="40864" hidden="1" x14ac:dyDescent="0.25"/>
    <row r="40865" hidden="1" x14ac:dyDescent="0.25"/>
    <row r="40866" hidden="1" x14ac:dyDescent="0.25"/>
    <row r="40867" hidden="1" x14ac:dyDescent="0.25"/>
    <row r="40868" hidden="1" x14ac:dyDescent="0.25"/>
    <row r="40869" hidden="1" x14ac:dyDescent="0.25"/>
    <row r="40870" hidden="1" x14ac:dyDescent="0.25"/>
    <row r="40871" hidden="1" x14ac:dyDescent="0.25"/>
    <row r="40872" hidden="1" x14ac:dyDescent="0.25"/>
    <row r="40873" hidden="1" x14ac:dyDescent="0.25"/>
    <row r="40874" hidden="1" x14ac:dyDescent="0.25"/>
    <row r="40875" hidden="1" x14ac:dyDescent="0.25"/>
    <row r="40876" hidden="1" x14ac:dyDescent="0.25"/>
    <row r="40877" hidden="1" x14ac:dyDescent="0.25"/>
    <row r="40878" hidden="1" x14ac:dyDescent="0.25"/>
    <row r="40879" hidden="1" x14ac:dyDescent="0.25"/>
    <row r="40880" hidden="1" x14ac:dyDescent="0.25"/>
    <row r="40881" hidden="1" x14ac:dyDescent="0.25"/>
    <row r="40882" hidden="1" x14ac:dyDescent="0.25"/>
    <row r="40883" hidden="1" x14ac:dyDescent="0.25"/>
    <row r="40884" hidden="1" x14ac:dyDescent="0.25"/>
    <row r="40885" hidden="1" x14ac:dyDescent="0.25"/>
    <row r="40886" hidden="1" x14ac:dyDescent="0.25"/>
    <row r="40887" hidden="1" x14ac:dyDescent="0.25"/>
    <row r="40888" hidden="1" x14ac:dyDescent="0.25"/>
    <row r="40889" hidden="1" x14ac:dyDescent="0.25"/>
    <row r="40890" hidden="1" x14ac:dyDescent="0.25"/>
    <row r="40891" hidden="1" x14ac:dyDescent="0.25"/>
    <row r="40892" hidden="1" x14ac:dyDescent="0.25"/>
    <row r="40893" hidden="1" x14ac:dyDescent="0.25"/>
    <row r="40894" hidden="1" x14ac:dyDescent="0.25"/>
    <row r="40895" hidden="1" x14ac:dyDescent="0.25"/>
    <row r="40896" hidden="1" x14ac:dyDescent="0.25"/>
    <row r="40897" hidden="1" x14ac:dyDescent="0.25"/>
    <row r="40898" hidden="1" x14ac:dyDescent="0.25"/>
    <row r="40899" hidden="1" x14ac:dyDescent="0.25"/>
    <row r="40900" hidden="1" x14ac:dyDescent="0.25"/>
    <row r="40901" hidden="1" x14ac:dyDescent="0.25"/>
    <row r="40902" hidden="1" x14ac:dyDescent="0.25"/>
    <row r="40903" hidden="1" x14ac:dyDescent="0.25"/>
    <row r="40904" hidden="1" x14ac:dyDescent="0.25"/>
    <row r="40905" hidden="1" x14ac:dyDescent="0.25"/>
    <row r="40906" hidden="1" x14ac:dyDescent="0.25"/>
    <row r="40907" hidden="1" x14ac:dyDescent="0.25"/>
    <row r="40908" hidden="1" x14ac:dyDescent="0.25"/>
    <row r="40909" hidden="1" x14ac:dyDescent="0.25"/>
    <row r="40910" hidden="1" x14ac:dyDescent="0.25"/>
    <row r="40911" hidden="1" x14ac:dyDescent="0.25"/>
    <row r="40912" hidden="1" x14ac:dyDescent="0.25"/>
    <row r="40913" hidden="1" x14ac:dyDescent="0.25"/>
    <row r="40914" hidden="1" x14ac:dyDescent="0.25"/>
    <row r="40915" hidden="1" x14ac:dyDescent="0.25"/>
    <row r="40916" hidden="1" x14ac:dyDescent="0.25"/>
    <row r="40917" hidden="1" x14ac:dyDescent="0.25"/>
    <row r="40918" hidden="1" x14ac:dyDescent="0.25"/>
    <row r="40919" hidden="1" x14ac:dyDescent="0.25"/>
    <row r="40920" hidden="1" x14ac:dyDescent="0.25"/>
    <row r="40921" hidden="1" x14ac:dyDescent="0.25"/>
    <row r="40922" hidden="1" x14ac:dyDescent="0.25"/>
    <row r="40923" hidden="1" x14ac:dyDescent="0.25"/>
    <row r="40924" hidden="1" x14ac:dyDescent="0.25"/>
    <row r="40925" hidden="1" x14ac:dyDescent="0.25"/>
    <row r="40926" hidden="1" x14ac:dyDescent="0.25"/>
    <row r="40927" hidden="1" x14ac:dyDescent="0.25"/>
    <row r="40928" hidden="1" x14ac:dyDescent="0.25"/>
    <row r="40929" hidden="1" x14ac:dyDescent="0.25"/>
    <row r="40930" hidden="1" x14ac:dyDescent="0.25"/>
    <row r="40931" hidden="1" x14ac:dyDescent="0.25"/>
    <row r="40932" hidden="1" x14ac:dyDescent="0.25"/>
    <row r="40933" hidden="1" x14ac:dyDescent="0.25"/>
    <row r="40934" hidden="1" x14ac:dyDescent="0.25"/>
    <row r="40935" hidden="1" x14ac:dyDescent="0.25"/>
    <row r="40936" hidden="1" x14ac:dyDescent="0.25"/>
    <row r="40937" hidden="1" x14ac:dyDescent="0.25"/>
    <row r="40938" hidden="1" x14ac:dyDescent="0.25"/>
    <row r="40939" hidden="1" x14ac:dyDescent="0.25"/>
    <row r="40940" hidden="1" x14ac:dyDescent="0.25"/>
    <row r="40941" hidden="1" x14ac:dyDescent="0.25"/>
    <row r="40942" hidden="1" x14ac:dyDescent="0.25"/>
    <row r="40943" hidden="1" x14ac:dyDescent="0.25"/>
    <row r="40944" hidden="1" x14ac:dyDescent="0.25"/>
    <row r="40945" hidden="1" x14ac:dyDescent="0.25"/>
    <row r="40946" hidden="1" x14ac:dyDescent="0.25"/>
    <row r="40947" hidden="1" x14ac:dyDescent="0.25"/>
    <row r="40948" hidden="1" x14ac:dyDescent="0.25"/>
    <row r="40949" hidden="1" x14ac:dyDescent="0.25"/>
    <row r="40950" hidden="1" x14ac:dyDescent="0.25"/>
    <row r="40951" hidden="1" x14ac:dyDescent="0.25"/>
    <row r="40952" hidden="1" x14ac:dyDescent="0.25"/>
    <row r="40953" hidden="1" x14ac:dyDescent="0.25"/>
    <row r="40954" hidden="1" x14ac:dyDescent="0.25"/>
    <row r="40955" hidden="1" x14ac:dyDescent="0.25"/>
    <row r="40956" hidden="1" x14ac:dyDescent="0.25"/>
    <row r="40957" hidden="1" x14ac:dyDescent="0.25"/>
    <row r="40958" hidden="1" x14ac:dyDescent="0.25"/>
    <row r="40959" hidden="1" x14ac:dyDescent="0.25"/>
    <row r="40960" hidden="1" x14ac:dyDescent="0.25"/>
    <row r="40961" hidden="1" x14ac:dyDescent="0.25"/>
    <row r="40962" hidden="1" x14ac:dyDescent="0.25"/>
    <row r="40963" hidden="1" x14ac:dyDescent="0.25"/>
    <row r="40964" hidden="1" x14ac:dyDescent="0.25"/>
    <row r="40965" hidden="1" x14ac:dyDescent="0.25"/>
    <row r="40966" hidden="1" x14ac:dyDescent="0.25"/>
    <row r="40967" hidden="1" x14ac:dyDescent="0.25"/>
    <row r="40968" hidden="1" x14ac:dyDescent="0.25"/>
    <row r="40969" hidden="1" x14ac:dyDescent="0.25"/>
    <row r="40970" hidden="1" x14ac:dyDescent="0.25"/>
    <row r="40971" hidden="1" x14ac:dyDescent="0.25"/>
    <row r="40972" hidden="1" x14ac:dyDescent="0.25"/>
    <row r="40973" hidden="1" x14ac:dyDescent="0.25"/>
    <row r="40974" hidden="1" x14ac:dyDescent="0.25"/>
    <row r="40975" hidden="1" x14ac:dyDescent="0.25"/>
    <row r="40976" hidden="1" x14ac:dyDescent="0.25"/>
    <row r="40977" hidden="1" x14ac:dyDescent="0.25"/>
    <row r="40978" hidden="1" x14ac:dyDescent="0.25"/>
    <row r="40979" hidden="1" x14ac:dyDescent="0.25"/>
    <row r="40980" hidden="1" x14ac:dyDescent="0.25"/>
    <row r="40981" hidden="1" x14ac:dyDescent="0.25"/>
    <row r="40982" hidden="1" x14ac:dyDescent="0.25"/>
    <row r="40983" hidden="1" x14ac:dyDescent="0.25"/>
    <row r="40984" hidden="1" x14ac:dyDescent="0.25"/>
    <row r="40985" hidden="1" x14ac:dyDescent="0.25"/>
    <row r="40986" hidden="1" x14ac:dyDescent="0.25"/>
    <row r="40987" hidden="1" x14ac:dyDescent="0.25"/>
    <row r="40988" hidden="1" x14ac:dyDescent="0.25"/>
    <row r="40989" hidden="1" x14ac:dyDescent="0.25"/>
    <row r="40990" hidden="1" x14ac:dyDescent="0.25"/>
    <row r="40991" hidden="1" x14ac:dyDescent="0.25"/>
    <row r="40992" hidden="1" x14ac:dyDescent="0.25"/>
    <row r="40993" hidden="1" x14ac:dyDescent="0.25"/>
    <row r="40994" hidden="1" x14ac:dyDescent="0.25"/>
    <row r="40995" hidden="1" x14ac:dyDescent="0.25"/>
    <row r="40996" hidden="1" x14ac:dyDescent="0.25"/>
    <row r="40997" hidden="1" x14ac:dyDescent="0.25"/>
    <row r="40998" hidden="1" x14ac:dyDescent="0.25"/>
    <row r="40999" hidden="1" x14ac:dyDescent="0.25"/>
    <row r="41000" hidden="1" x14ac:dyDescent="0.25"/>
    <row r="41001" hidden="1" x14ac:dyDescent="0.25"/>
    <row r="41002" hidden="1" x14ac:dyDescent="0.25"/>
    <row r="41003" hidden="1" x14ac:dyDescent="0.25"/>
    <row r="41004" hidden="1" x14ac:dyDescent="0.25"/>
    <row r="41005" hidden="1" x14ac:dyDescent="0.25"/>
    <row r="41006" hidden="1" x14ac:dyDescent="0.25"/>
    <row r="41007" hidden="1" x14ac:dyDescent="0.25"/>
    <row r="41008" hidden="1" x14ac:dyDescent="0.25"/>
    <row r="41009" hidden="1" x14ac:dyDescent="0.25"/>
    <row r="41010" hidden="1" x14ac:dyDescent="0.25"/>
    <row r="41011" hidden="1" x14ac:dyDescent="0.25"/>
    <row r="41012" hidden="1" x14ac:dyDescent="0.25"/>
    <row r="41013" hidden="1" x14ac:dyDescent="0.25"/>
    <row r="41014" hidden="1" x14ac:dyDescent="0.25"/>
    <row r="41015" hidden="1" x14ac:dyDescent="0.25"/>
    <row r="41016" hidden="1" x14ac:dyDescent="0.25"/>
    <row r="41017" hidden="1" x14ac:dyDescent="0.25"/>
    <row r="41018" hidden="1" x14ac:dyDescent="0.25"/>
    <row r="41019" hidden="1" x14ac:dyDescent="0.25"/>
    <row r="41020" hidden="1" x14ac:dyDescent="0.25"/>
    <row r="41021" hidden="1" x14ac:dyDescent="0.25"/>
    <row r="41022" hidden="1" x14ac:dyDescent="0.25"/>
    <row r="41023" hidden="1" x14ac:dyDescent="0.25"/>
    <row r="41024" hidden="1" x14ac:dyDescent="0.25"/>
    <row r="41025" hidden="1" x14ac:dyDescent="0.25"/>
    <row r="41026" hidden="1" x14ac:dyDescent="0.25"/>
    <row r="41027" hidden="1" x14ac:dyDescent="0.25"/>
    <row r="41028" hidden="1" x14ac:dyDescent="0.25"/>
    <row r="41029" hidden="1" x14ac:dyDescent="0.25"/>
    <row r="41030" hidden="1" x14ac:dyDescent="0.25"/>
    <row r="41031" hidden="1" x14ac:dyDescent="0.25"/>
    <row r="41032" hidden="1" x14ac:dyDescent="0.25"/>
    <row r="41033" hidden="1" x14ac:dyDescent="0.25"/>
    <row r="41034" hidden="1" x14ac:dyDescent="0.25"/>
    <row r="41035" hidden="1" x14ac:dyDescent="0.25"/>
    <row r="41036" hidden="1" x14ac:dyDescent="0.25"/>
    <row r="41037" hidden="1" x14ac:dyDescent="0.25"/>
    <row r="41038" hidden="1" x14ac:dyDescent="0.25"/>
    <row r="41039" hidden="1" x14ac:dyDescent="0.25"/>
    <row r="41040" hidden="1" x14ac:dyDescent="0.25"/>
    <row r="41041" hidden="1" x14ac:dyDescent="0.25"/>
    <row r="41042" hidden="1" x14ac:dyDescent="0.25"/>
    <row r="41043" hidden="1" x14ac:dyDescent="0.25"/>
    <row r="41044" hidden="1" x14ac:dyDescent="0.25"/>
    <row r="41045" hidden="1" x14ac:dyDescent="0.25"/>
    <row r="41046" hidden="1" x14ac:dyDescent="0.25"/>
    <row r="41047" hidden="1" x14ac:dyDescent="0.25"/>
    <row r="41048" hidden="1" x14ac:dyDescent="0.25"/>
    <row r="41049" hidden="1" x14ac:dyDescent="0.25"/>
    <row r="41050" hidden="1" x14ac:dyDescent="0.25"/>
    <row r="41051" hidden="1" x14ac:dyDescent="0.25"/>
    <row r="41052" hidden="1" x14ac:dyDescent="0.25"/>
    <row r="41053" hidden="1" x14ac:dyDescent="0.25"/>
    <row r="41054" hidden="1" x14ac:dyDescent="0.25"/>
    <row r="41055" hidden="1" x14ac:dyDescent="0.25"/>
    <row r="41056" hidden="1" x14ac:dyDescent="0.25"/>
    <row r="41057" hidden="1" x14ac:dyDescent="0.25"/>
    <row r="41058" hidden="1" x14ac:dyDescent="0.25"/>
    <row r="41059" hidden="1" x14ac:dyDescent="0.25"/>
    <row r="41060" hidden="1" x14ac:dyDescent="0.25"/>
    <row r="41061" hidden="1" x14ac:dyDescent="0.25"/>
    <row r="41062" hidden="1" x14ac:dyDescent="0.25"/>
    <row r="41063" hidden="1" x14ac:dyDescent="0.25"/>
    <row r="41064" hidden="1" x14ac:dyDescent="0.25"/>
    <row r="41065" hidden="1" x14ac:dyDescent="0.25"/>
    <row r="41066" hidden="1" x14ac:dyDescent="0.25"/>
    <row r="41067" hidden="1" x14ac:dyDescent="0.25"/>
    <row r="41068" hidden="1" x14ac:dyDescent="0.25"/>
    <row r="41069" hidden="1" x14ac:dyDescent="0.25"/>
    <row r="41070" hidden="1" x14ac:dyDescent="0.25"/>
    <row r="41071" hidden="1" x14ac:dyDescent="0.25"/>
    <row r="41072" hidden="1" x14ac:dyDescent="0.25"/>
    <row r="41073" hidden="1" x14ac:dyDescent="0.25"/>
    <row r="41074" hidden="1" x14ac:dyDescent="0.25"/>
    <row r="41075" hidden="1" x14ac:dyDescent="0.25"/>
    <row r="41076" hidden="1" x14ac:dyDescent="0.25"/>
    <row r="41077" hidden="1" x14ac:dyDescent="0.25"/>
    <row r="41078" hidden="1" x14ac:dyDescent="0.25"/>
    <row r="41079" hidden="1" x14ac:dyDescent="0.25"/>
    <row r="41080" hidden="1" x14ac:dyDescent="0.25"/>
    <row r="41081" hidden="1" x14ac:dyDescent="0.25"/>
    <row r="41082" hidden="1" x14ac:dyDescent="0.25"/>
    <row r="41083" hidden="1" x14ac:dyDescent="0.25"/>
    <row r="41084" hidden="1" x14ac:dyDescent="0.25"/>
    <row r="41085" hidden="1" x14ac:dyDescent="0.25"/>
    <row r="41086" hidden="1" x14ac:dyDescent="0.25"/>
    <row r="41087" hidden="1" x14ac:dyDescent="0.25"/>
    <row r="41088" hidden="1" x14ac:dyDescent="0.25"/>
    <row r="41089" hidden="1" x14ac:dyDescent="0.25"/>
    <row r="41090" hidden="1" x14ac:dyDescent="0.25"/>
    <row r="41091" hidden="1" x14ac:dyDescent="0.25"/>
    <row r="41092" hidden="1" x14ac:dyDescent="0.25"/>
    <row r="41093" hidden="1" x14ac:dyDescent="0.25"/>
    <row r="41094" hidden="1" x14ac:dyDescent="0.25"/>
    <row r="41095" hidden="1" x14ac:dyDescent="0.25"/>
    <row r="41096" hidden="1" x14ac:dyDescent="0.25"/>
    <row r="41097" hidden="1" x14ac:dyDescent="0.25"/>
    <row r="41098" hidden="1" x14ac:dyDescent="0.25"/>
    <row r="41099" hidden="1" x14ac:dyDescent="0.25"/>
    <row r="41100" hidden="1" x14ac:dyDescent="0.25"/>
    <row r="41101" hidden="1" x14ac:dyDescent="0.25"/>
    <row r="41102" hidden="1" x14ac:dyDescent="0.25"/>
    <row r="41103" hidden="1" x14ac:dyDescent="0.25"/>
    <row r="41104" hidden="1" x14ac:dyDescent="0.25"/>
    <row r="41105" hidden="1" x14ac:dyDescent="0.25"/>
    <row r="41106" hidden="1" x14ac:dyDescent="0.25"/>
    <row r="41107" hidden="1" x14ac:dyDescent="0.25"/>
    <row r="41108" hidden="1" x14ac:dyDescent="0.25"/>
    <row r="41109" hidden="1" x14ac:dyDescent="0.25"/>
    <row r="41110" hidden="1" x14ac:dyDescent="0.25"/>
    <row r="41111" hidden="1" x14ac:dyDescent="0.25"/>
    <row r="41112" hidden="1" x14ac:dyDescent="0.25"/>
    <row r="41113" hidden="1" x14ac:dyDescent="0.25"/>
    <row r="41114" hidden="1" x14ac:dyDescent="0.25"/>
    <row r="41115" hidden="1" x14ac:dyDescent="0.25"/>
    <row r="41116" hidden="1" x14ac:dyDescent="0.25"/>
    <row r="41117" hidden="1" x14ac:dyDescent="0.25"/>
    <row r="41118" hidden="1" x14ac:dyDescent="0.25"/>
    <row r="41119" hidden="1" x14ac:dyDescent="0.25"/>
    <row r="41120" hidden="1" x14ac:dyDescent="0.25"/>
    <row r="41121" hidden="1" x14ac:dyDescent="0.25"/>
    <row r="41122" hidden="1" x14ac:dyDescent="0.25"/>
    <row r="41123" hidden="1" x14ac:dyDescent="0.25"/>
    <row r="41124" hidden="1" x14ac:dyDescent="0.25"/>
    <row r="41125" hidden="1" x14ac:dyDescent="0.25"/>
    <row r="41126" hidden="1" x14ac:dyDescent="0.25"/>
    <row r="41127" hidden="1" x14ac:dyDescent="0.25"/>
    <row r="41128" hidden="1" x14ac:dyDescent="0.25"/>
    <row r="41129" hidden="1" x14ac:dyDescent="0.25"/>
    <row r="41130" hidden="1" x14ac:dyDescent="0.25"/>
    <row r="41131" hidden="1" x14ac:dyDescent="0.25"/>
    <row r="41132" hidden="1" x14ac:dyDescent="0.25"/>
    <row r="41133" hidden="1" x14ac:dyDescent="0.25"/>
    <row r="41134" hidden="1" x14ac:dyDescent="0.25"/>
    <row r="41135" hidden="1" x14ac:dyDescent="0.25"/>
    <row r="41136" hidden="1" x14ac:dyDescent="0.25"/>
    <row r="41137" hidden="1" x14ac:dyDescent="0.25"/>
    <row r="41138" hidden="1" x14ac:dyDescent="0.25"/>
    <row r="41139" hidden="1" x14ac:dyDescent="0.25"/>
    <row r="41140" hidden="1" x14ac:dyDescent="0.25"/>
    <row r="41141" hidden="1" x14ac:dyDescent="0.25"/>
    <row r="41142" hidden="1" x14ac:dyDescent="0.25"/>
    <row r="41143" hidden="1" x14ac:dyDescent="0.25"/>
    <row r="41144" hidden="1" x14ac:dyDescent="0.25"/>
    <row r="41145" hidden="1" x14ac:dyDescent="0.25"/>
    <row r="41146" hidden="1" x14ac:dyDescent="0.25"/>
    <row r="41147" hidden="1" x14ac:dyDescent="0.25"/>
    <row r="41148" hidden="1" x14ac:dyDescent="0.25"/>
    <row r="41149" hidden="1" x14ac:dyDescent="0.25"/>
    <row r="41150" hidden="1" x14ac:dyDescent="0.25"/>
    <row r="41151" hidden="1" x14ac:dyDescent="0.25"/>
    <row r="41152" hidden="1" x14ac:dyDescent="0.25"/>
    <row r="41153" hidden="1" x14ac:dyDescent="0.25"/>
    <row r="41154" hidden="1" x14ac:dyDescent="0.25"/>
    <row r="41155" hidden="1" x14ac:dyDescent="0.25"/>
    <row r="41156" hidden="1" x14ac:dyDescent="0.25"/>
    <row r="41157" hidden="1" x14ac:dyDescent="0.25"/>
    <row r="41158" hidden="1" x14ac:dyDescent="0.25"/>
    <row r="41159" hidden="1" x14ac:dyDescent="0.25"/>
    <row r="41160" hidden="1" x14ac:dyDescent="0.25"/>
    <row r="41161" hidden="1" x14ac:dyDescent="0.25"/>
    <row r="41162" hidden="1" x14ac:dyDescent="0.25"/>
    <row r="41163" hidden="1" x14ac:dyDescent="0.25"/>
    <row r="41164" hidden="1" x14ac:dyDescent="0.25"/>
    <row r="41165" hidden="1" x14ac:dyDescent="0.25"/>
    <row r="41166" hidden="1" x14ac:dyDescent="0.25"/>
    <row r="41167" hidden="1" x14ac:dyDescent="0.25"/>
    <row r="41168" hidden="1" x14ac:dyDescent="0.25"/>
    <row r="41169" hidden="1" x14ac:dyDescent="0.25"/>
    <row r="41170" hidden="1" x14ac:dyDescent="0.25"/>
    <row r="41171" hidden="1" x14ac:dyDescent="0.25"/>
    <row r="41172" hidden="1" x14ac:dyDescent="0.25"/>
    <row r="41173" hidden="1" x14ac:dyDescent="0.25"/>
    <row r="41174" hidden="1" x14ac:dyDescent="0.25"/>
    <row r="41175" hidden="1" x14ac:dyDescent="0.25"/>
    <row r="41176" hidden="1" x14ac:dyDescent="0.25"/>
    <row r="41177" hidden="1" x14ac:dyDescent="0.25"/>
    <row r="41178" hidden="1" x14ac:dyDescent="0.25"/>
    <row r="41179" hidden="1" x14ac:dyDescent="0.25"/>
    <row r="41180" hidden="1" x14ac:dyDescent="0.25"/>
    <row r="41181" hidden="1" x14ac:dyDescent="0.25"/>
    <row r="41182" hidden="1" x14ac:dyDescent="0.25"/>
    <row r="41183" hidden="1" x14ac:dyDescent="0.25"/>
    <row r="41184" hidden="1" x14ac:dyDescent="0.25"/>
    <row r="41185" hidden="1" x14ac:dyDescent="0.25"/>
    <row r="41186" hidden="1" x14ac:dyDescent="0.25"/>
    <row r="41187" hidden="1" x14ac:dyDescent="0.25"/>
    <row r="41188" hidden="1" x14ac:dyDescent="0.25"/>
    <row r="41189" hidden="1" x14ac:dyDescent="0.25"/>
    <row r="41190" hidden="1" x14ac:dyDescent="0.25"/>
    <row r="41191" hidden="1" x14ac:dyDescent="0.25"/>
    <row r="41192" hidden="1" x14ac:dyDescent="0.25"/>
    <row r="41193" hidden="1" x14ac:dyDescent="0.25"/>
    <row r="41194" hidden="1" x14ac:dyDescent="0.25"/>
    <row r="41195" hidden="1" x14ac:dyDescent="0.25"/>
    <row r="41196" hidden="1" x14ac:dyDescent="0.25"/>
    <row r="41197" hidden="1" x14ac:dyDescent="0.25"/>
    <row r="41198" hidden="1" x14ac:dyDescent="0.25"/>
    <row r="41199" hidden="1" x14ac:dyDescent="0.25"/>
    <row r="41200" hidden="1" x14ac:dyDescent="0.25"/>
    <row r="41201" hidden="1" x14ac:dyDescent="0.25"/>
    <row r="41202" hidden="1" x14ac:dyDescent="0.25"/>
    <row r="41203" hidden="1" x14ac:dyDescent="0.25"/>
    <row r="41204" hidden="1" x14ac:dyDescent="0.25"/>
    <row r="41205" hidden="1" x14ac:dyDescent="0.25"/>
    <row r="41206" hidden="1" x14ac:dyDescent="0.25"/>
    <row r="41207" hidden="1" x14ac:dyDescent="0.25"/>
    <row r="41208" hidden="1" x14ac:dyDescent="0.25"/>
    <row r="41209" hidden="1" x14ac:dyDescent="0.25"/>
    <row r="41210" hidden="1" x14ac:dyDescent="0.25"/>
    <row r="41211" hidden="1" x14ac:dyDescent="0.25"/>
    <row r="41212" hidden="1" x14ac:dyDescent="0.25"/>
    <row r="41213" hidden="1" x14ac:dyDescent="0.25"/>
    <row r="41214" hidden="1" x14ac:dyDescent="0.25"/>
    <row r="41215" hidden="1" x14ac:dyDescent="0.25"/>
    <row r="41216" hidden="1" x14ac:dyDescent="0.25"/>
    <row r="41217" hidden="1" x14ac:dyDescent="0.25"/>
    <row r="41218" hidden="1" x14ac:dyDescent="0.25"/>
    <row r="41219" hidden="1" x14ac:dyDescent="0.25"/>
    <row r="41220" hidden="1" x14ac:dyDescent="0.25"/>
    <row r="41221" hidden="1" x14ac:dyDescent="0.25"/>
    <row r="41222" hidden="1" x14ac:dyDescent="0.25"/>
    <row r="41223" hidden="1" x14ac:dyDescent="0.25"/>
    <row r="41224" hidden="1" x14ac:dyDescent="0.25"/>
    <row r="41225" hidden="1" x14ac:dyDescent="0.25"/>
    <row r="41226" hidden="1" x14ac:dyDescent="0.25"/>
    <row r="41227" hidden="1" x14ac:dyDescent="0.25"/>
    <row r="41228" hidden="1" x14ac:dyDescent="0.25"/>
    <row r="41229" hidden="1" x14ac:dyDescent="0.25"/>
    <row r="41230" hidden="1" x14ac:dyDescent="0.25"/>
    <row r="41231" hidden="1" x14ac:dyDescent="0.25"/>
    <row r="41232" hidden="1" x14ac:dyDescent="0.25"/>
    <row r="41233" hidden="1" x14ac:dyDescent="0.25"/>
    <row r="41234" hidden="1" x14ac:dyDescent="0.25"/>
    <row r="41235" hidden="1" x14ac:dyDescent="0.25"/>
    <row r="41236" hidden="1" x14ac:dyDescent="0.25"/>
    <row r="41237" hidden="1" x14ac:dyDescent="0.25"/>
    <row r="41238" hidden="1" x14ac:dyDescent="0.25"/>
    <row r="41239" hidden="1" x14ac:dyDescent="0.25"/>
    <row r="41240" hidden="1" x14ac:dyDescent="0.25"/>
    <row r="41241" hidden="1" x14ac:dyDescent="0.25"/>
    <row r="41242" hidden="1" x14ac:dyDescent="0.25"/>
    <row r="41243" hidden="1" x14ac:dyDescent="0.25"/>
    <row r="41244" hidden="1" x14ac:dyDescent="0.25"/>
    <row r="41245" hidden="1" x14ac:dyDescent="0.25"/>
    <row r="41246" hidden="1" x14ac:dyDescent="0.25"/>
    <row r="41247" hidden="1" x14ac:dyDescent="0.25"/>
    <row r="41248" hidden="1" x14ac:dyDescent="0.25"/>
    <row r="41249" hidden="1" x14ac:dyDescent="0.25"/>
    <row r="41250" hidden="1" x14ac:dyDescent="0.25"/>
    <row r="41251" hidden="1" x14ac:dyDescent="0.25"/>
    <row r="41252" hidden="1" x14ac:dyDescent="0.25"/>
    <row r="41253" hidden="1" x14ac:dyDescent="0.25"/>
    <row r="41254" hidden="1" x14ac:dyDescent="0.25"/>
    <row r="41255" hidden="1" x14ac:dyDescent="0.25"/>
    <row r="41256" hidden="1" x14ac:dyDescent="0.25"/>
    <row r="41257" hidden="1" x14ac:dyDescent="0.25"/>
    <row r="41258" hidden="1" x14ac:dyDescent="0.25"/>
    <row r="41259" hidden="1" x14ac:dyDescent="0.25"/>
    <row r="41260" hidden="1" x14ac:dyDescent="0.25"/>
    <row r="41261" hidden="1" x14ac:dyDescent="0.25"/>
    <row r="41262" hidden="1" x14ac:dyDescent="0.25"/>
    <row r="41263" hidden="1" x14ac:dyDescent="0.25"/>
    <row r="41264" hidden="1" x14ac:dyDescent="0.25"/>
    <row r="41265" hidden="1" x14ac:dyDescent="0.25"/>
    <row r="41266" hidden="1" x14ac:dyDescent="0.25"/>
    <row r="41267" hidden="1" x14ac:dyDescent="0.25"/>
    <row r="41268" hidden="1" x14ac:dyDescent="0.25"/>
    <row r="41269" hidden="1" x14ac:dyDescent="0.25"/>
    <row r="41270" hidden="1" x14ac:dyDescent="0.25"/>
    <row r="41271" hidden="1" x14ac:dyDescent="0.25"/>
    <row r="41272" hidden="1" x14ac:dyDescent="0.25"/>
    <row r="41273" hidden="1" x14ac:dyDescent="0.25"/>
    <row r="41274" hidden="1" x14ac:dyDescent="0.25"/>
    <row r="41275" hidden="1" x14ac:dyDescent="0.25"/>
    <row r="41276" hidden="1" x14ac:dyDescent="0.25"/>
    <row r="41277" hidden="1" x14ac:dyDescent="0.25"/>
    <row r="41278" hidden="1" x14ac:dyDescent="0.25"/>
    <row r="41279" hidden="1" x14ac:dyDescent="0.25"/>
    <row r="41280" hidden="1" x14ac:dyDescent="0.25"/>
    <row r="41281" hidden="1" x14ac:dyDescent="0.25"/>
    <row r="41282" hidden="1" x14ac:dyDescent="0.25"/>
    <row r="41283" hidden="1" x14ac:dyDescent="0.25"/>
    <row r="41284" hidden="1" x14ac:dyDescent="0.25"/>
    <row r="41285" hidden="1" x14ac:dyDescent="0.25"/>
    <row r="41286" hidden="1" x14ac:dyDescent="0.25"/>
    <row r="41287" hidden="1" x14ac:dyDescent="0.25"/>
    <row r="41288" hidden="1" x14ac:dyDescent="0.25"/>
    <row r="41289" hidden="1" x14ac:dyDescent="0.25"/>
    <row r="41290" hidden="1" x14ac:dyDescent="0.25"/>
    <row r="41291" hidden="1" x14ac:dyDescent="0.25"/>
    <row r="41292" hidden="1" x14ac:dyDescent="0.25"/>
    <row r="41293" hidden="1" x14ac:dyDescent="0.25"/>
    <row r="41294" hidden="1" x14ac:dyDescent="0.25"/>
    <row r="41295" hidden="1" x14ac:dyDescent="0.25"/>
    <row r="41296" hidden="1" x14ac:dyDescent="0.25"/>
    <row r="41297" hidden="1" x14ac:dyDescent="0.25"/>
    <row r="41298" hidden="1" x14ac:dyDescent="0.25"/>
    <row r="41299" hidden="1" x14ac:dyDescent="0.25"/>
    <row r="41300" hidden="1" x14ac:dyDescent="0.25"/>
    <row r="41301" hidden="1" x14ac:dyDescent="0.25"/>
    <row r="41302" hidden="1" x14ac:dyDescent="0.25"/>
    <row r="41303" hidden="1" x14ac:dyDescent="0.25"/>
    <row r="41304" hidden="1" x14ac:dyDescent="0.25"/>
    <row r="41305" hidden="1" x14ac:dyDescent="0.25"/>
    <row r="41306" hidden="1" x14ac:dyDescent="0.25"/>
    <row r="41307" hidden="1" x14ac:dyDescent="0.25"/>
    <row r="41308" hidden="1" x14ac:dyDescent="0.25"/>
    <row r="41309" hidden="1" x14ac:dyDescent="0.25"/>
    <row r="41310" hidden="1" x14ac:dyDescent="0.25"/>
    <row r="41311" hidden="1" x14ac:dyDescent="0.25"/>
    <row r="41312" hidden="1" x14ac:dyDescent="0.25"/>
    <row r="41313" hidden="1" x14ac:dyDescent="0.25"/>
    <row r="41314" hidden="1" x14ac:dyDescent="0.25"/>
    <row r="41315" hidden="1" x14ac:dyDescent="0.25"/>
    <row r="41316" hidden="1" x14ac:dyDescent="0.25"/>
    <row r="41317" hidden="1" x14ac:dyDescent="0.25"/>
    <row r="41318" hidden="1" x14ac:dyDescent="0.25"/>
    <row r="41319" hidden="1" x14ac:dyDescent="0.25"/>
    <row r="41320" hidden="1" x14ac:dyDescent="0.25"/>
    <row r="41321" hidden="1" x14ac:dyDescent="0.25"/>
    <row r="41322" hidden="1" x14ac:dyDescent="0.25"/>
    <row r="41323" hidden="1" x14ac:dyDescent="0.25"/>
    <row r="41324" hidden="1" x14ac:dyDescent="0.25"/>
    <row r="41325" hidden="1" x14ac:dyDescent="0.25"/>
    <row r="41326" hidden="1" x14ac:dyDescent="0.25"/>
    <row r="41327" hidden="1" x14ac:dyDescent="0.25"/>
    <row r="41328" hidden="1" x14ac:dyDescent="0.25"/>
    <row r="41329" hidden="1" x14ac:dyDescent="0.25"/>
    <row r="41330" hidden="1" x14ac:dyDescent="0.25"/>
    <row r="41331" hidden="1" x14ac:dyDescent="0.25"/>
    <row r="41332" hidden="1" x14ac:dyDescent="0.25"/>
    <row r="41333" hidden="1" x14ac:dyDescent="0.25"/>
    <row r="41334" hidden="1" x14ac:dyDescent="0.25"/>
    <row r="41335" hidden="1" x14ac:dyDescent="0.25"/>
    <row r="41336" hidden="1" x14ac:dyDescent="0.25"/>
    <row r="41337" hidden="1" x14ac:dyDescent="0.25"/>
    <row r="41338" hidden="1" x14ac:dyDescent="0.25"/>
    <row r="41339" hidden="1" x14ac:dyDescent="0.25"/>
    <row r="41340" hidden="1" x14ac:dyDescent="0.25"/>
    <row r="41341" hidden="1" x14ac:dyDescent="0.25"/>
    <row r="41342" hidden="1" x14ac:dyDescent="0.25"/>
    <row r="41343" hidden="1" x14ac:dyDescent="0.25"/>
    <row r="41344" hidden="1" x14ac:dyDescent="0.25"/>
    <row r="41345" hidden="1" x14ac:dyDescent="0.25"/>
    <row r="41346" hidden="1" x14ac:dyDescent="0.25"/>
    <row r="41347" hidden="1" x14ac:dyDescent="0.25"/>
    <row r="41348" hidden="1" x14ac:dyDescent="0.25"/>
    <row r="41349" hidden="1" x14ac:dyDescent="0.25"/>
    <row r="41350" hidden="1" x14ac:dyDescent="0.25"/>
    <row r="41351" hidden="1" x14ac:dyDescent="0.25"/>
    <row r="41352" hidden="1" x14ac:dyDescent="0.25"/>
    <row r="41353" hidden="1" x14ac:dyDescent="0.25"/>
    <row r="41354" hidden="1" x14ac:dyDescent="0.25"/>
    <row r="41355" hidden="1" x14ac:dyDescent="0.25"/>
    <row r="41356" hidden="1" x14ac:dyDescent="0.25"/>
    <row r="41357" hidden="1" x14ac:dyDescent="0.25"/>
    <row r="41358" hidden="1" x14ac:dyDescent="0.25"/>
    <row r="41359" hidden="1" x14ac:dyDescent="0.25"/>
    <row r="41360" hidden="1" x14ac:dyDescent="0.25"/>
    <row r="41361" hidden="1" x14ac:dyDescent="0.25"/>
    <row r="41362" hidden="1" x14ac:dyDescent="0.25"/>
    <row r="41363" hidden="1" x14ac:dyDescent="0.25"/>
    <row r="41364" hidden="1" x14ac:dyDescent="0.25"/>
    <row r="41365" hidden="1" x14ac:dyDescent="0.25"/>
    <row r="41366" hidden="1" x14ac:dyDescent="0.25"/>
    <row r="41367" hidden="1" x14ac:dyDescent="0.25"/>
    <row r="41368" hidden="1" x14ac:dyDescent="0.25"/>
    <row r="41369" hidden="1" x14ac:dyDescent="0.25"/>
    <row r="41370" hidden="1" x14ac:dyDescent="0.25"/>
    <row r="41371" hidden="1" x14ac:dyDescent="0.25"/>
    <row r="41372" hidden="1" x14ac:dyDescent="0.25"/>
    <row r="41373" hidden="1" x14ac:dyDescent="0.25"/>
    <row r="41374" hidden="1" x14ac:dyDescent="0.25"/>
    <row r="41375" hidden="1" x14ac:dyDescent="0.25"/>
    <row r="41376" hidden="1" x14ac:dyDescent="0.25"/>
    <row r="41377" hidden="1" x14ac:dyDescent="0.25"/>
    <row r="41378" hidden="1" x14ac:dyDescent="0.25"/>
    <row r="41379" hidden="1" x14ac:dyDescent="0.25"/>
    <row r="41380" hidden="1" x14ac:dyDescent="0.25"/>
    <row r="41381" hidden="1" x14ac:dyDescent="0.25"/>
    <row r="41382" hidden="1" x14ac:dyDescent="0.25"/>
    <row r="41383" hidden="1" x14ac:dyDescent="0.25"/>
    <row r="41384" hidden="1" x14ac:dyDescent="0.25"/>
    <row r="41385" hidden="1" x14ac:dyDescent="0.25"/>
    <row r="41386" hidden="1" x14ac:dyDescent="0.25"/>
    <row r="41387" hidden="1" x14ac:dyDescent="0.25"/>
    <row r="41388" hidden="1" x14ac:dyDescent="0.25"/>
    <row r="41389" hidden="1" x14ac:dyDescent="0.25"/>
    <row r="41390" hidden="1" x14ac:dyDescent="0.25"/>
    <row r="41391" hidden="1" x14ac:dyDescent="0.25"/>
    <row r="41392" hidden="1" x14ac:dyDescent="0.25"/>
    <row r="41393" hidden="1" x14ac:dyDescent="0.25"/>
    <row r="41394" hidden="1" x14ac:dyDescent="0.25"/>
    <row r="41395" hidden="1" x14ac:dyDescent="0.25"/>
    <row r="41396" hidden="1" x14ac:dyDescent="0.25"/>
    <row r="41397" hidden="1" x14ac:dyDescent="0.25"/>
    <row r="41398" hidden="1" x14ac:dyDescent="0.25"/>
    <row r="41399" hidden="1" x14ac:dyDescent="0.25"/>
    <row r="41400" hidden="1" x14ac:dyDescent="0.25"/>
    <row r="41401" hidden="1" x14ac:dyDescent="0.25"/>
    <row r="41402" hidden="1" x14ac:dyDescent="0.25"/>
    <row r="41403" hidden="1" x14ac:dyDescent="0.25"/>
    <row r="41404" hidden="1" x14ac:dyDescent="0.25"/>
    <row r="41405" hidden="1" x14ac:dyDescent="0.25"/>
    <row r="41406" hidden="1" x14ac:dyDescent="0.25"/>
    <row r="41407" hidden="1" x14ac:dyDescent="0.25"/>
    <row r="41408" hidden="1" x14ac:dyDescent="0.25"/>
    <row r="41409" hidden="1" x14ac:dyDescent="0.25"/>
    <row r="41410" hidden="1" x14ac:dyDescent="0.25"/>
    <row r="41411" hidden="1" x14ac:dyDescent="0.25"/>
    <row r="41412" hidden="1" x14ac:dyDescent="0.25"/>
    <row r="41413" hidden="1" x14ac:dyDescent="0.25"/>
    <row r="41414" hidden="1" x14ac:dyDescent="0.25"/>
    <row r="41415" hidden="1" x14ac:dyDescent="0.25"/>
    <row r="41416" hidden="1" x14ac:dyDescent="0.25"/>
    <row r="41417" hidden="1" x14ac:dyDescent="0.25"/>
    <row r="41418" hidden="1" x14ac:dyDescent="0.25"/>
    <row r="41419" hidden="1" x14ac:dyDescent="0.25"/>
    <row r="41420" hidden="1" x14ac:dyDescent="0.25"/>
    <row r="41421" hidden="1" x14ac:dyDescent="0.25"/>
    <row r="41422" hidden="1" x14ac:dyDescent="0.25"/>
    <row r="41423" hidden="1" x14ac:dyDescent="0.25"/>
    <row r="41424" hidden="1" x14ac:dyDescent="0.25"/>
    <row r="41425" hidden="1" x14ac:dyDescent="0.25"/>
    <row r="41426" hidden="1" x14ac:dyDescent="0.25"/>
    <row r="41427" hidden="1" x14ac:dyDescent="0.25"/>
    <row r="41428" hidden="1" x14ac:dyDescent="0.25"/>
    <row r="41429" hidden="1" x14ac:dyDescent="0.25"/>
    <row r="41430" hidden="1" x14ac:dyDescent="0.25"/>
    <row r="41431" hidden="1" x14ac:dyDescent="0.25"/>
    <row r="41432" hidden="1" x14ac:dyDescent="0.25"/>
    <row r="41433" hidden="1" x14ac:dyDescent="0.25"/>
    <row r="41434" hidden="1" x14ac:dyDescent="0.25"/>
    <row r="41435" hidden="1" x14ac:dyDescent="0.25"/>
    <row r="41436" hidden="1" x14ac:dyDescent="0.25"/>
    <row r="41437" hidden="1" x14ac:dyDescent="0.25"/>
    <row r="41438" hidden="1" x14ac:dyDescent="0.25"/>
    <row r="41439" hidden="1" x14ac:dyDescent="0.25"/>
    <row r="41440" hidden="1" x14ac:dyDescent="0.25"/>
    <row r="41441" hidden="1" x14ac:dyDescent="0.25"/>
    <row r="41442" hidden="1" x14ac:dyDescent="0.25"/>
    <row r="41443" hidden="1" x14ac:dyDescent="0.25"/>
    <row r="41444" hidden="1" x14ac:dyDescent="0.25"/>
    <row r="41445" hidden="1" x14ac:dyDescent="0.25"/>
    <row r="41446" hidden="1" x14ac:dyDescent="0.25"/>
    <row r="41447" hidden="1" x14ac:dyDescent="0.25"/>
    <row r="41448" hidden="1" x14ac:dyDescent="0.25"/>
    <row r="41449" hidden="1" x14ac:dyDescent="0.25"/>
    <row r="41450" hidden="1" x14ac:dyDescent="0.25"/>
    <row r="41451" hidden="1" x14ac:dyDescent="0.25"/>
    <row r="41452" hidden="1" x14ac:dyDescent="0.25"/>
    <row r="41453" hidden="1" x14ac:dyDescent="0.25"/>
    <row r="41454" hidden="1" x14ac:dyDescent="0.25"/>
    <row r="41455" hidden="1" x14ac:dyDescent="0.25"/>
    <row r="41456" hidden="1" x14ac:dyDescent="0.25"/>
    <row r="41457" hidden="1" x14ac:dyDescent="0.25"/>
    <row r="41458" hidden="1" x14ac:dyDescent="0.25"/>
    <row r="41459" hidden="1" x14ac:dyDescent="0.25"/>
    <row r="41460" hidden="1" x14ac:dyDescent="0.25"/>
    <row r="41461" hidden="1" x14ac:dyDescent="0.25"/>
    <row r="41462" hidden="1" x14ac:dyDescent="0.25"/>
    <row r="41463" hidden="1" x14ac:dyDescent="0.25"/>
    <row r="41464" hidden="1" x14ac:dyDescent="0.25"/>
    <row r="41465" hidden="1" x14ac:dyDescent="0.25"/>
    <row r="41466" hidden="1" x14ac:dyDescent="0.25"/>
    <row r="41467" hidden="1" x14ac:dyDescent="0.25"/>
    <row r="41468" hidden="1" x14ac:dyDescent="0.25"/>
    <row r="41469" hidden="1" x14ac:dyDescent="0.25"/>
    <row r="41470" hidden="1" x14ac:dyDescent="0.25"/>
    <row r="41471" hidden="1" x14ac:dyDescent="0.25"/>
    <row r="41472" hidden="1" x14ac:dyDescent="0.25"/>
    <row r="41473" hidden="1" x14ac:dyDescent="0.25"/>
    <row r="41474" hidden="1" x14ac:dyDescent="0.25"/>
    <row r="41475" hidden="1" x14ac:dyDescent="0.25"/>
    <row r="41476" hidden="1" x14ac:dyDescent="0.25"/>
    <row r="41477" hidden="1" x14ac:dyDescent="0.25"/>
    <row r="41478" hidden="1" x14ac:dyDescent="0.25"/>
    <row r="41479" hidden="1" x14ac:dyDescent="0.25"/>
    <row r="41480" hidden="1" x14ac:dyDescent="0.25"/>
    <row r="41481" hidden="1" x14ac:dyDescent="0.25"/>
    <row r="41482" hidden="1" x14ac:dyDescent="0.25"/>
    <row r="41483" hidden="1" x14ac:dyDescent="0.25"/>
    <row r="41484" hidden="1" x14ac:dyDescent="0.25"/>
    <row r="41485" hidden="1" x14ac:dyDescent="0.25"/>
    <row r="41486" hidden="1" x14ac:dyDescent="0.25"/>
    <row r="41487" hidden="1" x14ac:dyDescent="0.25"/>
    <row r="41488" hidden="1" x14ac:dyDescent="0.25"/>
    <row r="41489" hidden="1" x14ac:dyDescent="0.25"/>
    <row r="41490" hidden="1" x14ac:dyDescent="0.25"/>
    <row r="41491" hidden="1" x14ac:dyDescent="0.25"/>
    <row r="41492" hidden="1" x14ac:dyDescent="0.25"/>
    <row r="41493" hidden="1" x14ac:dyDescent="0.25"/>
    <row r="41494" hidden="1" x14ac:dyDescent="0.25"/>
    <row r="41495" hidden="1" x14ac:dyDescent="0.25"/>
    <row r="41496" hidden="1" x14ac:dyDescent="0.25"/>
    <row r="41497" hidden="1" x14ac:dyDescent="0.25"/>
    <row r="41498" hidden="1" x14ac:dyDescent="0.25"/>
    <row r="41499" hidden="1" x14ac:dyDescent="0.25"/>
    <row r="41500" hidden="1" x14ac:dyDescent="0.25"/>
    <row r="41501" hidden="1" x14ac:dyDescent="0.25"/>
    <row r="41502" hidden="1" x14ac:dyDescent="0.25"/>
    <row r="41503" hidden="1" x14ac:dyDescent="0.25"/>
    <row r="41504" hidden="1" x14ac:dyDescent="0.25"/>
    <row r="41505" hidden="1" x14ac:dyDescent="0.25"/>
    <row r="41506" hidden="1" x14ac:dyDescent="0.25"/>
    <row r="41507" hidden="1" x14ac:dyDescent="0.25"/>
    <row r="41508" hidden="1" x14ac:dyDescent="0.25"/>
    <row r="41509" hidden="1" x14ac:dyDescent="0.25"/>
    <row r="41510" hidden="1" x14ac:dyDescent="0.25"/>
    <row r="41511" hidden="1" x14ac:dyDescent="0.25"/>
    <row r="41512" hidden="1" x14ac:dyDescent="0.25"/>
    <row r="41513" hidden="1" x14ac:dyDescent="0.25"/>
    <row r="41514" hidden="1" x14ac:dyDescent="0.25"/>
    <row r="41515" hidden="1" x14ac:dyDescent="0.25"/>
    <row r="41516" hidden="1" x14ac:dyDescent="0.25"/>
    <row r="41517" hidden="1" x14ac:dyDescent="0.25"/>
    <row r="41518" hidden="1" x14ac:dyDescent="0.25"/>
    <row r="41519" hidden="1" x14ac:dyDescent="0.25"/>
    <row r="41520" hidden="1" x14ac:dyDescent="0.25"/>
    <row r="41521" hidden="1" x14ac:dyDescent="0.25"/>
    <row r="41522" hidden="1" x14ac:dyDescent="0.25"/>
    <row r="41523" hidden="1" x14ac:dyDescent="0.25"/>
    <row r="41524" hidden="1" x14ac:dyDescent="0.25"/>
    <row r="41525" hidden="1" x14ac:dyDescent="0.25"/>
    <row r="41526" hidden="1" x14ac:dyDescent="0.25"/>
    <row r="41527" hidden="1" x14ac:dyDescent="0.25"/>
    <row r="41528" hidden="1" x14ac:dyDescent="0.25"/>
    <row r="41529" hidden="1" x14ac:dyDescent="0.25"/>
    <row r="41530" hidden="1" x14ac:dyDescent="0.25"/>
    <row r="41531" hidden="1" x14ac:dyDescent="0.25"/>
    <row r="41532" hidden="1" x14ac:dyDescent="0.25"/>
    <row r="41533" hidden="1" x14ac:dyDescent="0.25"/>
    <row r="41534" hidden="1" x14ac:dyDescent="0.25"/>
    <row r="41535" hidden="1" x14ac:dyDescent="0.25"/>
    <row r="41536" hidden="1" x14ac:dyDescent="0.25"/>
    <row r="41537" hidden="1" x14ac:dyDescent="0.25"/>
    <row r="41538" hidden="1" x14ac:dyDescent="0.25"/>
    <row r="41539" hidden="1" x14ac:dyDescent="0.25"/>
    <row r="41540" hidden="1" x14ac:dyDescent="0.25"/>
    <row r="41541" hidden="1" x14ac:dyDescent="0.25"/>
    <row r="41542" hidden="1" x14ac:dyDescent="0.25"/>
    <row r="41543" hidden="1" x14ac:dyDescent="0.25"/>
    <row r="41544" hidden="1" x14ac:dyDescent="0.25"/>
    <row r="41545" hidden="1" x14ac:dyDescent="0.25"/>
    <row r="41546" hidden="1" x14ac:dyDescent="0.25"/>
    <row r="41547" hidden="1" x14ac:dyDescent="0.25"/>
    <row r="41548" hidden="1" x14ac:dyDescent="0.25"/>
    <row r="41549" hidden="1" x14ac:dyDescent="0.25"/>
    <row r="41550" hidden="1" x14ac:dyDescent="0.25"/>
    <row r="41551" hidden="1" x14ac:dyDescent="0.25"/>
    <row r="41552" hidden="1" x14ac:dyDescent="0.25"/>
    <row r="41553" hidden="1" x14ac:dyDescent="0.25"/>
    <row r="41554" hidden="1" x14ac:dyDescent="0.25"/>
    <row r="41555" hidden="1" x14ac:dyDescent="0.25"/>
    <row r="41556" hidden="1" x14ac:dyDescent="0.25"/>
    <row r="41557" hidden="1" x14ac:dyDescent="0.25"/>
    <row r="41558" hidden="1" x14ac:dyDescent="0.25"/>
    <row r="41559" hidden="1" x14ac:dyDescent="0.25"/>
    <row r="41560" hidden="1" x14ac:dyDescent="0.25"/>
    <row r="41561" hidden="1" x14ac:dyDescent="0.25"/>
    <row r="41562" hidden="1" x14ac:dyDescent="0.25"/>
    <row r="41563" hidden="1" x14ac:dyDescent="0.25"/>
    <row r="41564" hidden="1" x14ac:dyDescent="0.25"/>
    <row r="41565" hidden="1" x14ac:dyDescent="0.25"/>
    <row r="41566" hidden="1" x14ac:dyDescent="0.25"/>
    <row r="41567" hidden="1" x14ac:dyDescent="0.25"/>
    <row r="41568" hidden="1" x14ac:dyDescent="0.25"/>
    <row r="41569" hidden="1" x14ac:dyDescent="0.25"/>
    <row r="41570" hidden="1" x14ac:dyDescent="0.25"/>
    <row r="41571" hidden="1" x14ac:dyDescent="0.25"/>
    <row r="41572" hidden="1" x14ac:dyDescent="0.25"/>
    <row r="41573" hidden="1" x14ac:dyDescent="0.25"/>
    <row r="41574" hidden="1" x14ac:dyDescent="0.25"/>
    <row r="41575" hidden="1" x14ac:dyDescent="0.25"/>
    <row r="41576" hidden="1" x14ac:dyDescent="0.25"/>
    <row r="41577" hidden="1" x14ac:dyDescent="0.25"/>
    <row r="41578" hidden="1" x14ac:dyDescent="0.25"/>
    <row r="41579" hidden="1" x14ac:dyDescent="0.25"/>
    <row r="41580" hidden="1" x14ac:dyDescent="0.25"/>
    <row r="41581" hidden="1" x14ac:dyDescent="0.25"/>
    <row r="41582" hidden="1" x14ac:dyDescent="0.25"/>
    <row r="41583" hidden="1" x14ac:dyDescent="0.25"/>
    <row r="41584" hidden="1" x14ac:dyDescent="0.25"/>
    <row r="41585" hidden="1" x14ac:dyDescent="0.25"/>
    <row r="41586" hidden="1" x14ac:dyDescent="0.25"/>
    <row r="41587" hidden="1" x14ac:dyDescent="0.25"/>
    <row r="41588" hidden="1" x14ac:dyDescent="0.25"/>
    <row r="41589" hidden="1" x14ac:dyDescent="0.25"/>
    <row r="41590" hidden="1" x14ac:dyDescent="0.25"/>
    <row r="41591" hidden="1" x14ac:dyDescent="0.25"/>
    <row r="41592" hidden="1" x14ac:dyDescent="0.25"/>
    <row r="41593" hidden="1" x14ac:dyDescent="0.25"/>
    <row r="41594" hidden="1" x14ac:dyDescent="0.25"/>
    <row r="41595" hidden="1" x14ac:dyDescent="0.25"/>
    <row r="41596" hidden="1" x14ac:dyDescent="0.25"/>
    <row r="41597" hidden="1" x14ac:dyDescent="0.25"/>
    <row r="41598" hidden="1" x14ac:dyDescent="0.25"/>
    <row r="41599" hidden="1" x14ac:dyDescent="0.25"/>
    <row r="41600" hidden="1" x14ac:dyDescent="0.25"/>
    <row r="41601" hidden="1" x14ac:dyDescent="0.25"/>
    <row r="41602" hidden="1" x14ac:dyDescent="0.25"/>
    <row r="41603" hidden="1" x14ac:dyDescent="0.25"/>
    <row r="41604" hidden="1" x14ac:dyDescent="0.25"/>
    <row r="41605" hidden="1" x14ac:dyDescent="0.25"/>
    <row r="41606" hidden="1" x14ac:dyDescent="0.25"/>
    <row r="41607" hidden="1" x14ac:dyDescent="0.25"/>
    <row r="41608" hidden="1" x14ac:dyDescent="0.25"/>
    <row r="41609" hidden="1" x14ac:dyDescent="0.25"/>
    <row r="41610" hidden="1" x14ac:dyDescent="0.25"/>
    <row r="41611" hidden="1" x14ac:dyDescent="0.25"/>
    <row r="41612" hidden="1" x14ac:dyDescent="0.25"/>
    <row r="41613" hidden="1" x14ac:dyDescent="0.25"/>
    <row r="41614" hidden="1" x14ac:dyDescent="0.25"/>
    <row r="41615" hidden="1" x14ac:dyDescent="0.25"/>
    <row r="41616" hidden="1" x14ac:dyDescent="0.25"/>
    <row r="41617" hidden="1" x14ac:dyDescent="0.25"/>
    <row r="41618" hidden="1" x14ac:dyDescent="0.25"/>
    <row r="41619" hidden="1" x14ac:dyDescent="0.25"/>
    <row r="41620" hidden="1" x14ac:dyDescent="0.25"/>
    <row r="41621" hidden="1" x14ac:dyDescent="0.25"/>
    <row r="41622" hidden="1" x14ac:dyDescent="0.25"/>
    <row r="41623" hidden="1" x14ac:dyDescent="0.25"/>
    <row r="41624" hidden="1" x14ac:dyDescent="0.25"/>
    <row r="41625" hidden="1" x14ac:dyDescent="0.25"/>
    <row r="41626" hidden="1" x14ac:dyDescent="0.25"/>
    <row r="41627" hidden="1" x14ac:dyDescent="0.25"/>
    <row r="41628" hidden="1" x14ac:dyDescent="0.25"/>
    <row r="41629" hidden="1" x14ac:dyDescent="0.25"/>
    <row r="41630" hidden="1" x14ac:dyDescent="0.25"/>
    <row r="41631" hidden="1" x14ac:dyDescent="0.25"/>
    <row r="41632" hidden="1" x14ac:dyDescent="0.25"/>
    <row r="41633" hidden="1" x14ac:dyDescent="0.25"/>
    <row r="41634" hidden="1" x14ac:dyDescent="0.25"/>
    <row r="41635" hidden="1" x14ac:dyDescent="0.25"/>
    <row r="41636" hidden="1" x14ac:dyDescent="0.25"/>
    <row r="41637" hidden="1" x14ac:dyDescent="0.25"/>
    <row r="41638" hidden="1" x14ac:dyDescent="0.25"/>
    <row r="41639" hidden="1" x14ac:dyDescent="0.25"/>
    <row r="41640" hidden="1" x14ac:dyDescent="0.25"/>
    <row r="41641" hidden="1" x14ac:dyDescent="0.25"/>
    <row r="41642" hidden="1" x14ac:dyDescent="0.25"/>
    <row r="41643" hidden="1" x14ac:dyDescent="0.25"/>
    <row r="41644" hidden="1" x14ac:dyDescent="0.25"/>
    <row r="41645" hidden="1" x14ac:dyDescent="0.25"/>
    <row r="41646" hidden="1" x14ac:dyDescent="0.25"/>
    <row r="41647" hidden="1" x14ac:dyDescent="0.25"/>
    <row r="41648" hidden="1" x14ac:dyDescent="0.25"/>
    <row r="41649" hidden="1" x14ac:dyDescent="0.25"/>
    <row r="41650" hidden="1" x14ac:dyDescent="0.25"/>
    <row r="41651" hidden="1" x14ac:dyDescent="0.25"/>
    <row r="41652" hidden="1" x14ac:dyDescent="0.25"/>
    <row r="41653" hidden="1" x14ac:dyDescent="0.25"/>
    <row r="41654" hidden="1" x14ac:dyDescent="0.25"/>
    <row r="41655" hidden="1" x14ac:dyDescent="0.25"/>
    <row r="41656" hidden="1" x14ac:dyDescent="0.25"/>
    <row r="41657" hidden="1" x14ac:dyDescent="0.25"/>
    <row r="41658" hidden="1" x14ac:dyDescent="0.25"/>
    <row r="41659" hidden="1" x14ac:dyDescent="0.25"/>
    <row r="41660" hidden="1" x14ac:dyDescent="0.25"/>
    <row r="41661" hidden="1" x14ac:dyDescent="0.25"/>
    <row r="41662" hidden="1" x14ac:dyDescent="0.25"/>
    <row r="41663" hidden="1" x14ac:dyDescent="0.25"/>
    <row r="41664" hidden="1" x14ac:dyDescent="0.25"/>
    <row r="41665" hidden="1" x14ac:dyDescent="0.25"/>
    <row r="41666" hidden="1" x14ac:dyDescent="0.25"/>
    <row r="41667" hidden="1" x14ac:dyDescent="0.25"/>
    <row r="41668" hidden="1" x14ac:dyDescent="0.25"/>
    <row r="41669" hidden="1" x14ac:dyDescent="0.25"/>
    <row r="41670" hidden="1" x14ac:dyDescent="0.25"/>
    <row r="41671" hidden="1" x14ac:dyDescent="0.25"/>
    <row r="41672" hidden="1" x14ac:dyDescent="0.25"/>
    <row r="41673" hidden="1" x14ac:dyDescent="0.25"/>
    <row r="41674" hidden="1" x14ac:dyDescent="0.25"/>
    <row r="41675" hidden="1" x14ac:dyDescent="0.25"/>
    <row r="41676" hidden="1" x14ac:dyDescent="0.25"/>
    <row r="41677" hidden="1" x14ac:dyDescent="0.25"/>
    <row r="41678" hidden="1" x14ac:dyDescent="0.25"/>
    <row r="41679" hidden="1" x14ac:dyDescent="0.25"/>
    <row r="41680" hidden="1" x14ac:dyDescent="0.25"/>
    <row r="41681" hidden="1" x14ac:dyDescent="0.25"/>
    <row r="41682" hidden="1" x14ac:dyDescent="0.25"/>
    <row r="41683" hidden="1" x14ac:dyDescent="0.25"/>
    <row r="41684" hidden="1" x14ac:dyDescent="0.25"/>
    <row r="41685" hidden="1" x14ac:dyDescent="0.25"/>
    <row r="41686" hidden="1" x14ac:dyDescent="0.25"/>
    <row r="41687" hidden="1" x14ac:dyDescent="0.25"/>
    <row r="41688" hidden="1" x14ac:dyDescent="0.25"/>
    <row r="41689" hidden="1" x14ac:dyDescent="0.25"/>
    <row r="41690" hidden="1" x14ac:dyDescent="0.25"/>
    <row r="41691" hidden="1" x14ac:dyDescent="0.25"/>
    <row r="41692" hidden="1" x14ac:dyDescent="0.25"/>
    <row r="41693" hidden="1" x14ac:dyDescent="0.25"/>
    <row r="41694" hidden="1" x14ac:dyDescent="0.25"/>
    <row r="41695" hidden="1" x14ac:dyDescent="0.25"/>
    <row r="41696" hidden="1" x14ac:dyDescent="0.25"/>
    <row r="41697" hidden="1" x14ac:dyDescent="0.25"/>
    <row r="41698" hidden="1" x14ac:dyDescent="0.25"/>
    <row r="41699" hidden="1" x14ac:dyDescent="0.25"/>
    <row r="41700" hidden="1" x14ac:dyDescent="0.25"/>
    <row r="41701" hidden="1" x14ac:dyDescent="0.25"/>
    <row r="41702" hidden="1" x14ac:dyDescent="0.25"/>
    <row r="41703" hidden="1" x14ac:dyDescent="0.25"/>
    <row r="41704" hidden="1" x14ac:dyDescent="0.25"/>
    <row r="41705" hidden="1" x14ac:dyDescent="0.25"/>
    <row r="41706" hidden="1" x14ac:dyDescent="0.25"/>
    <row r="41707" hidden="1" x14ac:dyDescent="0.25"/>
    <row r="41708" hidden="1" x14ac:dyDescent="0.25"/>
    <row r="41709" hidden="1" x14ac:dyDescent="0.25"/>
    <row r="41710" hidden="1" x14ac:dyDescent="0.25"/>
    <row r="41711" hidden="1" x14ac:dyDescent="0.25"/>
    <row r="41712" hidden="1" x14ac:dyDescent="0.25"/>
    <row r="41713" hidden="1" x14ac:dyDescent="0.25"/>
    <row r="41714" hidden="1" x14ac:dyDescent="0.25"/>
    <row r="41715" hidden="1" x14ac:dyDescent="0.25"/>
    <row r="41716" hidden="1" x14ac:dyDescent="0.25"/>
    <row r="41717" hidden="1" x14ac:dyDescent="0.25"/>
    <row r="41718" hidden="1" x14ac:dyDescent="0.25"/>
    <row r="41719" hidden="1" x14ac:dyDescent="0.25"/>
    <row r="41720" hidden="1" x14ac:dyDescent="0.25"/>
    <row r="41721" hidden="1" x14ac:dyDescent="0.25"/>
    <row r="41722" hidden="1" x14ac:dyDescent="0.25"/>
    <row r="41723" hidden="1" x14ac:dyDescent="0.25"/>
    <row r="41724" hidden="1" x14ac:dyDescent="0.25"/>
    <row r="41725" hidden="1" x14ac:dyDescent="0.25"/>
    <row r="41726" hidden="1" x14ac:dyDescent="0.25"/>
    <row r="41727" hidden="1" x14ac:dyDescent="0.25"/>
    <row r="41728" hidden="1" x14ac:dyDescent="0.25"/>
    <row r="41729" hidden="1" x14ac:dyDescent="0.25"/>
    <row r="41730" hidden="1" x14ac:dyDescent="0.25"/>
    <row r="41731" hidden="1" x14ac:dyDescent="0.25"/>
    <row r="41732" hidden="1" x14ac:dyDescent="0.25"/>
    <row r="41733" hidden="1" x14ac:dyDescent="0.25"/>
    <row r="41734" hidden="1" x14ac:dyDescent="0.25"/>
    <row r="41735" hidden="1" x14ac:dyDescent="0.25"/>
    <row r="41736" hidden="1" x14ac:dyDescent="0.25"/>
    <row r="41737" hidden="1" x14ac:dyDescent="0.25"/>
    <row r="41738" hidden="1" x14ac:dyDescent="0.25"/>
    <row r="41739" hidden="1" x14ac:dyDescent="0.25"/>
    <row r="41740" hidden="1" x14ac:dyDescent="0.25"/>
    <row r="41741" hidden="1" x14ac:dyDescent="0.25"/>
    <row r="41742" hidden="1" x14ac:dyDescent="0.25"/>
    <row r="41743" hidden="1" x14ac:dyDescent="0.25"/>
    <row r="41744" hidden="1" x14ac:dyDescent="0.25"/>
    <row r="41745" hidden="1" x14ac:dyDescent="0.25"/>
    <row r="41746" hidden="1" x14ac:dyDescent="0.25"/>
    <row r="41747" hidden="1" x14ac:dyDescent="0.25"/>
    <row r="41748" hidden="1" x14ac:dyDescent="0.25"/>
    <row r="41749" hidden="1" x14ac:dyDescent="0.25"/>
    <row r="41750" hidden="1" x14ac:dyDescent="0.25"/>
    <row r="41751" hidden="1" x14ac:dyDescent="0.25"/>
    <row r="41752" hidden="1" x14ac:dyDescent="0.25"/>
    <row r="41753" hidden="1" x14ac:dyDescent="0.25"/>
    <row r="41754" hidden="1" x14ac:dyDescent="0.25"/>
    <row r="41755" hidden="1" x14ac:dyDescent="0.25"/>
    <row r="41756" hidden="1" x14ac:dyDescent="0.25"/>
    <row r="41757" hidden="1" x14ac:dyDescent="0.25"/>
    <row r="41758" hidden="1" x14ac:dyDescent="0.25"/>
    <row r="41759" hidden="1" x14ac:dyDescent="0.25"/>
    <row r="41760" hidden="1" x14ac:dyDescent="0.25"/>
    <row r="41761" hidden="1" x14ac:dyDescent="0.25"/>
    <row r="41762" hidden="1" x14ac:dyDescent="0.25"/>
    <row r="41763" hidden="1" x14ac:dyDescent="0.25"/>
    <row r="41764" hidden="1" x14ac:dyDescent="0.25"/>
    <row r="41765" hidden="1" x14ac:dyDescent="0.25"/>
    <row r="41766" hidden="1" x14ac:dyDescent="0.25"/>
    <row r="41767" hidden="1" x14ac:dyDescent="0.25"/>
    <row r="41768" hidden="1" x14ac:dyDescent="0.25"/>
    <row r="41769" hidden="1" x14ac:dyDescent="0.25"/>
    <row r="41770" hidden="1" x14ac:dyDescent="0.25"/>
    <row r="41771" hidden="1" x14ac:dyDescent="0.25"/>
    <row r="41772" hidden="1" x14ac:dyDescent="0.25"/>
    <row r="41773" hidden="1" x14ac:dyDescent="0.25"/>
    <row r="41774" hidden="1" x14ac:dyDescent="0.25"/>
    <row r="41775" hidden="1" x14ac:dyDescent="0.25"/>
    <row r="41776" hidden="1" x14ac:dyDescent="0.25"/>
    <row r="41777" hidden="1" x14ac:dyDescent="0.25"/>
    <row r="41778" hidden="1" x14ac:dyDescent="0.25"/>
    <row r="41779" hidden="1" x14ac:dyDescent="0.25"/>
    <row r="41780" hidden="1" x14ac:dyDescent="0.25"/>
    <row r="41781" hidden="1" x14ac:dyDescent="0.25"/>
    <row r="41782" hidden="1" x14ac:dyDescent="0.25"/>
    <row r="41783" hidden="1" x14ac:dyDescent="0.25"/>
    <row r="41784" hidden="1" x14ac:dyDescent="0.25"/>
    <row r="41785" hidden="1" x14ac:dyDescent="0.25"/>
    <row r="41786" hidden="1" x14ac:dyDescent="0.25"/>
    <row r="41787" hidden="1" x14ac:dyDescent="0.25"/>
    <row r="41788" hidden="1" x14ac:dyDescent="0.25"/>
    <row r="41789" hidden="1" x14ac:dyDescent="0.25"/>
    <row r="41790" hidden="1" x14ac:dyDescent="0.25"/>
    <row r="41791" hidden="1" x14ac:dyDescent="0.25"/>
    <row r="41792" hidden="1" x14ac:dyDescent="0.25"/>
    <row r="41793" hidden="1" x14ac:dyDescent="0.25"/>
    <row r="41794" hidden="1" x14ac:dyDescent="0.25"/>
    <row r="41795" hidden="1" x14ac:dyDescent="0.25"/>
    <row r="41796" hidden="1" x14ac:dyDescent="0.25"/>
    <row r="41797" hidden="1" x14ac:dyDescent="0.25"/>
    <row r="41798" hidden="1" x14ac:dyDescent="0.25"/>
    <row r="41799" hidden="1" x14ac:dyDescent="0.25"/>
    <row r="41800" hidden="1" x14ac:dyDescent="0.25"/>
    <row r="41801" hidden="1" x14ac:dyDescent="0.25"/>
    <row r="41802" hidden="1" x14ac:dyDescent="0.25"/>
    <row r="41803" hidden="1" x14ac:dyDescent="0.25"/>
    <row r="41804" hidden="1" x14ac:dyDescent="0.25"/>
    <row r="41805" hidden="1" x14ac:dyDescent="0.25"/>
    <row r="41806" hidden="1" x14ac:dyDescent="0.25"/>
    <row r="41807" hidden="1" x14ac:dyDescent="0.25"/>
    <row r="41808" hidden="1" x14ac:dyDescent="0.25"/>
    <row r="41809" hidden="1" x14ac:dyDescent="0.25"/>
    <row r="41810" hidden="1" x14ac:dyDescent="0.25"/>
    <row r="41811" hidden="1" x14ac:dyDescent="0.25"/>
    <row r="41812" hidden="1" x14ac:dyDescent="0.25"/>
    <row r="41813" hidden="1" x14ac:dyDescent="0.25"/>
    <row r="41814" hidden="1" x14ac:dyDescent="0.25"/>
    <row r="41815" hidden="1" x14ac:dyDescent="0.25"/>
    <row r="41816" hidden="1" x14ac:dyDescent="0.25"/>
    <row r="41817" hidden="1" x14ac:dyDescent="0.25"/>
    <row r="41818" hidden="1" x14ac:dyDescent="0.25"/>
    <row r="41819" hidden="1" x14ac:dyDescent="0.25"/>
    <row r="41820" hidden="1" x14ac:dyDescent="0.25"/>
    <row r="41821" hidden="1" x14ac:dyDescent="0.25"/>
    <row r="41822" hidden="1" x14ac:dyDescent="0.25"/>
    <row r="41823" hidden="1" x14ac:dyDescent="0.25"/>
    <row r="41824" hidden="1" x14ac:dyDescent="0.25"/>
    <row r="41825" hidden="1" x14ac:dyDescent="0.25"/>
    <row r="41826" hidden="1" x14ac:dyDescent="0.25"/>
    <row r="41827" hidden="1" x14ac:dyDescent="0.25"/>
    <row r="41828" hidden="1" x14ac:dyDescent="0.25"/>
    <row r="41829" hidden="1" x14ac:dyDescent="0.25"/>
    <row r="41830" hidden="1" x14ac:dyDescent="0.25"/>
    <row r="41831" hidden="1" x14ac:dyDescent="0.25"/>
    <row r="41832" hidden="1" x14ac:dyDescent="0.25"/>
    <row r="41833" hidden="1" x14ac:dyDescent="0.25"/>
    <row r="41834" hidden="1" x14ac:dyDescent="0.25"/>
    <row r="41835" hidden="1" x14ac:dyDescent="0.25"/>
    <row r="41836" hidden="1" x14ac:dyDescent="0.25"/>
    <row r="41837" hidden="1" x14ac:dyDescent="0.25"/>
    <row r="41838" hidden="1" x14ac:dyDescent="0.25"/>
    <row r="41839" hidden="1" x14ac:dyDescent="0.25"/>
    <row r="41840" hidden="1" x14ac:dyDescent="0.25"/>
    <row r="41841" hidden="1" x14ac:dyDescent="0.25"/>
    <row r="41842" hidden="1" x14ac:dyDescent="0.25"/>
    <row r="41843" hidden="1" x14ac:dyDescent="0.25"/>
    <row r="41844" hidden="1" x14ac:dyDescent="0.25"/>
    <row r="41845" hidden="1" x14ac:dyDescent="0.25"/>
    <row r="41846" hidden="1" x14ac:dyDescent="0.25"/>
    <row r="41847" hidden="1" x14ac:dyDescent="0.25"/>
    <row r="41848" hidden="1" x14ac:dyDescent="0.25"/>
    <row r="41849" hidden="1" x14ac:dyDescent="0.25"/>
    <row r="41850" hidden="1" x14ac:dyDescent="0.25"/>
    <row r="41851" hidden="1" x14ac:dyDescent="0.25"/>
    <row r="41852" hidden="1" x14ac:dyDescent="0.25"/>
    <row r="41853" hidden="1" x14ac:dyDescent="0.25"/>
    <row r="41854" hidden="1" x14ac:dyDescent="0.25"/>
    <row r="41855" hidden="1" x14ac:dyDescent="0.25"/>
    <row r="41856" hidden="1" x14ac:dyDescent="0.25"/>
    <row r="41857" hidden="1" x14ac:dyDescent="0.25"/>
    <row r="41858" hidden="1" x14ac:dyDescent="0.25"/>
    <row r="41859" hidden="1" x14ac:dyDescent="0.25"/>
    <row r="41860" hidden="1" x14ac:dyDescent="0.25"/>
    <row r="41861" hidden="1" x14ac:dyDescent="0.25"/>
    <row r="41862" hidden="1" x14ac:dyDescent="0.25"/>
    <row r="41863" hidden="1" x14ac:dyDescent="0.25"/>
    <row r="41864" hidden="1" x14ac:dyDescent="0.25"/>
    <row r="41865" hidden="1" x14ac:dyDescent="0.25"/>
    <row r="41866" hidden="1" x14ac:dyDescent="0.25"/>
    <row r="41867" hidden="1" x14ac:dyDescent="0.25"/>
    <row r="41868" hidden="1" x14ac:dyDescent="0.25"/>
    <row r="41869" hidden="1" x14ac:dyDescent="0.25"/>
    <row r="41870" hidden="1" x14ac:dyDescent="0.25"/>
    <row r="41871" hidden="1" x14ac:dyDescent="0.25"/>
    <row r="41872" hidden="1" x14ac:dyDescent="0.25"/>
    <row r="41873" hidden="1" x14ac:dyDescent="0.25"/>
    <row r="41874" hidden="1" x14ac:dyDescent="0.25"/>
    <row r="41875" hidden="1" x14ac:dyDescent="0.25"/>
    <row r="41876" hidden="1" x14ac:dyDescent="0.25"/>
    <row r="41877" hidden="1" x14ac:dyDescent="0.25"/>
    <row r="41878" hidden="1" x14ac:dyDescent="0.25"/>
    <row r="41879" hidden="1" x14ac:dyDescent="0.25"/>
    <row r="41880" hidden="1" x14ac:dyDescent="0.25"/>
    <row r="41881" hidden="1" x14ac:dyDescent="0.25"/>
    <row r="41882" hidden="1" x14ac:dyDescent="0.25"/>
    <row r="41883" hidden="1" x14ac:dyDescent="0.25"/>
    <row r="41884" hidden="1" x14ac:dyDescent="0.25"/>
    <row r="41885" hidden="1" x14ac:dyDescent="0.25"/>
    <row r="41886" hidden="1" x14ac:dyDescent="0.25"/>
    <row r="41887" hidden="1" x14ac:dyDescent="0.25"/>
    <row r="41888" hidden="1" x14ac:dyDescent="0.25"/>
    <row r="41889" hidden="1" x14ac:dyDescent="0.25"/>
    <row r="41890" hidden="1" x14ac:dyDescent="0.25"/>
    <row r="41891" hidden="1" x14ac:dyDescent="0.25"/>
    <row r="41892" hidden="1" x14ac:dyDescent="0.25"/>
    <row r="41893" hidden="1" x14ac:dyDescent="0.25"/>
    <row r="41894" hidden="1" x14ac:dyDescent="0.25"/>
    <row r="41895" hidden="1" x14ac:dyDescent="0.25"/>
    <row r="41896" hidden="1" x14ac:dyDescent="0.25"/>
    <row r="41897" hidden="1" x14ac:dyDescent="0.25"/>
    <row r="41898" hidden="1" x14ac:dyDescent="0.25"/>
    <row r="41899" hidden="1" x14ac:dyDescent="0.25"/>
    <row r="41900" hidden="1" x14ac:dyDescent="0.25"/>
    <row r="41901" hidden="1" x14ac:dyDescent="0.25"/>
    <row r="41902" hidden="1" x14ac:dyDescent="0.25"/>
    <row r="41903" hidden="1" x14ac:dyDescent="0.25"/>
    <row r="41904" hidden="1" x14ac:dyDescent="0.25"/>
    <row r="41905" hidden="1" x14ac:dyDescent="0.25"/>
    <row r="41906" hidden="1" x14ac:dyDescent="0.25"/>
    <row r="41907" hidden="1" x14ac:dyDescent="0.25"/>
    <row r="41908" hidden="1" x14ac:dyDescent="0.25"/>
    <row r="41909" hidden="1" x14ac:dyDescent="0.25"/>
    <row r="41910" hidden="1" x14ac:dyDescent="0.25"/>
    <row r="41911" hidden="1" x14ac:dyDescent="0.25"/>
    <row r="41912" hidden="1" x14ac:dyDescent="0.25"/>
    <row r="41913" hidden="1" x14ac:dyDescent="0.25"/>
    <row r="41914" hidden="1" x14ac:dyDescent="0.25"/>
    <row r="41915" hidden="1" x14ac:dyDescent="0.25"/>
    <row r="41916" hidden="1" x14ac:dyDescent="0.25"/>
    <row r="41917" hidden="1" x14ac:dyDescent="0.25"/>
    <row r="41918" hidden="1" x14ac:dyDescent="0.25"/>
    <row r="41919" hidden="1" x14ac:dyDescent="0.25"/>
    <row r="41920" hidden="1" x14ac:dyDescent="0.25"/>
    <row r="41921" hidden="1" x14ac:dyDescent="0.25"/>
    <row r="41922" hidden="1" x14ac:dyDescent="0.25"/>
    <row r="41923" hidden="1" x14ac:dyDescent="0.25"/>
    <row r="41924" hidden="1" x14ac:dyDescent="0.25"/>
    <row r="41925" hidden="1" x14ac:dyDescent="0.25"/>
    <row r="41926" hidden="1" x14ac:dyDescent="0.25"/>
    <row r="41927" hidden="1" x14ac:dyDescent="0.25"/>
    <row r="41928" hidden="1" x14ac:dyDescent="0.25"/>
    <row r="41929" hidden="1" x14ac:dyDescent="0.25"/>
    <row r="41930" hidden="1" x14ac:dyDescent="0.25"/>
    <row r="41931" hidden="1" x14ac:dyDescent="0.25"/>
    <row r="41932" hidden="1" x14ac:dyDescent="0.25"/>
    <row r="41933" hidden="1" x14ac:dyDescent="0.25"/>
    <row r="41934" hidden="1" x14ac:dyDescent="0.25"/>
    <row r="41935" hidden="1" x14ac:dyDescent="0.25"/>
    <row r="41936" hidden="1" x14ac:dyDescent="0.25"/>
    <row r="41937" hidden="1" x14ac:dyDescent="0.25"/>
    <row r="41938" hidden="1" x14ac:dyDescent="0.25"/>
    <row r="41939" hidden="1" x14ac:dyDescent="0.25"/>
    <row r="41940" hidden="1" x14ac:dyDescent="0.25"/>
    <row r="41941" hidden="1" x14ac:dyDescent="0.25"/>
    <row r="41942" hidden="1" x14ac:dyDescent="0.25"/>
    <row r="41943" hidden="1" x14ac:dyDescent="0.25"/>
    <row r="41944" hidden="1" x14ac:dyDescent="0.25"/>
    <row r="41945" hidden="1" x14ac:dyDescent="0.25"/>
    <row r="41946" hidden="1" x14ac:dyDescent="0.25"/>
    <row r="41947" hidden="1" x14ac:dyDescent="0.25"/>
    <row r="41948" hidden="1" x14ac:dyDescent="0.25"/>
    <row r="41949" hidden="1" x14ac:dyDescent="0.25"/>
    <row r="41950" hidden="1" x14ac:dyDescent="0.25"/>
    <row r="41951" hidden="1" x14ac:dyDescent="0.25"/>
    <row r="41952" hidden="1" x14ac:dyDescent="0.25"/>
    <row r="41953" hidden="1" x14ac:dyDescent="0.25"/>
    <row r="41954" hidden="1" x14ac:dyDescent="0.25"/>
    <row r="41955" hidden="1" x14ac:dyDescent="0.25"/>
    <row r="41956" hidden="1" x14ac:dyDescent="0.25"/>
    <row r="41957" hidden="1" x14ac:dyDescent="0.25"/>
    <row r="41958" hidden="1" x14ac:dyDescent="0.25"/>
    <row r="41959" hidden="1" x14ac:dyDescent="0.25"/>
    <row r="41960" hidden="1" x14ac:dyDescent="0.25"/>
    <row r="41961" hidden="1" x14ac:dyDescent="0.25"/>
    <row r="41962" hidden="1" x14ac:dyDescent="0.25"/>
    <row r="41963" hidden="1" x14ac:dyDescent="0.25"/>
    <row r="41964" hidden="1" x14ac:dyDescent="0.25"/>
    <row r="41965" hidden="1" x14ac:dyDescent="0.25"/>
    <row r="41966" hidden="1" x14ac:dyDescent="0.25"/>
    <row r="41967" hidden="1" x14ac:dyDescent="0.25"/>
    <row r="41968" hidden="1" x14ac:dyDescent="0.25"/>
    <row r="41969" hidden="1" x14ac:dyDescent="0.25"/>
    <row r="41970" hidden="1" x14ac:dyDescent="0.25"/>
    <row r="41971" hidden="1" x14ac:dyDescent="0.25"/>
    <row r="41972" hidden="1" x14ac:dyDescent="0.25"/>
    <row r="41973" hidden="1" x14ac:dyDescent="0.25"/>
    <row r="41974" hidden="1" x14ac:dyDescent="0.25"/>
    <row r="41975" hidden="1" x14ac:dyDescent="0.25"/>
    <row r="41976" hidden="1" x14ac:dyDescent="0.25"/>
    <row r="41977" hidden="1" x14ac:dyDescent="0.25"/>
    <row r="41978" hidden="1" x14ac:dyDescent="0.25"/>
    <row r="41979" hidden="1" x14ac:dyDescent="0.25"/>
    <row r="41980" hidden="1" x14ac:dyDescent="0.25"/>
    <row r="41981" hidden="1" x14ac:dyDescent="0.25"/>
    <row r="41982" hidden="1" x14ac:dyDescent="0.25"/>
    <row r="41983" hidden="1" x14ac:dyDescent="0.25"/>
    <row r="41984" hidden="1" x14ac:dyDescent="0.25"/>
    <row r="41985" hidden="1" x14ac:dyDescent="0.25"/>
    <row r="41986" hidden="1" x14ac:dyDescent="0.25"/>
    <row r="41987" hidden="1" x14ac:dyDescent="0.25"/>
    <row r="41988" hidden="1" x14ac:dyDescent="0.25"/>
    <row r="41989" hidden="1" x14ac:dyDescent="0.25"/>
    <row r="41990" hidden="1" x14ac:dyDescent="0.25"/>
    <row r="41991" hidden="1" x14ac:dyDescent="0.25"/>
    <row r="41992" hidden="1" x14ac:dyDescent="0.25"/>
    <row r="41993" hidden="1" x14ac:dyDescent="0.25"/>
    <row r="41994" hidden="1" x14ac:dyDescent="0.25"/>
    <row r="41995" hidden="1" x14ac:dyDescent="0.25"/>
    <row r="41996" hidden="1" x14ac:dyDescent="0.25"/>
    <row r="41997" hidden="1" x14ac:dyDescent="0.25"/>
    <row r="41998" hidden="1" x14ac:dyDescent="0.25"/>
    <row r="41999" hidden="1" x14ac:dyDescent="0.25"/>
    <row r="42000" hidden="1" x14ac:dyDescent="0.25"/>
    <row r="42001" hidden="1" x14ac:dyDescent="0.25"/>
    <row r="42002" hidden="1" x14ac:dyDescent="0.25"/>
    <row r="42003" hidden="1" x14ac:dyDescent="0.25"/>
    <row r="42004" hidden="1" x14ac:dyDescent="0.25"/>
    <row r="42005" hidden="1" x14ac:dyDescent="0.25"/>
    <row r="42006" hidden="1" x14ac:dyDescent="0.25"/>
    <row r="42007" hidden="1" x14ac:dyDescent="0.25"/>
    <row r="42008" hidden="1" x14ac:dyDescent="0.25"/>
    <row r="42009" hidden="1" x14ac:dyDescent="0.25"/>
    <row r="42010" hidden="1" x14ac:dyDescent="0.25"/>
    <row r="42011" hidden="1" x14ac:dyDescent="0.25"/>
    <row r="42012" hidden="1" x14ac:dyDescent="0.25"/>
    <row r="42013" hidden="1" x14ac:dyDescent="0.25"/>
    <row r="42014" hidden="1" x14ac:dyDescent="0.25"/>
    <row r="42015" hidden="1" x14ac:dyDescent="0.25"/>
    <row r="42016" hidden="1" x14ac:dyDescent="0.25"/>
    <row r="42017" hidden="1" x14ac:dyDescent="0.25"/>
    <row r="42018" hidden="1" x14ac:dyDescent="0.25"/>
    <row r="42019" hidden="1" x14ac:dyDescent="0.25"/>
    <row r="42020" hidden="1" x14ac:dyDescent="0.25"/>
    <row r="42021" hidden="1" x14ac:dyDescent="0.25"/>
    <row r="42022" hidden="1" x14ac:dyDescent="0.25"/>
    <row r="42023" hidden="1" x14ac:dyDescent="0.25"/>
    <row r="42024" hidden="1" x14ac:dyDescent="0.25"/>
    <row r="42025" hidden="1" x14ac:dyDescent="0.25"/>
    <row r="42026" hidden="1" x14ac:dyDescent="0.25"/>
    <row r="42027" hidden="1" x14ac:dyDescent="0.25"/>
    <row r="42028" hidden="1" x14ac:dyDescent="0.25"/>
    <row r="42029" hidden="1" x14ac:dyDescent="0.25"/>
    <row r="42030" hidden="1" x14ac:dyDescent="0.25"/>
    <row r="42031" hidden="1" x14ac:dyDescent="0.25"/>
    <row r="42032" hidden="1" x14ac:dyDescent="0.25"/>
    <row r="42033" hidden="1" x14ac:dyDescent="0.25"/>
    <row r="42034" hidden="1" x14ac:dyDescent="0.25"/>
    <row r="42035" hidden="1" x14ac:dyDescent="0.25"/>
    <row r="42036" hidden="1" x14ac:dyDescent="0.25"/>
    <row r="42037" hidden="1" x14ac:dyDescent="0.25"/>
    <row r="42038" hidden="1" x14ac:dyDescent="0.25"/>
    <row r="42039" hidden="1" x14ac:dyDescent="0.25"/>
    <row r="42040" hidden="1" x14ac:dyDescent="0.25"/>
    <row r="42041" hidden="1" x14ac:dyDescent="0.25"/>
    <row r="42042" hidden="1" x14ac:dyDescent="0.25"/>
    <row r="42043" hidden="1" x14ac:dyDescent="0.25"/>
    <row r="42044" hidden="1" x14ac:dyDescent="0.25"/>
    <row r="42045" hidden="1" x14ac:dyDescent="0.25"/>
    <row r="42046" hidden="1" x14ac:dyDescent="0.25"/>
    <row r="42047" hidden="1" x14ac:dyDescent="0.25"/>
    <row r="42048" hidden="1" x14ac:dyDescent="0.25"/>
    <row r="42049" hidden="1" x14ac:dyDescent="0.25"/>
    <row r="42050" hidden="1" x14ac:dyDescent="0.25"/>
    <row r="42051" hidden="1" x14ac:dyDescent="0.25"/>
    <row r="42052" hidden="1" x14ac:dyDescent="0.25"/>
    <row r="42053" hidden="1" x14ac:dyDescent="0.25"/>
    <row r="42054" hidden="1" x14ac:dyDescent="0.25"/>
    <row r="42055" hidden="1" x14ac:dyDescent="0.25"/>
    <row r="42056" hidden="1" x14ac:dyDescent="0.25"/>
    <row r="42057" hidden="1" x14ac:dyDescent="0.25"/>
    <row r="42058" hidden="1" x14ac:dyDescent="0.25"/>
    <row r="42059" hidden="1" x14ac:dyDescent="0.25"/>
    <row r="42060" hidden="1" x14ac:dyDescent="0.25"/>
    <row r="42061" hidden="1" x14ac:dyDescent="0.25"/>
    <row r="42062" hidden="1" x14ac:dyDescent="0.25"/>
    <row r="42063" hidden="1" x14ac:dyDescent="0.25"/>
    <row r="42064" hidden="1" x14ac:dyDescent="0.25"/>
    <row r="42065" hidden="1" x14ac:dyDescent="0.25"/>
    <row r="42066" hidden="1" x14ac:dyDescent="0.25"/>
    <row r="42067" hidden="1" x14ac:dyDescent="0.25"/>
    <row r="42068" hidden="1" x14ac:dyDescent="0.25"/>
    <row r="42069" hidden="1" x14ac:dyDescent="0.25"/>
    <row r="42070" hidden="1" x14ac:dyDescent="0.25"/>
    <row r="42071" hidden="1" x14ac:dyDescent="0.25"/>
    <row r="42072" hidden="1" x14ac:dyDescent="0.25"/>
    <row r="42073" hidden="1" x14ac:dyDescent="0.25"/>
    <row r="42074" hidden="1" x14ac:dyDescent="0.25"/>
    <row r="42075" hidden="1" x14ac:dyDescent="0.25"/>
    <row r="42076" hidden="1" x14ac:dyDescent="0.25"/>
    <row r="42077" hidden="1" x14ac:dyDescent="0.25"/>
    <row r="42078" hidden="1" x14ac:dyDescent="0.25"/>
    <row r="42079" hidden="1" x14ac:dyDescent="0.25"/>
    <row r="42080" hidden="1" x14ac:dyDescent="0.25"/>
    <row r="42081" hidden="1" x14ac:dyDescent="0.25"/>
    <row r="42082" hidden="1" x14ac:dyDescent="0.25"/>
    <row r="42083" hidden="1" x14ac:dyDescent="0.25"/>
    <row r="42084" hidden="1" x14ac:dyDescent="0.25"/>
    <row r="42085" hidden="1" x14ac:dyDescent="0.25"/>
    <row r="42086" hidden="1" x14ac:dyDescent="0.25"/>
    <row r="42087" hidden="1" x14ac:dyDescent="0.25"/>
    <row r="42088" hidden="1" x14ac:dyDescent="0.25"/>
    <row r="42089" hidden="1" x14ac:dyDescent="0.25"/>
    <row r="42090" hidden="1" x14ac:dyDescent="0.25"/>
    <row r="42091" hidden="1" x14ac:dyDescent="0.25"/>
    <row r="42092" hidden="1" x14ac:dyDescent="0.25"/>
    <row r="42093" hidden="1" x14ac:dyDescent="0.25"/>
    <row r="42094" hidden="1" x14ac:dyDescent="0.25"/>
    <row r="42095" hidden="1" x14ac:dyDescent="0.25"/>
    <row r="42096" hidden="1" x14ac:dyDescent="0.25"/>
    <row r="42097" hidden="1" x14ac:dyDescent="0.25"/>
    <row r="42098" hidden="1" x14ac:dyDescent="0.25"/>
    <row r="42099" hidden="1" x14ac:dyDescent="0.25"/>
    <row r="42100" hidden="1" x14ac:dyDescent="0.25"/>
    <row r="42101" hidden="1" x14ac:dyDescent="0.25"/>
    <row r="42102" hidden="1" x14ac:dyDescent="0.25"/>
    <row r="42103" hidden="1" x14ac:dyDescent="0.25"/>
    <row r="42104" hidden="1" x14ac:dyDescent="0.25"/>
    <row r="42105" hidden="1" x14ac:dyDescent="0.25"/>
    <row r="42106" hidden="1" x14ac:dyDescent="0.25"/>
    <row r="42107" hidden="1" x14ac:dyDescent="0.25"/>
    <row r="42108" hidden="1" x14ac:dyDescent="0.25"/>
    <row r="42109" hidden="1" x14ac:dyDescent="0.25"/>
    <row r="42110" hidden="1" x14ac:dyDescent="0.25"/>
    <row r="42111" hidden="1" x14ac:dyDescent="0.25"/>
    <row r="42112" hidden="1" x14ac:dyDescent="0.25"/>
    <row r="42113" hidden="1" x14ac:dyDescent="0.25"/>
    <row r="42114" hidden="1" x14ac:dyDescent="0.25"/>
    <row r="42115" hidden="1" x14ac:dyDescent="0.25"/>
    <row r="42116" hidden="1" x14ac:dyDescent="0.25"/>
    <row r="42117" hidden="1" x14ac:dyDescent="0.25"/>
    <row r="42118" hidden="1" x14ac:dyDescent="0.25"/>
    <row r="42119" hidden="1" x14ac:dyDescent="0.25"/>
    <row r="42120" hidden="1" x14ac:dyDescent="0.25"/>
    <row r="42121" hidden="1" x14ac:dyDescent="0.25"/>
    <row r="42122" hidden="1" x14ac:dyDescent="0.25"/>
    <row r="42123" hidden="1" x14ac:dyDescent="0.25"/>
    <row r="42124" hidden="1" x14ac:dyDescent="0.25"/>
    <row r="42125" hidden="1" x14ac:dyDescent="0.25"/>
    <row r="42126" hidden="1" x14ac:dyDescent="0.25"/>
    <row r="42127" hidden="1" x14ac:dyDescent="0.25"/>
    <row r="42128" hidden="1" x14ac:dyDescent="0.25"/>
    <row r="42129" hidden="1" x14ac:dyDescent="0.25"/>
    <row r="42130" hidden="1" x14ac:dyDescent="0.25"/>
    <row r="42131" hidden="1" x14ac:dyDescent="0.25"/>
    <row r="42132" hidden="1" x14ac:dyDescent="0.25"/>
    <row r="42133" hidden="1" x14ac:dyDescent="0.25"/>
    <row r="42134" hidden="1" x14ac:dyDescent="0.25"/>
    <row r="42135" hidden="1" x14ac:dyDescent="0.25"/>
    <row r="42136" hidden="1" x14ac:dyDescent="0.25"/>
    <row r="42137" hidden="1" x14ac:dyDescent="0.25"/>
    <row r="42138" hidden="1" x14ac:dyDescent="0.25"/>
    <row r="42139" hidden="1" x14ac:dyDescent="0.25"/>
    <row r="42140" hidden="1" x14ac:dyDescent="0.25"/>
    <row r="42141" hidden="1" x14ac:dyDescent="0.25"/>
    <row r="42142" hidden="1" x14ac:dyDescent="0.25"/>
    <row r="42143" hidden="1" x14ac:dyDescent="0.25"/>
    <row r="42144" hidden="1" x14ac:dyDescent="0.25"/>
    <row r="42145" hidden="1" x14ac:dyDescent="0.25"/>
    <row r="42146" hidden="1" x14ac:dyDescent="0.25"/>
    <row r="42147" hidden="1" x14ac:dyDescent="0.25"/>
    <row r="42148" hidden="1" x14ac:dyDescent="0.25"/>
    <row r="42149" hidden="1" x14ac:dyDescent="0.25"/>
    <row r="42150" hidden="1" x14ac:dyDescent="0.25"/>
    <row r="42151" hidden="1" x14ac:dyDescent="0.25"/>
    <row r="42152" hidden="1" x14ac:dyDescent="0.25"/>
    <row r="42153" hidden="1" x14ac:dyDescent="0.25"/>
    <row r="42154" hidden="1" x14ac:dyDescent="0.25"/>
    <row r="42155" hidden="1" x14ac:dyDescent="0.25"/>
    <row r="42156" hidden="1" x14ac:dyDescent="0.25"/>
    <row r="42157" hidden="1" x14ac:dyDescent="0.25"/>
    <row r="42158" hidden="1" x14ac:dyDescent="0.25"/>
    <row r="42159" hidden="1" x14ac:dyDescent="0.25"/>
    <row r="42160" hidden="1" x14ac:dyDescent="0.25"/>
    <row r="42161" hidden="1" x14ac:dyDescent="0.25"/>
    <row r="42162" hidden="1" x14ac:dyDescent="0.25"/>
    <row r="42163" hidden="1" x14ac:dyDescent="0.25"/>
    <row r="42164" hidden="1" x14ac:dyDescent="0.25"/>
    <row r="42165" hidden="1" x14ac:dyDescent="0.25"/>
    <row r="42166" hidden="1" x14ac:dyDescent="0.25"/>
    <row r="42167" hidden="1" x14ac:dyDescent="0.25"/>
    <row r="42168" hidden="1" x14ac:dyDescent="0.25"/>
    <row r="42169" hidden="1" x14ac:dyDescent="0.25"/>
    <row r="42170" hidden="1" x14ac:dyDescent="0.25"/>
    <row r="42171" hidden="1" x14ac:dyDescent="0.25"/>
    <row r="42172" hidden="1" x14ac:dyDescent="0.25"/>
    <row r="42173" hidden="1" x14ac:dyDescent="0.25"/>
    <row r="42174" hidden="1" x14ac:dyDescent="0.25"/>
    <row r="42175" hidden="1" x14ac:dyDescent="0.25"/>
    <row r="42176" hidden="1" x14ac:dyDescent="0.25"/>
    <row r="42177" hidden="1" x14ac:dyDescent="0.25"/>
    <row r="42178" hidden="1" x14ac:dyDescent="0.25"/>
    <row r="42179" hidden="1" x14ac:dyDescent="0.25"/>
    <row r="42180" hidden="1" x14ac:dyDescent="0.25"/>
    <row r="42181" hidden="1" x14ac:dyDescent="0.25"/>
    <row r="42182" hidden="1" x14ac:dyDescent="0.25"/>
    <row r="42183" hidden="1" x14ac:dyDescent="0.25"/>
    <row r="42184" hidden="1" x14ac:dyDescent="0.25"/>
    <row r="42185" hidden="1" x14ac:dyDescent="0.25"/>
    <row r="42186" hidden="1" x14ac:dyDescent="0.25"/>
    <row r="42187" hidden="1" x14ac:dyDescent="0.25"/>
    <row r="42188" hidden="1" x14ac:dyDescent="0.25"/>
    <row r="42189" hidden="1" x14ac:dyDescent="0.25"/>
    <row r="42190" hidden="1" x14ac:dyDescent="0.25"/>
    <row r="42191" hidden="1" x14ac:dyDescent="0.25"/>
    <row r="42192" hidden="1" x14ac:dyDescent="0.25"/>
    <row r="42193" hidden="1" x14ac:dyDescent="0.25"/>
    <row r="42194" hidden="1" x14ac:dyDescent="0.25"/>
    <row r="42195" hidden="1" x14ac:dyDescent="0.25"/>
    <row r="42196" hidden="1" x14ac:dyDescent="0.25"/>
    <row r="42197" hidden="1" x14ac:dyDescent="0.25"/>
    <row r="42198" hidden="1" x14ac:dyDescent="0.25"/>
    <row r="42199" hidden="1" x14ac:dyDescent="0.25"/>
    <row r="42200" hidden="1" x14ac:dyDescent="0.25"/>
    <row r="42201" hidden="1" x14ac:dyDescent="0.25"/>
    <row r="42202" hidden="1" x14ac:dyDescent="0.25"/>
    <row r="42203" hidden="1" x14ac:dyDescent="0.25"/>
    <row r="42204" hidden="1" x14ac:dyDescent="0.25"/>
    <row r="42205" hidden="1" x14ac:dyDescent="0.25"/>
    <row r="42206" hidden="1" x14ac:dyDescent="0.25"/>
    <row r="42207" hidden="1" x14ac:dyDescent="0.25"/>
    <row r="42208" hidden="1" x14ac:dyDescent="0.25"/>
    <row r="42209" hidden="1" x14ac:dyDescent="0.25"/>
    <row r="42210" hidden="1" x14ac:dyDescent="0.25"/>
    <row r="42211" hidden="1" x14ac:dyDescent="0.25"/>
    <row r="42212" hidden="1" x14ac:dyDescent="0.25"/>
    <row r="42213" hidden="1" x14ac:dyDescent="0.25"/>
    <row r="42214" hidden="1" x14ac:dyDescent="0.25"/>
    <row r="42215" hidden="1" x14ac:dyDescent="0.25"/>
    <row r="42216" hidden="1" x14ac:dyDescent="0.25"/>
    <row r="42217" hidden="1" x14ac:dyDescent="0.25"/>
    <row r="42218" hidden="1" x14ac:dyDescent="0.25"/>
    <row r="42219" hidden="1" x14ac:dyDescent="0.25"/>
    <row r="42220" hidden="1" x14ac:dyDescent="0.25"/>
    <row r="42221" hidden="1" x14ac:dyDescent="0.25"/>
    <row r="42222" hidden="1" x14ac:dyDescent="0.25"/>
    <row r="42223" hidden="1" x14ac:dyDescent="0.25"/>
    <row r="42224" hidden="1" x14ac:dyDescent="0.25"/>
    <row r="42225" hidden="1" x14ac:dyDescent="0.25"/>
    <row r="42226" hidden="1" x14ac:dyDescent="0.25"/>
    <row r="42227" hidden="1" x14ac:dyDescent="0.25"/>
    <row r="42228" hidden="1" x14ac:dyDescent="0.25"/>
    <row r="42229" hidden="1" x14ac:dyDescent="0.25"/>
    <row r="42230" hidden="1" x14ac:dyDescent="0.25"/>
    <row r="42231" hidden="1" x14ac:dyDescent="0.25"/>
    <row r="42232" hidden="1" x14ac:dyDescent="0.25"/>
    <row r="42233" hidden="1" x14ac:dyDescent="0.25"/>
    <row r="42234" hidden="1" x14ac:dyDescent="0.25"/>
    <row r="42235" hidden="1" x14ac:dyDescent="0.25"/>
    <row r="42236" hidden="1" x14ac:dyDescent="0.25"/>
    <row r="42237" hidden="1" x14ac:dyDescent="0.25"/>
    <row r="42238" hidden="1" x14ac:dyDescent="0.25"/>
    <row r="42239" hidden="1" x14ac:dyDescent="0.25"/>
    <row r="42240" hidden="1" x14ac:dyDescent="0.25"/>
    <row r="42241" hidden="1" x14ac:dyDescent="0.25"/>
    <row r="42242" hidden="1" x14ac:dyDescent="0.25"/>
    <row r="42243" hidden="1" x14ac:dyDescent="0.25"/>
    <row r="42244" hidden="1" x14ac:dyDescent="0.25"/>
    <row r="42245" hidden="1" x14ac:dyDescent="0.25"/>
    <row r="42246" hidden="1" x14ac:dyDescent="0.25"/>
    <row r="42247" hidden="1" x14ac:dyDescent="0.25"/>
    <row r="42248" hidden="1" x14ac:dyDescent="0.25"/>
    <row r="42249" hidden="1" x14ac:dyDescent="0.25"/>
    <row r="42250" hidden="1" x14ac:dyDescent="0.25"/>
    <row r="42251" hidden="1" x14ac:dyDescent="0.25"/>
    <row r="42252" hidden="1" x14ac:dyDescent="0.25"/>
    <row r="42253" hidden="1" x14ac:dyDescent="0.25"/>
    <row r="42254" hidden="1" x14ac:dyDescent="0.25"/>
    <row r="42255" hidden="1" x14ac:dyDescent="0.25"/>
    <row r="42256" hidden="1" x14ac:dyDescent="0.25"/>
    <row r="42257" hidden="1" x14ac:dyDescent="0.25"/>
    <row r="42258" hidden="1" x14ac:dyDescent="0.25"/>
    <row r="42259" hidden="1" x14ac:dyDescent="0.25"/>
    <row r="42260" hidden="1" x14ac:dyDescent="0.25"/>
    <row r="42261" hidden="1" x14ac:dyDescent="0.25"/>
    <row r="42262" hidden="1" x14ac:dyDescent="0.25"/>
    <row r="42263" hidden="1" x14ac:dyDescent="0.25"/>
    <row r="42264" hidden="1" x14ac:dyDescent="0.25"/>
    <row r="42265" hidden="1" x14ac:dyDescent="0.25"/>
    <row r="42266" hidden="1" x14ac:dyDescent="0.25"/>
    <row r="42267" hidden="1" x14ac:dyDescent="0.25"/>
    <row r="42268" hidden="1" x14ac:dyDescent="0.25"/>
    <row r="42269" hidden="1" x14ac:dyDescent="0.25"/>
    <row r="42270" hidden="1" x14ac:dyDescent="0.25"/>
    <row r="42271" hidden="1" x14ac:dyDescent="0.25"/>
    <row r="42272" hidden="1" x14ac:dyDescent="0.25"/>
    <row r="42273" hidden="1" x14ac:dyDescent="0.25"/>
    <row r="42274" hidden="1" x14ac:dyDescent="0.25"/>
    <row r="42275" hidden="1" x14ac:dyDescent="0.25"/>
    <row r="42276" hidden="1" x14ac:dyDescent="0.25"/>
    <row r="42277" hidden="1" x14ac:dyDescent="0.25"/>
    <row r="42278" hidden="1" x14ac:dyDescent="0.25"/>
    <row r="42279" hidden="1" x14ac:dyDescent="0.25"/>
    <row r="42280" hidden="1" x14ac:dyDescent="0.25"/>
    <row r="42281" hidden="1" x14ac:dyDescent="0.25"/>
    <row r="42282" hidden="1" x14ac:dyDescent="0.25"/>
    <row r="42283" hidden="1" x14ac:dyDescent="0.25"/>
    <row r="42284" hidden="1" x14ac:dyDescent="0.25"/>
    <row r="42285" hidden="1" x14ac:dyDescent="0.25"/>
    <row r="42286" hidden="1" x14ac:dyDescent="0.25"/>
    <row r="42287" hidden="1" x14ac:dyDescent="0.25"/>
    <row r="42288" hidden="1" x14ac:dyDescent="0.25"/>
    <row r="42289" hidden="1" x14ac:dyDescent="0.25"/>
    <row r="42290" hidden="1" x14ac:dyDescent="0.25"/>
    <row r="42291" hidden="1" x14ac:dyDescent="0.25"/>
    <row r="42292" hidden="1" x14ac:dyDescent="0.25"/>
    <row r="42293" hidden="1" x14ac:dyDescent="0.25"/>
    <row r="42294" hidden="1" x14ac:dyDescent="0.25"/>
    <row r="42295" hidden="1" x14ac:dyDescent="0.25"/>
    <row r="42296" hidden="1" x14ac:dyDescent="0.25"/>
    <row r="42297" hidden="1" x14ac:dyDescent="0.25"/>
    <row r="42298" hidden="1" x14ac:dyDescent="0.25"/>
    <row r="42299" hidden="1" x14ac:dyDescent="0.25"/>
    <row r="42300" hidden="1" x14ac:dyDescent="0.25"/>
    <row r="42301" hidden="1" x14ac:dyDescent="0.25"/>
    <row r="42302" hidden="1" x14ac:dyDescent="0.25"/>
    <row r="42303" hidden="1" x14ac:dyDescent="0.25"/>
    <row r="42304" hidden="1" x14ac:dyDescent="0.25"/>
    <row r="42305" hidden="1" x14ac:dyDescent="0.25"/>
    <row r="42306" hidden="1" x14ac:dyDescent="0.25"/>
    <row r="42307" hidden="1" x14ac:dyDescent="0.25"/>
    <row r="42308" hidden="1" x14ac:dyDescent="0.25"/>
    <row r="42309" hidden="1" x14ac:dyDescent="0.25"/>
    <row r="42310" hidden="1" x14ac:dyDescent="0.25"/>
    <row r="42311" hidden="1" x14ac:dyDescent="0.25"/>
    <row r="42312" hidden="1" x14ac:dyDescent="0.25"/>
    <row r="42313" hidden="1" x14ac:dyDescent="0.25"/>
    <row r="42314" hidden="1" x14ac:dyDescent="0.25"/>
    <row r="42315" hidden="1" x14ac:dyDescent="0.25"/>
    <row r="42316" hidden="1" x14ac:dyDescent="0.25"/>
    <row r="42317" hidden="1" x14ac:dyDescent="0.25"/>
    <row r="42318" hidden="1" x14ac:dyDescent="0.25"/>
    <row r="42319" hidden="1" x14ac:dyDescent="0.25"/>
    <row r="42320" hidden="1" x14ac:dyDescent="0.25"/>
    <row r="42321" hidden="1" x14ac:dyDescent="0.25"/>
    <row r="42322" hidden="1" x14ac:dyDescent="0.25"/>
    <row r="42323" hidden="1" x14ac:dyDescent="0.25"/>
    <row r="42324" hidden="1" x14ac:dyDescent="0.25"/>
    <row r="42325" hidden="1" x14ac:dyDescent="0.25"/>
    <row r="42326" hidden="1" x14ac:dyDescent="0.25"/>
    <row r="42327" hidden="1" x14ac:dyDescent="0.25"/>
    <row r="42328" hidden="1" x14ac:dyDescent="0.25"/>
    <row r="42329" hidden="1" x14ac:dyDescent="0.25"/>
    <row r="42330" hidden="1" x14ac:dyDescent="0.25"/>
    <row r="42331" hidden="1" x14ac:dyDescent="0.25"/>
    <row r="42332" hidden="1" x14ac:dyDescent="0.25"/>
    <row r="42333" hidden="1" x14ac:dyDescent="0.25"/>
    <row r="42334" hidden="1" x14ac:dyDescent="0.25"/>
    <row r="42335" hidden="1" x14ac:dyDescent="0.25"/>
    <row r="42336" hidden="1" x14ac:dyDescent="0.25"/>
    <row r="42337" hidden="1" x14ac:dyDescent="0.25"/>
    <row r="42338" hidden="1" x14ac:dyDescent="0.25"/>
    <row r="42339" hidden="1" x14ac:dyDescent="0.25"/>
    <row r="42340" hidden="1" x14ac:dyDescent="0.25"/>
    <row r="42341" hidden="1" x14ac:dyDescent="0.25"/>
    <row r="42342" hidden="1" x14ac:dyDescent="0.25"/>
    <row r="42343" hidden="1" x14ac:dyDescent="0.25"/>
    <row r="42344" hidden="1" x14ac:dyDescent="0.25"/>
    <row r="42345" hidden="1" x14ac:dyDescent="0.25"/>
    <row r="42346" hidden="1" x14ac:dyDescent="0.25"/>
    <row r="42347" hidden="1" x14ac:dyDescent="0.25"/>
    <row r="42348" hidden="1" x14ac:dyDescent="0.25"/>
    <row r="42349" hidden="1" x14ac:dyDescent="0.25"/>
    <row r="42350" hidden="1" x14ac:dyDescent="0.25"/>
    <row r="42351" hidden="1" x14ac:dyDescent="0.25"/>
    <row r="42352" hidden="1" x14ac:dyDescent="0.25"/>
    <row r="42353" hidden="1" x14ac:dyDescent="0.25"/>
    <row r="42354" hidden="1" x14ac:dyDescent="0.25"/>
    <row r="42355" hidden="1" x14ac:dyDescent="0.25"/>
    <row r="42356" hidden="1" x14ac:dyDescent="0.25"/>
    <row r="42357" hidden="1" x14ac:dyDescent="0.25"/>
    <row r="42358" hidden="1" x14ac:dyDescent="0.25"/>
    <row r="42359" hidden="1" x14ac:dyDescent="0.25"/>
    <row r="42360" hidden="1" x14ac:dyDescent="0.25"/>
    <row r="42361" hidden="1" x14ac:dyDescent="0.25"/>
    <row r="42362" hidden="1" x14ac:dyDescent="0.25"/>
    <row r="42363" hidden="1" x14ac:dyDescent="0.25"/>
    <row r="42364" hidden="1" x14ac:dyDescent="0.25"/>
    <row r="42365" hidden="1" x14ac:dyDescent="0.25"/>
    <row r="42366" hidden="1" x14ac:dyDescent="0.25"/>
    <row r="42367" hidden="1" x14ac:dyDescent="0.25"/>
    <row r="42368" hidden="1" x14ac:dyDescent="0.25"/>
    <row r="42369" hidden="1" x14ac:dyDescent="0.25"/>
    <row r="42370" hidden="1" x14ac:dyDescent="0.25"/>
    <row r="42371" hidden="1" x14ac:dyDescent="0.25"/>
    <row r="42372" hidden="1" x14ac:dyDescent="0.25"/>
    <row r="42373" hidden="1" x14ac:dyDescent="0.25"/>
    <row r="42374" hidden="1" x14ac:dyDescent="0.25"/>
    <row r="42375" hidden="1" x14ac:dyDescent="0.25"/>
    <row r="42376" hidden="1" x14ac:dyDescent="0.25"/>
    <row r="42377" hidden="1" x14ac:dyDescent="0.25"/>
    <row r="42378" hidden="1" x14ac:dyDescent="0.25"/>
    <row r="42379" hidden="1" x14ac:dyDescent="0.25"/>
    <row r="42380" hidden="1" x14ac:dyDescent="0.25"/>
    <row r="42381" hidden="1" x14ac:dyDescent="0.25"/>
    <row r="42382" hidden="1" x14ac:dyDescent="0.25"/>
    <row r="42383" hidden="1" x14ac:dyDescent="0.25"/>
    <row r="42384" hidden="1" x14ac:dyDescent="0.25"/>
    <row r="42385" hidden="1" x14ac:dyDescent="0.25"/>
    <row r="42386" hidden="1" x14ac:dyDescent="0.25"/>
    <row r="42387" hidden="1" x14ac:dyDescent="0.25"/>
    <row r="42388" hidden="1" x14ac:dyDescent="0.25"/>
    <row r="42389" hidden="1" x14ac:dyDescent="0.25"/>
    <row r="42390" hidden="1" x14ac:dyDescent="0.25"/>
    <row r="42391" hidden="1" x14ac:dyDescent="0.25"/>
    <row r="42392" hidden="1" x14ac:dyDescent="0.25"/>
    <row r="42393" hidden="1" x14ac:dyDescent="0.25"/>
    <row r="42394" hidden="1" x14ac:dyDescent="0.25"/>
    <row r="42395" hidden="1" x14ac:dyDescent="0.25"/>
    <row r="42396" hidden="1" x14ac:dyDescent="0.25"/>
    <row r="42397" hidden="1" x14ac:dyDescent="0.25"/>
    <row r="42398" hidden="1" x14ac:dyDescent="0.25"/>
    <row r="42399" hidden="1" x14ac:dyDescent="0.25"/>
    <row r="42400" hidden="1" x14ac:dyDescent="0.25"/>
    <row r="42401" hidden="1" x14ac:dyDescent="0.25"/>
    <row r="42402" hidden="1" x14ac:dyDescent="0.25"/>
    <row r="42403" hidden="1" x14ac:dyDescent="0.25"/>
    <row r="42404" hidden="1" x14ac:dyDescent="0.25"/>
    <row r="42405" hidden="1" x14ac:dyDescent="0.25"/>
    <row r="42406" hidden="1" x14ac:dyDescent="0.25"/>
    <row r="42407" hidden="1" x14ac:dyDescent="0.25"/>
    <row r="42408" hidden="1" x14ac:dyDescent="0.25"/>
    <row r="42409" hidden="1" x14ac:dyDescent="0.25"/>
    <row r="42410" hidden="1" x14ac:dyDescent="0.25"/>
    <row r="42411" hidden="1" x14ac:dyDescent="0.25"/>
    <row r="42412" hidden="1" x14ac:dyDescent="0.25"/>
    <row r="42413" hidden="1" x14ac:dyDescent="0.25"/>
    <row r="42414" hidden="1" x14ac:dyDescent="0.25"/>
    <row r="42415" hidden="1" x14ac:dyDescent="0.25"/>
    <row r="42416" hidden="1" x14ac:dyDescent="0.25"/>
    <row r="42417" hidden="1" x14ac:dyDescent="0.25"/>
    <row r="42418" hidden="1" x14ac:dyDescent="0.25"/>
    <row r="42419" hidden="1" x14ac:dyDescent="0.25"/>
    <row r="42420" hidden="1" x14ac:dyDescent="0.25"/>
    <row r="42421" hidden="1" x14ac:dyDescent="0.25"/>
    <row r="42422" hidden="1" x14ac:dyDescent="0.25"/>
    <row r="42423" hidden="1" x14ac:dyDescent="0.25"/>
    <row r="42424" hidden="1" x14ac:dyDescent="0.25"/>
    <row r="42425" hidden="1" x14ac:dyDescent="0.25"/>
    <row r="42426" hidden="1" x14ac:dyDescent="0.25"/>
    <row r="42427" hidden="1" x14ac:dyDescent="0.25"/>
    <row r="42428" hidden="1" x14ac:dyDescent="0.25"/>
    <row r="42429" hidden="1" x14ac:dyDescent="0.25"/>
    <row r="42430" hidden="1" x14ac:dyDescent="0.25"/>
    <row r="42431" hidden="1" x14ac:dyDescent="0.25"/>
    <row r="42432" hidden="1" x14ac:dyDescent="0.25"/>
    <row r="42433" hidden="1" x14ac:dyDescent="0.25"/>
    <row r="42434" hidden="1" x14ac:dyDescent="0.25"/>
    <row r="42435" hidden="1" x14ac:dyDescent="0.25"/>
    <row r="42436" hidden="1" x14ac:dyDescent="0.25"/>
    <row r="42437" hidden="1" x14ac:dyDescent="0.25"/>
    <row r="42438" hidden="1" x14ac:dyDescent="0.25"/>
    <row r="42439" hidden="1" x14ac:dyDescent="0.25"/>
    <row r="42440" hidden="1" x14ac:dyDescent="0.25"/>
    <row r="42441" hidden="1" x14ac:dyDescent="0.25"/>
    <row r="42442" hidden="1" x14ac:dyDescent="0.25"/>
    <row r="42443" hidden="1" x14ac:dyDescent="0.25"/>
    <row r="42444" hidden="1" x14ac:dyDescent="0.25"/>
    <row r="42445" hidden="1" x14ac:dyDescent="0.25"/>
    <row r="42446" hidden="1" x14ac:dyDescent="0.25"/>
    <row r="42447" hidden="1" x14ac:dyDescent="0.25"/>
    <row r="42448" hidden="1" x14ac:dyDescent="0.25"/>
    <row r="42449" hidden="1" x14ac:dyDescent="0.25"/>
    <row r="42450" hidden="1" x14ac:dyDescent="0.25"/>
    <row r="42451" hidden="1" x14ac:dyDescent="0.25"/>
    <row r="42452" hidden="1" x14ac:dyDescent="0.25"/>
    <row r="42453" hidden="1" x14ac:dyDescent="0.25"/>
    <row r="42454" hidden="1" x14ac:dyDescent="0.25"/>
    <row r="42455" hidden="1" x14ac:dyDescent="0.25"/>
    <row r="42456" hidden="1" x14ac:dyDescent="0.25"/>
    <row r="42457" hidden="1" x14ac:dyDescent="0.25"/>
    <row r="42458" hidden="1" x14ac:dyDescent="0.25"/>
    <row r="42459" hidden="1" x14ac:dyDescent="0.25"/>
    <row r="42460" hidden="1" x14ac:dyDescent="0.25"/>
    <row r="42461" hidden="1" x14ac:dyDescent="0.25"/>
    <row r="42462" hidden="1" x14ac:dyDescent="0.25"/>
    <row r="42463" hidden="1" x14ac:dyDescent="0.25"/>
    <row r="42464" hidden="1" x14ac:dyDescent="0.25"/>
    <row r="42465" hidden="1" x14ac:dyDescent="0.25"/>
    <row r="42466" hidden="1" x14ac:dyDescent="0.25"/>
    <row r="42467" hidden="1" x14ac:dyDescent="0.25"/>
    <row r="42468" hidden="1" x14ac:dyDescent="0.25"/>
    <row r="42469" hidden="1" x14ac:dyDescent="0.25"/>
    <row r="42470" hidden="1" x14ac:dyDescent="0.25"/>
    <row r="42471" hidden="1" x14ac:dyDescent="0.25"/>
    <row r="42472" hidden="1" x14ac:dyDescent="0.25"/>
    <row r="42473" hidden="1" x14ac:dyDescent="0.25"/>
    <row r="42474" hidden="1" x14ac:dyDescent="0.25"/>
    <row r="42475" hidden="1" x14ac:dyDescent="0.25"/>
    <row r="42476" hidden="1" x14ac:dyDescent="0.25"/>
    <row r="42477" hidden="1" x14ac:dyDescent="0.25"/>
    <row r="42478" hidden="1" x14ac:dyDescent="0.25"/>
    <row r="42479" hidden="1" x14ac:dyDescent="0.25"/>
    <row r="42480" hidden="1" x14ac:dyDescent="0.25"/>
    <row r="42481" hidden="1" x14ac:dyDescent="0.25"/>
    <row r="42482" hidden="1" x14ac:dyDescent="0.25"/>
    <row r="42483" hidden="1" x14ac:dyDescent="0.25"/>
    <row r="42484" hidden="1" x14ac:dyDescent="0.25"/>
    <row r="42485" hidden="1" x14ac:dyDescent="0.25"/>
    <row r="42486" hidden="1" x14ac:dyDescent="0.25"/>
    <row r="42487" hidden="1" x14ac:dyDescent="0.25"/>
    <row r="42488" hidden="1" x14ac:dyDescent="0.25"/>
    <row r="42489" hidden="1" x14ac:dyDescent="0.25"/>
    <row r="42490" hidden="1" x14ac:dyDescent="0.25"/>
    <row r="42491" hidden="1" x14ac:dyDescent="0.25"/>
    <row r="42492" hidden="1" x14ac:dyDescent="0.25"/>
    <row r="42493" hidden="1" x14ac:dyDescent="0.25"/>
    <row r="42494" hidden="1" x14ac:dyDescent="0.25"/>
    <row r="42495" hidden="1" x14ac:dyDescent="0.25"/>
    <row r="42496" hidden="1" x14ac:dyDescent="0.25"/>
    <row r="42497" hidden="1" x14ac:dyDescent="0.25"/>
    <row r="42498" hidden="1" x14ac:dyDescent="0.25"/>
    <row r="42499" hidden="1" x14ac:dyDescent="0.25"/>
    <row r="42500" hidden="1" x14ac:dyDescent="0.25"/>
    <row r="42501" hidden="1" x14ac:dyDescent="0.25"/>
    <row r="42502" hidden="1" x14ac:dyDescent="0.25"/>
    <row r="42503" hidden="1" x14ac:dyDescent="0.25"/>
    <row r="42504" hidden="1" x14ac:dyDescent="0.25"/>
    <row r="42505" hidden="1" x14ac:dyDescent="0.25"/>
    <row r="42506" hidden="1" x14ac:dyDescent="0.25"/>
    <row r="42507" hidden="1" x14ac:dyDescent="0.25"/>
    <row r="42508" hidden="1" x14ac:dyDescent="0.25"/>
    <row r="42509" hidden="1" x14ac:dyDescent="0.25"/>
    <row r="42510" hidden="1" x14ac:dyDescent="0.25"/>
    <row r="42511" hidden="1" x14ac:dyDescent="0.25"/>
    <row r="42512" hidden="1" x14ac:dyDescent="0.25"/>
    <row r="42513" hidden="1" x14ac:dyDescent="0.25"/>
    <row r="42514" hidden="1" x14ac:dyDescent="0.25"/>
    <row r="42515" hidden="1" x14ac:dyDescent="0.25"/>
    <row r="42516" hidden="1" x14ac:dyDescent="0.25"/>
    <row r="42517" hidden="1" x14ac:dyDescent="0.25"/>
    <row r="42518" hidden="1" x14ac:dyDescent="0.25"/>
    <row r="42519" hidden="1" x14ac:dyDescent="0.25"/>
    <row r="42520" hidden="1" x14ac:dyDescent="0.25"/>
    <row r="42521" hidden="1" x14ac:dyDescent="0.25"/>
    <row r="42522" hidden="1" x14ac:dyDescent="0.25"/>
    <row r="42523" hidden="1" x14ac:dyDescent="0.25"/>
    <row r="42524" hidden="1" x14ac:dyDescent="0.25"/>
    <row r="42525" hidden="1" x14ac:dyDescent="0.25"/>
    <row r="42526" hidden="1" x14ac:dyDescent="0.25"/>
    <row r="42527" hidden="1" x14ac:dyDescent="0.25"/>
    <row r="42528" hidden="1" x14ac:dyDescent="0.25"/>
    <row r="42529" hidden="1" x14ac:dyDescent="0.25"/>
    <row r="42530" hidden="1" x14ac:dyDescent="0.25"/>
    <row r="42531" hidden="1" x14ac:dyDescent="0.25"/>
    <row r="42532" hidden="1" x14ac:dyDescent="0.25"/>
    <row r="42533" hidden="1" x14ac:dyDescent="0.25"/>
    <row r="42534" hidden="1" x14ac:dyDescent="0.25"/>
    <row r="42535" hidden="1" x14ac:dyDescent="0.25"/>
    <row r="42536" hidden="1" x14ac:dyDescent="0.25"/>
    <row r="42537" hidden="1" x14ac:dyDescent="0.25"/>
    <row r="42538" hidden="1" x14ac:dyDescent="0.25"/>
    <row r="42539" hidden="1" x14ac:dyDescent="0.25"/>
    <row r="42540" hidden="1" x14ac:dyDescent="0.25"/>
    <row r="42541" hidden="1" x14ac:dyDescent="0.25"/>
    <row r="42542" hidden="1" x14ac:dyDescent="0.25"/>
    <row r="42543" hidden="1" x14ac:dyDescent="0.25"/>
    <row r="42544" hidden="1" x14ac:dyDescent="0.25"/>
    <row r="42545" hidden="1" x14ac:dyDescent="0.25"/>
    <row r="42546" hidden="1" x14ac:dyDescent="0.25"/>
    <row r="42547" hidden="1" x14ac:dyDescent="0.25"/>
    <row r="42548" hidden="1" x14ac:dyDescent="0.25"/>
    <row r="42549" hidden="1" x14ac:dyDescent="0.25"/>
    <row r="42550" hidden="1" x14ac:dyDescent="0.25"/>
    <row r="42551" hidden="1" x14ac:dyDescent="0.25"/>
    <row r="42552" hidden="1" x14ac:dyDescent="0.25"/>
    <row r="42553" hidden="1" x14ac:dyDescent="0.25"/>
    <row r="42554" hidden="1" x14ac:dyDescent="0.25"/>
    <row r="42555" hidden="1" x14ac:dyDescent="0.25"/>
    <row r="42556" hidden="1" x14ac:dyDescent="0.25"/>
    <row r="42557" hidden="1" x14ac:dyDescent="0.25"/>
    <row r="42558" hidden="1" x14ac:dyDescent="0.25"/>
    <row r="42559" hidden="1" x14ac:dyDescent="0.25"/>
    <row r="42560" hidden="1" x14ac:dyDescent="0.25"/>
    <row r="42561" hidden="1" x14ac:dyDescent="0.25"/>
    <row r="42562" hidden="1" x14ac:dyDescent="0.25"/>
    <row r="42563" hidden="1" x14ac:dyDescent="0.25"/>
    <row r="42564" hidden="1" x14ac:dyDescent="0.25"/>
    <row r="42565" hidden="1" x14ac:dyDescent="0.25"/>
    <row r="42566" hidden="1" x14ac:dyDescent="0.25"/>
    <row r="42567" hidden="1" x14ac:dyDescent="0.25"/>
    <row r="42568" hidden="1" x14ac:dyDescent="0.25"/>
    <row r="42569" hidden="1" x14ac:dyDescent="0.25"/>
    <row r="42570" hidden="1" x14ac:dyDescent="0.25"/>
    <row r="42571" hidden="1" x14ac:dyDescent="0.25"/>
    <row r="42572" hidden="1" x14ac:dyDescent="0.25"/>
    <row r="42573" hidden="1" x14ac:dyDescent="0.25"/>
    <row r="42574" hidden="1" x14ac:dyDescent="0.25"/>
    <row r="42575" hidden="1" x14ac:dyDescent="0.25"/>
    <row r="42576" hidden="1" x14ac:dyDescent="0.25"/>
    <row r="42577" hidden="1" x14ac:dyDescent="0.25"/>
    <row r="42578" hidden="1" x14ac:dyDescent="0.25"/>
    <row r="42579" hidden="1" x14ac:dyDescent="0.25"/>
    <row r="42580" hidden="1" x14ac:dyDescent="0.25"/>
    <row r="42581" hidden="1" x14ac:dyDescent="0.25"/>
    <row r="42582" hidden="1" x14ac:dyDescent="0.25"/>
    <row r="42583" hidden="1" x14ac:dyDescent="0.25"/>
    <row r="42584" hidden="1" x14ac:dyDescent="0.25"/>
    <row r="42585" hidden="1" x14ac:dyDescent="0.25"/>
    <row r="42586" hidden="1" x14ac:dyDescent="0.25"/>
    <row r="42587" hidden="1" x14ac:dyDescent="0.25"/>
    <row r="42588" hidden="1" x14ac:dyDescent="0.25"/>
    <row r="42589" hidden="1" x14ac:dyDescent="0.25"/>
    <row r="42590" hidden="1" x14ac:dyDescent="0.25"/>
    <row r="42591" hidden="1" x14ac:dyDescent="0.25"/>
    <row r="42592" hidden="1" x14ac:dyDescent="0.25"/>
    <row r="42593" hidden="1" x14ac:dyDescent="0.25"/>
    <row r="42594" hidden="1" x14ac:dyDescent="0.25"/>
    <row r="42595" hidden="1" x14ac:dyDescent="0.25"/>
    <row r="42596" hidden="1" x14ac:dyDescent="0.25"/>
    <row r="42597" hidden="1" x14ac:dyDescent="0.25"/>
    <row r="42598" hidden="1" x14ac:dyDescent="0.25"/>
    <row r="42599" hidden="1" x14ac:dyDescent="0.25"/>
    <row r="42600" hidden="1" x14ac:dyDescent="0.25"/>
    <row r="42601" hidden="1" x14ac:dyDescent="0.25"/>
    <row r="42602" hidden="1" x14ac:dyDescent="0.25"/>
    <row r="42603" hidden="1" x14ac:dyDescent="0.25"/>
    <row r="42604" hidden="1" x14ac:dyDescent="0.25"/>
    <row r="42605" hidden="1" x14ac:dyDescent="0.25"/>
    <row r="42606" hidden="1" x14ac:dyDescent="0.25"/>
    <row r="42607" hidden="1" x14ac:dyDescent="0.25"/>
    <row r="42608" hidden="1" x14ac:dyDescent="0.25"/>
    <row r="42609" hidden="1" x14ac:dyDescent="0.25"/>
    <row r="42610" hidden="1" x14ac:dyDescent="0.25"/>
    <row r="42611" hidden="1" x14ac:dyDescent="0.25"/>
    <row r="42612" hidden="1" x14ac:dyDescent="0.25"/>
    <row r="42613" hidden="1" x14ac:dyDescent="0.25"/>
    <row r="42614" hidden="1" x14ac:dyDescent="0.25"/>
    <row r="42615" hidden="1" x14ac:dyDescent="0.25"/>
    <row r="42616" hidden="1" x14ac:dyDescent="0.25"/>
    <row r="42617" hidden="1" x14ac:dyDescent="0.25"/>
    <row r="42618" hidden="1" x14ac:dyDescent="0.25"/>
    <row r="42619" hidden="1" x14ac:dyDescent="0.25"/>
    <row r="42620" hidden="1" x14ac:dyDescent="0.25"/>
    <row r="42621" hidden="1" x14ac:dyDescent="0.25"/>
    <row r="42622" hidden="1" x14ac:dyDescent="0.25"/>
    <row r="42623" hidden="1" x14ac:dyDescent="0.25"/>
    <row r="42624" hidden="1" x14ac:dyDescent="0.25"/>
    <row r="42625" hidden="1" x14ac:dyDescent="0.25"/>
    <row r="42626" hidden="1" x14ac:dyDescent="0.25"/>
    <row r="42627" hidden="1" x14ac:dyDescent="0.25"/>
    <row r="42628" hidden="1" x14ac:dyDescent="0.25"/>
    <row r="42629" hidden="1" x14ac:dyDescent="0.25"/>
    <row r="42630" hidden="1" x14ac:dyDescent="0.25"/>
    <row r="42631" hidden="1" x14ac:dyDescent="0.25"/>
    <row r="42632" hidden="1" x14ac:dyDescent="0.25"/>
    <row r="42633" hidden="1" x14ac:dyDescent="0.25"/>
    <row r="42634" hidden="1" x14ac:dyDescent="0.25"/>
    <row r="42635" hidden="1" x14ac:dyDescent="0.25"/>
    <row r="42636" hidden="1" x14ac:dyDescent="0.25"/>
    <row r="42637" hidden="1" x14ac:dyDescent="0.25"/>
    <row r="42638" hidden="1" x14ac:dyDescent="0.25"/>
    <row r="42639" hidden="1" x14ac:dyDescent="0.25"/>
    <row r="42640" hidden="1" x14ac:dyDescent="0.25"/>
    <row r="42641" hidden="1" x14ac:dyDescent="0.25"/>
    <row r="42642" hidden="1" x14ac:dyDescent="0.25"/>
    <row r="42643" hidden="1" x14ac:dyDescent="0.25"/>
    <row r="42644" hidden="1" x14ac:dyDescent="0.25"/>
    <row r="42645" hidden="1" x14ac:dyDescent="0.25"/>
    <row r="42646" hidden="1" x14ac:dyDescent="0.25"/>
    <row r="42647" hidden="1" x14ac:dyDescent="0.25"/>
    <row r="42648" hidden="1" x14ac:dyDescent="0.25"/>
    <row r="42649" hidden="1" x14ac:dyDescent="0.25"/>
    <row r="42650" hidden="1" x14ac:dyDescent="0.25"/>
    <row r="42651" hidden="1" x14ac:dyDescent="0.25"/>
    <row r="42652" hidden="1" x14ac:dyDescent="0.25"/>
    <row r="42653" hidden="1" x14ac:dyDescent="0.25"/>
    <row r="42654" hidden="1" x14ac:dyDescent="0.25"/>
    <row r="42655" hidden="1" x14ac:dyDescent="0.25"/>
    <row r="42656" hidden="1" x14ac:dyDescent="0.25"/>
    <row r="42657" hidden="1" x14ac:dyDescent="0.25"/>
    <row r="42658" hidden="1" x14ac:dyDescent="0.25"/>
    <row r="42659" hidden="1" x14ac:dyDescent="0.25"/>
    <row r="42660" hidden="1" x14ac:dyDescent="0.25"/>
    <row r="42661" hidden="1" x14ac:dyDescent="0.25"/>
    <row r="42662" hidden="1" x14ac:dyDescent="0.25"/>
    <row r="42663" hidden="1" x14ac:dyDescent="0.25"/>
    <row r="42664" hidden="1" x14ac:dyDescent="0.25"/>
    <row r="42665" hidden="1" x14ac:dyDescent="0.25"/>
    <row r="42666" hidden="1" x14ac:dyDescent="0.25"/>
    <row r="42667" hidden="1" x14ac:dyDescent="0.25"/>
    <row r="42668" hidden="1" x14ac:dyDescent="0.25"/>
    <row r="42669" hidden="1" x14ac:dyDescent="0.25"/>
    <row r="42670" hidden="1" x14ac:dyDescent="0.25"/>
    <row r="42671" hidden="1" x14ac:dyDescent="0.25"/>
    <row r="42672" hidden="1" x14ac:dyDescent="0.25"/>
    <row r="42673" hidden="1" x14ac:dyDescent="0.25"/>
    <row r="42674" hidden="1" x14ac:dyDescent="0.25"/>
    <row r="42675" hidden="1" x14ac:dyDescent="0.25"/>
    <row r="42676" hidden="1" x14ac:dyDescent="0.25"/>
    <row r="42677" hidden="1" x14ac:dyDescent="0.25"/>
    <row r="42678" hidden="1" x14ac:dyDescent="0.25"/>
    <row r="42679" hidden="1" x14ac:dyDescent="0.25"/>
    <row r="42680" hidden="1" x14ac:dyDescent="0.25"/>
    <row r="42681" hidden="1" x14ac:dyDescent="0.25"/>
    <row r="42682" hidden="1" x14ac:dyDescent="0.25"/>
    <row r="42683" hidden="1" x14ac:dyDescent="0.25"/>
    <row r="42684" hidden="1" x14ac:dyDescent="0.25"/>
    <row r="42685" hidden="1" x14ac:dyDescent="0.25"/>
    <row r="42686" hidden="1" x14ac:dyDescent="0.25"/>
    <row r="42687" hidden="1" x14ac:dyDescent="0.25"/>
    <row r="42688" hidden="1" x14ac:dyDescent="0.25"/>
    <row r="42689" hidden="1" x14ac:dyDescent="0.25"/>
    <row r="42690" hidden="1" x14ac:dyDescent="0.25"/>
    <row r="42691" hidden="1" x14ac:dyDescent="0.25"/>
    <row r="42692" hidden="1" x14ac:dyDescent="0.25"/>
    <row r="42693" hidden="1" x14ac:dyDescent="0.25"/>
    <row r="42694" hidden="1" x14ac:dyDescent="0.25"/>
    <row r="42695" hidden="1" x14ac:dyDescent="0.25"/>
    <row r="42696" hidden="1" x14ac:dyDescent="0.25"/>
    <row r="42697" hidden="1" x14ac:dyDescent="0.25"/>
    <row r="42698" hidden="1" x14ac:dyDescent="0.25"/>
    <row r="42699" hidden="1" x14ac:dyDescent="0.25"/>
    <row r="42700" hidden="1" x14ac:dyDescent="0.25"/>
    <row r="42701" hidden="1" x14ac:dyDescent="0.25"/>
    <row r="42702" hidden="1" x14ac:dyDescent="0.25"/>
    <row r="42703" hidden="1" x14ac:dyDescent="0.25"/>
    <row r="42704" hidden="1" x14ac:dyDescent="0.25"/>
    <row r="42705" hidden="1" x14ac:dyDescent="0.25"/>
    <row r="42706" hidden="1" x14ac:dyDescent="0.25"/>
    <row r="42707" hidden="1" x14ac:dyDescent="0.25"/>
    <row r="42708" hidden="1" x14ac:dyDescent="0.25"/>
    <row r="42709" hidden="1" x14ac:dyDescent="0.25"/>
    <row r="42710" hidden="1" x14ac:dyDescent="0.25"/>
    <row r="42711" hidden="1" x14ac:dyDescent="0.25"/>
    <row r="42712" hidden="1" x14ac:dyDescent="0.25"/>
    <row r="42713" hidden="1" x14ac:dyDescent="0.25"/>
    <row r="42714" hidden="1" x14ac:dyDescent="0.25"/>
    <row r="42715" hidden="1" x14ac:dyDescent="0.25"/>
    <row r="42716" hidden="1" x14ac:dyDescent="0.25"/>
    <row r="42717" hidden="1" x14ac:dyDescent="0.25"/>
    <row r="42718" hidden="1" x14ac:dyDescent="0.25"/>
    <row r="42719" hidden="1" x14ac:dyDescent="0.25"/>
    <row r="42720" hidden="1" x14ac:dyDescent="0.25"/>
    <row r="42721" hidden="1" x14ac:dyDescent="0.25"/>
    <row r="42722" hidden="1" x14ac:dyDescent="0.25"/>
    <row r="42723" hidden="1" x14ac:dyDescent="0.25"/>
    <row r="42724" hidden="1" x14ac:dyDescent="0.25"/>
    <row r="42725" hidden="1" x14ac:dyDescent="0.25"/>
    <row r="42726" hidden="1" x14ac:dyDescent="0.25"/>
    <row r="42727" hidden="1" x14ac:dyDescent="0.25"/>
    <row r="42728" hidden="1" x14ac:dyDescent="0.25"/>
    <row r="42729" hidden="1" x14ac:dyDescent="0.25"/>
    <row r="42730" hidden="1" x14ac:dyDescent="0.25"/>
    <row r="42731" hidden="1" x14ac:dyDescent="0.25"/>
    <row r="42732" hidden="1" x14ac:dyDescent="0.25"/>
    <row r="42733" hidden="1" x14ac:dyDescent="0.25"/>
    <row r="42734" hidden="1" x14ac:dyDescent="0.25"/>
    <row r="42735" hidden="1" x14ac:dyDescent="0.25"/>
    <row r="42736" hidden="1" x14ac:dyDescent="0.25"/>
    <row r="42737" hidden="1" x14ac:dyDescent="0.25"/>
    <row r="42738" hidden="1" x14ac:dyDescent="0.25"/>
    <row r="42739" hidden="1" x14ac:dyDescent="0.25"/>
    <row r="42740" hidden="1" x14ac:dyDescent="0.25"/>
    <row r="42741" hidden="1" x14ac:dyDescent="0.25"/>
    <row r="42742" hidden="1" x14ac:dyDescent="0.25"/>
    <row r="42743" hidden="1" x14ac:dyDescent="0.25"/>
    <row r="42744" hidden="1" x14ac:dyDescent="0.25"/>
    <row r="42745" hidden="1" x14ac:dyDescent="0.25"/>
    <row r="42746" hidden="1" x14ac:dyDescent="0.25"/>
    <row r="42747" hidden="1" x14ac:dyDescent="0.25"/>
    <row r="42748" hidden="1" x14ac:dyDescent="0.25"/>
    <row r="42749" hidden="1" x14ac:dyDescent="0.25"/>
    <row r="42750" hidden="1" x14ac:dyDescent="0.25"/>
    <row r="42751" hidden="1" x14ac:dyDescent="0.25"/>
    <row r="42752" hidden="1" x14ac:dyDescent="0.25"/>
    <row r="42753" hidden="1" x14ac:dyDescent="0.25"/>
    <row r="42754" hidden="1" x14ac:dyDescent="0.25"/>
    <row r="42755" hidden="1" x14ac:dyDescent="0.25"/>
    <row r="42756" hidden="1" x14ac:dyDescent="0.25"/>
    <row r="42757" hidden="1" x14ac:dyDescent="0.25"/>
    <row r="42758" hidden="1" x14ac:dyDescent="0.25"/>
    <row r="42759" hidden="1" x14ac:dyDescent="0.25"/>
    <row r="42760" hidden="1" x14ac:dyDescent="0.25"/>
    <row r="42761" hidden="1" x14ac:dyDescent="0.25"/>
    <row r="42762" hidden="1" x14ac:dyDescent="0.25"/>
    <row r="42763" hidden="1" x14ac:dyDescent="0.25"/>
    <row r="42764" hidden="1" x14ac:dyDescent="0.25"/>
    <row r="42765" hidden="1" x14ac:dyDescent="0.25"/>
    <row r="42766" hidden="1" x14ac:dyDescent="0.25"/>
    <row r="42767" hidden="1" x14ac:dyDescent="0.25"/>
    <row r="42768" hidden="1" x14ac:dyDescent="0.25"/>
    <row r="42769" hidden="1" x14ac:dyDescent="0.25"/>
    <row r="42770" hidden="1" x14ac:dyDescent="0.25"/>
    <row r="42771" hidden="1" x14ac:dyDescent="0.25"/>
    <row r="42772" hidden="1" x14ac:dyDescent="0.25"/>
    <row r="42773" hidden="1" x14ac:dyDescent="0.25"/>
    <row r="42774" hidden="1" x14ac:dyDescent="0.25"/>
    <row r="42775" hidden="1" x14ac:dyDescent="0.25"/>
    <row r="42776" hidden="1" x14ac:dyDescent="0.25"/>
    <row r="42777" hidden="1" x14ac:dyDescent="0.25"/>
    <row r="42778" hidden="1" x14ac:dyDescent="0.25"/>
    <row r="42779" hidden="1" x14ac:dyDescent="0.25"/>
    <row r="42780" hidden="1" x14ac:dyDescent="0.25"/>
    <row r="42781" hidden="1" x14ac:dyDescent="0.25"/>
    <row r="42782" hidden="1" x14ac:dyDescent="0.25"/>
    <row r="42783" hidden="1" x14ac:dyDescent="0.25"/>
    <row r="42784" hidden="1" x14ac:dyDescent="0.25"/>
    <row r="42785" hidden="1" x14ac:dyDescent="0.25"/>
    <row r="42786" hidden="1" x14ac:dyDescent="0.25"/>
    <row r="42787" hidden="1" x14ac:dyDescent="0.25"/>
    <row r="42788" hidden="1" x14ac:dyDescent="0.25"/>
    <row r="42789" hidden="1" x14ac:dyDescent="0.25"/>
    <row r="42790" hidden="1" x14ac:dyDescent="0.25"/>
    <row r="42791" hidden="1" x14ac:dyDescent="0.25"/>
    <row r="42792" hidden="1" x14ac:dyDescent="0.25"/>
    <row r="42793" hidden="1" x14ac:dyDescent="0.25"/>
    <row r="42794" hidden="1" x14ac:dyDescent="0.25"/>
    <row r="42795" hidden="1" x14ac:dyDescent="0.25"/>
    <row r="42796" hidden="1" x14ac:dyDescent="0.25"/>
    <row r="42797" hidden="1" x14ac:dyDescent="0.25"/>
    <row r="42798" hidden="1" x14ac:dyDescent="0.25"/>
    <row r="42799" hidden="1" x14ac:dyDescent="0.25"/>
    <row r="42800" hidden="1" x14ac:dyDescent="0.25"/>
    <row r="42801" hidden="1" x14ac:dyDescent="0.25"/>
    <row r="42802" hidden="1" x14ac:dyDescent="0.25"/>
    <row r="42803" hidden="1" x14ac:dyDescent="0.25"/>
    <row r="42804" hidden="1" x14ac:dyDescent="0.25"/>
    <row r="42805" hidden="1" x14ac:dyDescent="0.25"/>
    <row r="42806" hidden="1" x14ac:dyDescent="0.25"/>
    <row r="42807" hidden="1" x14ac:dyDescent="0.25"/>
    <row r="42808" hidden="1" x14ac:dyDescent="0.25"/>
    <row r="42809" hidden="1" x14ac:dyDescent="0.25"/>
    <row r="42810" hidden="1" x14ac:dyDescent="0.25"/>
    <row r="42811" hidden="1" x14ac:dyDescent="0.25"/>
    <row r="42812" hidden="1" x14ac:dyDescent="0.25"/>
    <row r="42813" hidden="1" x14ac:dyDescent="0.25"/>
    <row r="42814" hidden="1" x14ac:dyDescent="0.25"/>
    <row r="42815" hidden="1" x14ac:dyDescent="0.25"/>
    <row r="42816" hidden="1" x14ac:dyDescent="0.25"/>
    <row r="42817" hidden="1" x14ac:dyDescent="0.25"/>
    <row r="42818" hidden="1" x14ac:dyDescent="0.25"/>
    <row r="42819" hidden="1" x14ac:dyDescent="0.25"/>
    <row r="42820" hidden="1" x14ac:dyDescent="0.25"/>
    <row r="42821" hidden="1" x14ac:dyDescent="0.25"/>
    <row r="42822" hidden="1" x14ac:dyDescent="0.25"/>
    <row r="42823" hidden="1" x14ac:dyDescent="0.25"/>
    <row r="42824" hidden="1" x14ac:dyDescent="0.25"/>
    <row r="42825" hidden="1" x14ac:dyDescent="0.25"/>
    <row r="42826" hidden="1" x14ac:dyDescent="0.25"/>
    <row r="42827" hidden="1" x14ac:dyDescent="0.25"/>
    <row r="42828" hidden="1" x14ac:dyDescent="0.25"/>
    <row r="42829" hidden="1" x14ac:dyDescent="0.25"/>
    <row r="42830" hidden="1" x14ac:dyDescent="0.25"/>
    <row r="42831" hidden="1" x14ac:dyDescent="0.25"/>
    <row r="42832" hidden="1" x14ac:dyDescent="0.25"/>
    <row r="42833" hidden="1" x14ac:dyDescent="0.25"/>
    <row r="42834" hidden="1" x14ac:dyDescent="0.25"/>
    <row r="42835" hidden="1" x14ac:dyDescent="0.25"/>
    <row r="42836" hidden="1" x14ac:dyDescent="0.25"/>
    <row r="42837" hidden="1" x14ac:dyDescent="0.25"/>
    <row r="42838" hidden="1" x14ac:dyDescent="0.25"/>
    <row r="42839" hidden="1" x14ac:dyDescent="0.25"/>
    <row r="42840" hidden="1" x14ac:dyDescent="0.25"/>
    <row r="42841" hidden="1" x14ac:dyDescent="0.25"/>
    <row r="42842" hidden="1" x14ac:dyDescent="0.25"/>
    <row r="42843" hidden="1" x14ac:dyDescent="0.25"/>
    <row r="42844" hidden="1" x14ac:dyDescent="0.25"/>
    <row r="42845" hidden="1" x14ac:dyDescent="0.25"/>
    <row r="42846" hidden="1" x14ac:dyDescent="0.25"/>
    <row r="42847" hidden="1" x14ac:dyDescent="0.25"/>
    <row r="42848" hidden="1" x14ac:dyDescent="0.25"/>
    <row r="42849" hidden="1" x14ac:dyDescent="0.25"/>
    <row r="42850" hidden="1" x14ac:dyDescent="0.25"/>
    <row r="42851" hidden="1" x14ac:dyDescent="0.25"/>
    <row r="42852" hidden="1" x14ac:dyDescent="0.25"/>
    <row r="42853" hidden="1" x14ac:dyDescent="0.25"/>
    <row r="42854" hidden="1" x14ac:dyDescent="0.25"/>
    <row r="42855" hidden="1" x14ac:dyDescent="0.25"/>
    <row r="42856" hidden="1" x14ac:dyDescent="0.25"/>
    <row r="42857" hidden="1" x14ac:dyDescent="0.25"/>
    <row r="42858" hidden="1" x14ac:dyDescent="0.25"/>
    <row r="42859" hidden="1" x14ac:dyDescent="0.25"/>
    <row r="42860" hidden="1" x14ac:dyDescent="0.25"/>
    <row r="42861" hidden="1" x14ac:dyDescent="0.25"/>
    <row r="42862" hidden="1" x14ac:dyDescent="0.25"/>
    <row r="42863" hidden="1" x14ac:dyDescent="0.25"/>
    <row r="42864" hidden="1" x14ac:dyDescent="0.25"/>
    <row r="42865" hidden="1" x14ac:dyDescent="0.25"/>
    <row r="42866" hidden="1" x14ac:dyDescent="0.25"/>
    <row r="42867" hidden="1" x14ac:dyDescent="0.25"/>
    <row r="42868" hidden="1" x14ac:dyDescent="0.25"/>
    <row r="42869" hidden="1" x14ac:dyDescent="0.25"/>
    <row r="42870" hidden="1" x14ac:dyDescent="0.25"/>
    <row r="42871" hidden="1" x14ac:dyDescent="0.25"/>
    <row r="42872" hidden="1" x14ac:dyDescent="0.25"/>
    <row r="42873" hidden="1" x14ac:dyDescent="0.25"/>
    <row r="42874" hidden="1" x14ac:dyDescent="0.25"/>
    <row r="42875" hidden="1" x14ac:dyDescent="0.25"/>
    <row r="42876" hidden="1" x14ac:dyDescent="0.25"/>
    <row r="42877" hidden="1" x14ac:dyDescent="0.25"/>
    <row r="42878" hidden="1" x14ac:dyDescent="0.25"/>
    <row r="42879" hidden="1" x14ac:dyDescent="0.25"/>
    <row r="42880" hidden="1" x14ac:dyDescent="0.25"/>
    <row r="42881" hidden="1" x14ac:dyDescent="0.25"/>
    <row r="42882" hidden="1" x14ac:dyDescent="0.25"/>
    <row r="42883" hidden="1" x14ac:dyDescent="0.25"/>
    <row r="42884" hidden="1" x14ac:dyDescent="0.25"/>
    <row r="42885" hidden="1" x14ac:dyDescent="0.25"/>
    <row r="42886" hidden="1" x14ac:dyDescent="0.25"/>
    <row r="42887" hidden="1" x14ac:dyDescent="0.25"/>
    <row r="42888" hidden="1" x14ac:dyDescent="0.25"/>
    <row r="42889" hidden="1" x14ac:dyDescent="0.25"/>
    <row r="42890" hidden="1" x14ac:dyDescent="0.25"/>
    <row r="42891" hidden="1" x14ac:dyDescent="0.25"/>
    <row r="42892" hidden="1" x14ac:dyDescent="0.25"/>
    <row r="42893" hidden="1" x14ac:dyDescent="0.25"/>
    <row r="42894" hidden="1" x14ac:dyDescent="0.25"/>
    <row r="42895" hidden="1" x14ac:dyDescent="0.25"/>
    <row r="42896" hidden="1" x14ac:dyDescent="0.25"/>
    <row r="42897" hidden="1" x14ac:dyDescent="0.25"/>
    <row r="42898" hidden="1" x14ac:dyDescent="0.25"/>
    <row r="42899" hidden="1" x14ac:dyDescent="0.25"/>
    <row r="42900" hidden="1" x14ac:dyDescent="0.25"/>
    <row r="42901" hidden="1" x14ac:dyDescent="0.25"/>
    <row r="42902" hidden="1" x14ac:dyDescent="0.25"/>
    <row r="42903" hidden="1" x14ac:dyDescent="0.25"/>
    <row r="42904" hidden="1" x14ac:dyDescent="0.25"/>
    <row r="42905" hidden="1" x14ac:dyDescent="0.25"/>
    <row r="42906" hidden="1" x14ac:dyDescent="0.25"/>
    <row r="42907" hidden="1" x14ac:dyDescent="0.25"/>
    <row r="42908" hidden="1" x14ac:dyDescent="0.25"/>
    <row r="42909" hidden="1" x14ac:dyDescent="0.25"/>
    <row r="42910" hidden="1" x14ac:dyDescent="0.25"/>
    <row r="42911" hidden="1" x14ac:dyDescent="0.25"/>
    <row r="42912" hidden="1" x14ac:dyDescent="0.25"/>
    <row r="42913" hidden="1" x14ac:dyDescent="0.25"/>
    <row r="42914" hidden="1" x14ac:dyDescent="0.25"/>
    <row r="42915" hidden="1" x14ac:dyDescent="0.25"/>
    <row r="42916" hidden="1" x14ac:dyDescent="0.25"/>
    <row r="42917" hidden="1" x14ac:dyDescent="0.25"/>
    <row r="42918" hidden="1" x14ac:dyDescent="0.25"/>
    <row r="42919" hidden="1" x14ac:dyDescent="0.25"/>
    <row r="42920" hidden="1" x14ac:dyDescent="0.25"/>
    <row r="42921" hidden="1" x14ac:dyDescent="0.25"/>
    <row r="42922" hidden="1" x14ac:dyDescent="0.25"/>
    <row r="42923" hidden="1" x14ac:dyDescent="0.25"/>
    <row r="42924" hidden="1" x14ac:dyDescent="0.25"/>
    <row r="42925" hidden="1" x14ac:dyDescent="0.25"/>
    <row r="42926" hidden="1" x14ac:dyDescent="0.25"/>
    <row r="42927" hidden="1" x14ac:dyDescent="0.25"/>
    <row r="42928" hidden="1" x14ac:dyDescent="0.25"/>
    <row r="42929" hidden="1" x14ac:dyDescent="0.25"/>
    <row r="42930" hidden="1" x14ac:dyDescent="0.25"/>
    <row r="42931" hidden="1" x14ac:dyDescent="0.25"/>
    <row r="42932" hidden="1" x14ac:dyDescent="0.25"/>
    <row r="42933" hidden="1" x14ac:dyDescent="0.25"/>
    <row r="42934" hidden="1" x14ac:dyDescent="0.25"/>
    <row r="42935" hidden="1" x14ac:dyDescent="0.25"/>
    <row r="42936" hidden="1" x14ac:dyDescent="0.25"/>
    <row r="42937" hidden="1" x14ac:dyDescent="0.25"/>
    <row r="42938" hidden="1" x14ac:dyDescent="0.25"/>
    <row r="42939" hidden="1" x14ac:dyDescent="0.25"/>
    <row r="42940" hidden="1" x14ac:dyDescent="0.25"/>
    <row r="42941" hidden="1" x14ac:dyDescent="0.25"/>
    <row r="42942" hidden="1" x14ac:dyDescent="0.25"/>
    <row r="42943" hidden="1" x14ac:dyDescent="0.25"/>
    <row r="42944" hidden="1" x14ac:dyDescent="0.25"/>
    <row r="42945" hidden="1" x14ac:dyDescent="0.25"/>
    <row r="42946" hidden="1" x14ac:dyDescent="0.25"/>
    <row r="42947" hidden="1" x14ac:dyDescent="0.25"/>
    <row r="42948" hidden="1" x14ac:dyDescent="0.25"/>
    <row r="42949" hidden="1" x14ac:dyDescent="0.25"/>
    <row r="42950" hidden="1" x14ac:dyDescent="0.25"/>
    <row r="42951" hidden="1" x14ac:dyDescent="0.25"/>
    <row r="42952" hidden="1" x14ac:dyDescent="0.25"/>
    <row r="42953" hidden="1" x14ac:dyDescent="0.25"/>
    <row r="42954" hidden="1" x14ac:dyDescent="0.25"/>
    <row r="42955" hidden="1" x14ac:dyDescent="0.25"/>
    <row r="42956" hidden="1" x14ac:dyDescent="0.25"/>
    <row r="42957" hidden="1" x14ac:dyDescent="0.25"/>
    <row r="42958" hidden="1" x14ac:dyDescent="0.25"/>
    <row r="42959" hidden="1" x14ac:dyDescent="0.25"/>
    <row r="42960" hidden="1" x14ac:dyDescent="0.25"/>
    <row r="42961" hidden="1" x14ac:dyDescent="0.25"/>
    <row r="42962" hidden="1" x14ac:dyDescent="0.25"/>
    <row r="42963" hidden="1" x14ac:dyDescent="0.25"/>
    <row r="42964" hidden="1" x14ac:dyDescent="0.25"/>
    <row r="42965" hidden="1" x14ac:dyDescent="0.25"/>
    <row r="42966" hidden="1" x14ac:dyDescent="0.25"/>
    <row r="42967" hidden="1" x14ac:dyDescent="0.25"/>
    <row r="42968" hidden="1" x14ac:dyDescent="0.25"/>
    <row r="42969" hidden="1" x14ac:dyDescent="0.25"/>
    <row r="42970" hidden="1" x14ac:dyDescent="0.25"/>
    <row r="42971" hidden="1" x14ac:dyDescent="0.25"/>
    <row r="42972" hidden="1" x14ac:dyDescent="0.25"/>
    <row r="42973" hidden="1" x14ac:dyDescent="0.25"/>
    <row r="42974" hidden="1" x14ac:dyDescent="0.25"/>
    <row r="42975" hidden="1" x14ac:dyDescent="0.25"/>
    <row r="42976" hidden="1" x14ac:dyDescent="0.25"/>
    <row r="42977" hidden="1" x14ac:dyDescent="0.25"/>
    <row r="42978" hidden="1" x14ac:dyDescent="0.25"/>
    <row r="42979" hidden="1" x14ac:dyDescent="0.25"/>
    <row r="42980" hidden="1" x14ac:dyDescent="0.25"/>
    <row r="42981" hidden="1" x14ac:dyDescent="0.25"/>
    <row r="42982" hidden="1" x14ac:dyDescent="0.25"/>
    <row r="42983" hidden="1" x14ac:dyDescent="0.25"/>
    <row r="42984" hidden="1" x14ac:dyDescent="0.25"/>
    <row r="42985" hidden="1" x14ac:dyDescent="0.25"/>
    <row r="42986" hidden="1" x14ac:dyDescent="0.25"/>
    <row r="42987" hidden="1" x14ac:dyDescent="0.25"/>
    <row r="42988" hidden="1" x14ac:dyDescent="0.25"/>
    <row r="42989" hidden="1" x14ac:dyDescent="0.25"/>
    <row r="42990" hidden="1" x14ac:dyDescent="0.25"/>
    <row r="42991" hidden="1" x14ac:dyDescent="0.25"/>
    <row r="42992" hidden="1" x14ac:dyDescent="0.25"/>
    <row r="42993" hidden="1" x14ac:dyDescent="0.25"/>
    <row r="42994" hidden="1" x14ac:dyDescent="0.25"/>
    <row r="42995" hidden="1" x14ac:dyDescent="0.25"/>
    <row r="42996" hidden="1" x14ac:dyDescent="0.25"/>
    <row r="42997" hidden="1" x14ac:dyDescent="0.25"/>
    <row r="42998" hidden="1" x14ac:dyDescent="0.25"/>
    <row r="42999" hidden="1" x14ac:dyDescent="0.25"/>
    <row r="43000" hidden="1" x14ac:dyDescent="0.25"/>
    <row r="43001" hidden="1" x14ac:dyDescent="0.25"/>
    <row r="43002" hidden="1" x14ac:dyDescent="0.25"/>
    <row r="43003" hidden="1" x14ac:dyDescent="0.25"/>
    <row r="43004" hidden="1" x14ac:dyDescent="0.25"/>
    <row r="43005" hidden="1" x14ac:dyDescent="0.25"/>
    <row r="43006" hidden="1" x14ac:dyDescent="0.25"/>
    <row r="43007" hidden="1" x14ac:dyDescent="0.25"/>
    <row r="43008" hidden="1" x14ac:dyDescent="0.25"/>
    <row r="43009" hidden="1" x14ac:dyDescent="0.25"/>
    <row r="43010" hidden="1" x14ac:dyDescent="0.25"/>
    <row r="43011" hidden="1" x14ac:dyDescent="0.25"/>
    <row r="43012" hidden="1" x14ac:dyDescent="0.25"/>
    <row r="43013" hidden="1" x14ac:dyDescent="0.25"/>
    <row r="43014" hidden="1" x14ac:dyDescent="0.25"/>
    <row r="43015" hidden="1" x14ac:dyDescent="0.25"/>
    <row r="43016" hidden="1" x14ac:dyDescent="0.25"/>
    <row r="43017" hidden="1" x14ac:dyDescent="0.25"/>
    <row r="43018" hidden="1" x14ac:dyDescent="0.25"/>
    <row r="43019" hidden="1" x14ac:dyDescent="0.25"/>
    <row r="43020" hidden="1" x14ac:dyDescent="0.25"/>
    <row r="43021" hidden="1" x14ac:dyDescent="0.25"/>
    <row r="43022" hidden="1" x14ac:dyDescent="0.25"/>
    <row r="43023" hidden="1" x14ac:dyDescent="0.25"/>
    <row r="43024" hidden="1" x14ac:dyDescent="0.25"/>
    <row r="43025" hidden="1" x14ac:dyDescent="0.25"/>
    <row r="43026" hidden="1" x14ac:dyDescent="0.25"/>
    <row r="43027" hidden="1" x14ac:dyDescent="0.25"/>
    <row r="43028" hidden="1" x14ac:dyDescent="0.25"/>
    <row r="43029" hidden="1" x14ac:dyDescent="0.25"/>
    <row r="43030" hidden="1" x14ac:dyDescent="0.25"/>
    <row r="43031" hidden="1" x14ac:dyDescent="0.25"/>
    <row r="43032" hidden="1" x14ac:dyDescent="0.25"/>
    <row r="43033" hidden="1" x14ac:dyDescent="0.25"/>
    <row r="43034" hidden="1" x14ac:dyDescent="0.25"/>
    <row r="43035" hidden="1" x14ac:dyDescent="0.25"/>
    <row r="43036" hidden="1" x14ac:dyDescent="0.25"/>
    <row r="43037" hidden="1" x14ac:dyDescent="0.25"/>
    <row r="43038" hidden="1" x14ac:dyDescent="0.25"/>
    <row r="43039" hidden="1" x14ac:dyDescent="0.25"/>
    <row r="43040" hidden="1" x14ac:dyDescent="0.25"/>
    <row r="43041" hidden="1" x14ac:dyDescent="0.25"/>
    <row r="43042" hidden="1" x14ac:dyDescent="0.25"/>
    <row r="43043" hidden="1" x14ac:dyDescent="0.25"/>
    <row r="43044" hidden="1" x14ac:dyDescent="0.25"/>
    <row r="43045" hidden="1" x14ac:dyDescent="0.25"/>
    <row r="43046" hidden="1" x14ac:dyDescent="0.25"/>
    <row r="43047" hidden="1" x14ac:dyDescent="0.25"/>
    <row r="43048" hidden="1" x14ac:dyDescent="0.25"/>
    <row r="43049" hidden="1" x14ac:dyDescent="0.25"/>
    <row r="43050" hidden="1" x14ac:dyDescent="0.25"/>
    <row r="43051" hidden="1" x14ac:dyDescent="0.25"/>
    <row r="43052" hidden="1" x14ac:dyDescent="0.25"/>
    <row r="43053" hidden="1" x14ac:dyDescent="0.25"/>
    <row r="43054" hidden="1" x14ac:dyDescent="0.25"/>
    <row r="43055" hidden="1" x14ac:dyDescent="0.25"/>
    <row r="43056" hidden="1" x14ac:dyDescent="0.25"/>
    <row r="43057" hidden="1" x14ac:dyDescent="0.25"/>
    <row r="43058" hidden="1" x14ac:dyDescent="0.25"/>
    <row r="43059" hidden="1" x14ac:dyDescent="0.25"/>
    <row r="43060" hidden="1" x14ac:dyDescent="0.25"/>
    <row r="43061" hidden="1" x14ac:dyDescent="0.25"/>
    <row r="43062" hidden="1" x14ac:dyDescent="0.25"/>
    <row r="43063" hidden="1" x14ac:dyDescent="0.25"/>
    <row r="43064" hidden="1" x14ac:dyDescent="0.25"/>
    <row r="43065" hidden="1" x14ac:dyDescent="0.25"/>
    <row r="43066" hidden="1" x14ac:dyDescent="0.25"/>
    <row r="43067" hidden="1" x14ac:dyDescent="0.25"/>
    <row r="43068" hidden="1" x14ac:dyDescent="0.25"/>
    <row r="43069" hidden="1" x14ac:dyDescent="0.25"/>
    <row r="43070" hidden="1" x14ac:dyDescent="0.25"/>
    <row r="43071" hidden="1" x14ac:dyDescent="0.25"/>
    <row r="43072" hidden="1" x14ac:dyDescent="0.25"/>
    <row r="43073" hidden="1" x14ac:dyDescent="0.25"/>
    <row r="43074" hidden="1" x14ac:dyDescent="0.25"/>
    <row r="43075" hidden="1" x14ac:dyDescent="0.25"/>
    <row r="43076" hidden="1" x14ac:dyDescent="0.25"/>
    <row r="43077" hidden="1" x14ac:dyDescent="0.25"/>
    <row r="43078" hidden="1" x14ac:dyDescent="0.25"/>
    <row r="43079" hidden="1" x14ac:dyDescent="0.25"/>
    <row r="43080" hidden="1" x14ac:dyDescent="0.25"/>
    <row r="43081" hidden="1" x14ac:dyDescent="0.25"/>
    <row r="43082" hidden="1" x14ac:dyDescent="0.25"/>
    <row r="43083" hidden="1" x14ac:dyDescent="0.25"/>
    <row r="43084" hidden="1" x14ac:dyDescent="0.25"/>
    <row r="43085" hidden="1" x14ac:dyDescent="0.25"/>
    <row r="43086" hidden="1" x14ac:dyDescent="0.25"/>
    <row r="43087" hidden="1" x14ac:dyDescent="0.25"/>
    <row r="43088" hidden="1" x14ac:dyDescent="0.25"/>
    <row r="43089" hidden="1" x14ac:dyDescent="0.25"/>
    <row r="43090" hidden="1" x14ac:dyDescent="0.25"/>
    <row r="43091" hidden="1" x14ac:dyDescent="0.25"/>
    <row r="43092" hidden="1" x14ac:dyDescent="0.25"/>
    <row r="43093" hidden="1" x14ac:dyDescent="0.25"/>
    <row r="43094" hidden="1" x14ac:dyDescent="0.25"/>
    <row r="43095" hidden="1" x14ac:dyDescent="0.25"/>
    <row r="43096" hidden="1" x14ac:dyDescent="0.25"/>
    <row r="43097" hidden="1" x14ac:dyDescent="0.25"/>
    <row r="43098" hidden="1" x14ac:dyDescent="0.25"/>
    <row r="43099" hidden="1" x14ac:dyDescent="0.25"/>
    <row r="43100" hidden="1" x14ac:dyDescent="0.25"/>
    <row r="43101" hidden="1" x14ac:dyDescent="0.25"/>
    <row r="43102" hidden="1" x14ac:dyDescent="0.25"/>
    <row r="43103" hidden="1" x14ac:dyDescent="0.25"/>
    <row r="43104" hidden="1" x14ac:dyDescent="0.25"/>
    <row r="43105" hidden="1" x14ac:dyDescent="0.25"/>
    <row r="43106" hidden="1" x14ac:dyDescent="0.25"/>
    <row r="43107" hidden="1" x14ac:dyDescent="0.25"/>
    <row r="43108" hidden="1" x14ac:dyDescent="0.25"/>
    <row r="43109" hidden="1" x14ac:dyDescent="0.25"/>
    <row r="43110" hidden="1" x14ac:dyDescent="0.25"/>
    <row r="43111" hidden="1" x14ac:dyDescent="0.25"/>
    <row r="43112" hidden="1" x14ac:dyDescent="0.25"/>
    <row r="43113" hidden="1" x14ac:dyDescent="0.25"/>
    <row r="43114" hidden="1" x14ac:dyDescent="0.25"/>
    <row r="43115" hidden="1" x14ac:dyDescent="0.25"/>
    <row r="43116" hidden="1" x14ac:dyDescent="0.25"/>
    <row r="43117" hidden="1" x14ac:dyDescent="0.25"/>
    <row r="43118" hidden="1" x14ac:dyDescent="0.25"/>
    <row r="43119" hidden="1" x14ac:dyDescent="0.25"/>
    <row r="43120" hidden="1" x14ac:dyDescent="0.25"/>
    <row r="43121" hidden="1" x14ac:dyDescent="0.25"/>
    <row r="43122" hidden="1" x14ac:dyDescent="0.25"/>
    <row r="43123" hidden="1" x14ac:dyDescent="0.25"/>
    <row r="43124" hidden="1" x14ac:dyDescent="0.25"/>
    <row r="43125" hidden="1" x14ac:dyDescent="0.25"/>
    <row r="43126" hidden="1" x14ac:dyDescent="0.25"/>
    <row r="43127" hidden="1" x14ac:dyDescent="0.25"/>
    <row r="43128" hidden="1" x14ac:dyDescent="0.25"/>
    <row r="43129" hidden="1" x14ac:dyDescent="0.25"/>
    <row r="43130" hidden="1" x14ac:dyDescent="0.25"/>
    <row r="43131" hidden="1" x14ac:dyDescent="0.25"/>
    <row r="43132" hidden="1" x14ac:dyDescent="0.25"/>
    <row r="43133" hidden="1" x14ac:dyDescent="0.25"/>
    <row r="43134" hidden="1" x14ac:dyDescent="0.25"/>
    <row r="43135" hidden="1" x14ac:dyDescent="0.25"/>
    <row r="43136" hidden="1" x14ac:dyDescent="0.25"/>
    <row r="43137" hidden="1" x14ac:dyDescent="0.25"/>
    <row r="43138" hidden="1" x14ac:dyDescent="0.25"/>
    <row r="43139" hidden="1" x14ac:dyDescent="0.25"/>
    <row r="43140" hidden="1" x14ac:dyDescent="0.25"/>
    <row r="43141" hidden="1" x14ac:dyDescent="0.25"/>
    <row r="43142" hidden="1" x14ac:dyDescent="0.25"/>
    <row r="43143" hidden="1" x14ac:dyDescent="0.25"/>
    <row r="43144" hidden="1" x14ac:dyDescent="0.25"/>
    <row r="43145" hidden="1" x14ac:dyDescent="0.25"/>
    <row r="43146" hidden="1" x14ac:dyDescent="0.25"/>
    <row r="43147" hidden="1" x14ac:dyDescent="0.25"/>
    <row r="43148" hidden="1" x14ac:dyDescent="0.25"/>
    <row r="43149" hidden="1" x14ac:dyDescent="0.25"/>
    <row r="43150" hidden="1" x14ac:dyDescent="0.25"/>
    <row r="43151" hidden="1" x14ac:dyDescent="0.25"/>
    <row r="43152" hidden="1" x14ac:dyDescent="0.25"/>
    <row r="43153" hidden="1" x14ac:dyDescent="0.25"/>
    <row r="43154" hidden="1" x14ac:dyDescent="0.25"/>
    <row r="43155" hidden="1" x14ac:dyDescent="0.25"/>
    <row r="43156" hidden="1" x14ac:dyDescent="0.25"/>
    <row r="43157" hidden="1" x14ac:dyDescent="0.25"/>
    <row r="43158" hidden="1" x14ac:dyDescent="0.25"/>
    <row r="43159" hidden="1" x14ac:dyDescent="0.25"/>
    <row r="43160" hidden="1" x14ac:dyDescent="0.25"/>
    <row r="43161" hidden="1" x14ac:dyDescent="0.25"/>
    <row r="43162" hidden="1" x14ac:dyDescent="0.25"/>
    <row r="43163" hidden="1" x14ac:dyDescent="0.25"/>
    <row r="43164" hidden="1" x14ac:dyDescent="0.25"/>
    <row r="43165" hidden="1" x14ac:dyDescent="0.25"/>
    <row r="43166" hidden="1" x14ac:dyDescent="0.25"/>
    <row r="43167" hidden="1" x14ac:dyDescent="0.25"/>
    <row r="43168" hidden="1" x14ac:dyDescent="0.25"/>
    <row r="43169" hidden="1" x14ac:dyDescent="0.25"/>
    <row r="43170" hidden="1" x14ac:dyDescent="0.25"/>
    <row r="43171" hidden="1" x14ac:dyDescent="0.25"/>
    <row r="43172" hidden="1" x14ac:dyDescent="0.25"/>
    <row r="43173" hidden="1" x14ac:dyDescent="0.25"/>
    <row r="43174" hidden="1" x14ac:dyDescent="0.25"/>
    <row r="43175" hidden="1" x14ac:dyDescent="0.25"/>
    <row r="43176" hidden="1" x14ac:dyDescent="0.25"/>
    <row r="43177" hidden="1" x14ac:dyDescent="0.25"/>
    <row r="43178" hidden="1" x14ac:dyDescent="0.25"/>
    <row r="43179" hidden="1" x14ac:dyDescent="0.25"/>
    <row r="43180" hidden="1" x14ac:dyDescent="0.25"/>
    <row r="43181" hidden="1" x14ac:dyDescent="0.25"/>
    <row r="43182" hidden="1" x14ac:dyDescent="0.25"/>
    <row r="43183" hidden="1" x14ac:dyDescent="0.25"/>
    <row r="43184" hidden="1" x14ac:dyDescent="0.25"/>
    <row r="43185" hidden="1" x14ac:dyDescent="0.25"/>
    <row r="43186" hidden="1" x14ac:dyDescent="0.25"/>
    <row r="43187" hidden="1" x14ac:dyDescent="0.25"/>
    <row r="43188" hidden="1" x14ac:dyDescent="0.25"/>
    <row r="43189" hidden="1" x14ac:dyDescent="0.25"/>
    <row r="43190" hidden="1" x14ac:dyDescent="0.25"/>
    <row r="43191" hidden="1" x14ac:dyDescent="0.25"/>
    <row r="43192" hidden="1" x14ac:dyDescent="0.25"/>
    <row r="43193" hidden="1" x14ac:dyDescent="0.25"/>
    <row r="43194" hidden="1" x14ac:dyDescent="0.25"/>
    <row r="43195" hidden="1" x14ac:dyDescent="0.25"/>
    <row r="43196" hidden="1" x14ac:dyDescent="0.25"/>
    <row r="43197" hidden="1" x14ac:dyDescent="0.25"/>
    <row r="43198" hidden="1" x14ac:dyDescent="0.25"/>
    <row r="43199" hidden="1" x14ac:dyDescent="0.25"/>
    <row r="43200" hidden="1" x14ac:dyDescent="0.25"/>
    <row r="43201" hidden="1" x14ac:dyDescent="0.25"/>
    <row r="43202" hidden="1" x14ac:dyDescent="0.25"/>
    <row r="43203" hidden="1" x14ac:dyDescent="0.25"/>
    <row r="43204" hidden="1" x14ac:dyDescent="0.25"/>
    <row r="43205" hidden="1" x14ac:dyDescent="0.25"/>
    <row r="43206" hidden="1" x14ac:dyDescent="0.25"/>
    <row r="43207" hidden="1" x14ac:dyDescent="0.25"/>
    <row r="43208" hidden="1" x14ac:dyDescent="0.25"/>
    <row r="43209" hidden="1" x14ac:dyDescent="0.25"/>
    <row r="43210" hidden="1" x14ac:dyDescent="0.25"/>
    <row r="43211" hidden="1" x14ac:dyDescent="0.25"/>
    <row r="43212" hidden="1" x14ac:dyDescent="0.25"/>
    <row r="43213" hidden="1" x14ac:dyDescent="0.25"/>
    <row r="43214" hidden="1" x14ac:dyDescent="0.25"/>
    <row r="43215" hidden="1" x14ac:dyDescent="0.25"/>
    <row r="43216" hidden="1" x14ac:dyDescent="0.25"/>
    <row r="43217" hidden="1" x14ac:dyDescent="0.25"/>
    <row r="43218" hidden="1" x14ac:dyDescent="0.25"/>
    <row r="43219" hidden="1" x14ac:dyDescent="0.25"/>
    <row r="43220" hidden="1" x14ac:dyDescent="0.25"/>
    <row r="43221" hidden="1" x14ac:dyDescent="0.25"/>
    <row r="43222" hidden="1" x14ac:dyDescent="0.25"/>
    <row r="43223" hidden="1" x14ac:dyDescent="0.25"/>
    <row r="43224" hidden="1" x14ac:dyDescent="0.25"/>
    <row r="43225" hidden="1" x14ac:dyDescent="0.25"/>
    <row r="43226" hidden="1" x14ac:dyDescent="0.25"/>
    <row r="43227" hidden="1" x14ac:dyDescent="0.25"/>
    <row r="43228" hidden="1" x14ac:dyDescent="0.25"/>
    <row r="43229" hidden="1" x14ac:dyDescent="0.25"/>
    <row r="43230" hidden="1" x14ac:dyDescent="0.25"/>
    <row r="43231" hidden="1" x14ac:dyDescent="0.25"/>
    <row r="43232" hidden="1" x14ac:dyDescent="0.25"/>
    <row r="43233" hidden="1" x14ac:dyDescent="0.25"/>
    <row r="43234" hidden="1" x14ac:dyDescent="0.25"/>
    <row r="43235" hidden="1" x14ac:dyDescent="0.25"/>
    <row r="43236" hidden="1" x14ac:dyDescent="0.25"/>
    <row r="43237" hidden="1" x14ac:dyDescent="0.25"/>
    <row r="43238" hidden="1" x14ac:dyDescent="0.25"/>
    <row r="43239" hidden="1" x14ac:dyDescent="0.25"/>
    <row r="43240" hidden="1" x14ac:dyDescent="0.25"/>
    <row r="43241" hidden="1" x14ac:dyDescent="0.25"/>
    <row r="43242" hidden="1" x14ac:dyDescent="0.25"/>
    <row r="43243" hidden="1" x14ac:dyDescent="0.25"/>
    <row r="43244" hidden="1" x14ac:dyDescent="0.25"/>
    <row r="43245" hidden="1" x14ac:dyDescent="0.25"/>
    <row r="43246" hidden="1" x14ac:dyDescent="0.25"/>
    <row r="43247" hidden="1" x14ac:dyDescent="0.25"/>
    <row r="43248" hidden="1" x14ac:dyDescent="0.25"/>
    <row r="43249" hidden="1" x14ac:dyDescent="0.25"/>
    <row r="43250" hidden="1" x14ac:dyDescent="0.25"/>
    <row r="43251" hidden="1" x14ac:dyDescent="0.25"/>
    <row r="43252" hidden="1" x14ac:dyDescent="0.25"/>
    <row r="43253" hidden="1" x14ac:dyDescent="0.25"/>
    <row r="43254" hidden="1" x14ac:dyDescent="0.25"/>
    <row r="43255" hidden="1" x14ac:dyDescent="0.25"/>
    <row r="43256" hidden="1" x14ac:dyDescent="0.25"/>
    <row r="43257" hidden="1" x14ac:dyDescent="0.25"/>
    <row r="43258" hidden="1" x14ac:dyDescent="0.25"/>
    <row r="43259" hidden="1" x14ac:dyDescent="0.25"/>
    <row r="43260" hidden="1" x14ac:dyDescent="0.25"/>
    <row r="43261" hidden="1" x14ac:dyDescent="0.25"/>
    <row r="43262" hidden="1" x14ac:dyDescent="0.25"/>
    <row r="43263" hidden="1" x14ac:dyDescent="0.25"/>
    <row r="43264" hidden="1" x14ac:dyDescent="0.25"/>
    <row r="43265" hidden="1" x14ac:dyDescent="0.25"/>
    <row r="43266" hidden="1" x14ac:dyDescent="0.25"/>
    <row r="43267" hidden="1" x14ac:dyDescent="0.25"/>
    <row r="43268" hidden="1" x14ac:dyDescent="0.25"/>
    <row r="43269" hidden="1" x14ac:dyDescent="0.25"/>
    <row r="43270" hidden="1" x14ac:dyDescent="0.25"/>
    <row r="43271" hidden="1" x14ac:dyDescent="0.25"/>
    <row r="43272" hidden="1" x14ac:dyDescent="0.25"/>
    <row r="43273" hidden="1" x14ac:dyDescent="0.25"/>
    <row r="43274" hidden="1" x14ac:dyDescent="0.25"/>
    <row r="43275" hidden="1" x14ac:dyDescent="0.25"/>
    <row r="43276" hidden="1" x14ac:dyDescent="0.25"/>
    <row r="43277" hidden="1" x14ac:dyDescent="0.25"/>
    <row r="43278" hidden="1" x14ac:dyDescent="0.25"/>
    <row r="43279" hidden="1" x14ac:dyDescent="0.25"/>
    <row r="43280" hidden="1" x14ac:dyDescent="0.25"/>
    <row r="43281" hidden="1" x14ac:dyDescent="0.25"/>
    <row r="43282" hidden="1" x14ac:dyDescent="0.25"/>
    <row r="43283" hidden="1" x14ac:dyDescent="0.25"/>
    <row r="43284" hidden="1" x14ac:dyDescent="0.25"/>
    <row r="43285" hidden="1" x14ac:dyDescent="0.25"/>
    <row r="43286" hidden="1" x14ac:dyDescent="0.25"/>
    <row r="43287" hidden="1" x14ac:dyDescent="0.25"/>
    <row r="43288" hidden="1" x14ac:dyDescent="0.25"/>
    <row r="43289" hidden="1" x14ac:dyDescent="0.25"/>
    <row r="43290" hidden="1" x14ac:dyDescent="0.25"/>
    <row r="43291" hidden="1" x14ac:dyDescent="0.25"/>
    <row r="43292" hidden="1" x14ac:dyDescent="0.25"/>
    <row r="43293" hidden="1" x14ac:dyDescent="0.25"/>
    <row r="43294" hidden="1" x14ac:dyDescent="0.25"/>
    <row r="43295" hidden="1" x14ac:dyDescent="0.25"/>
    <row r="43296" hidden="1" x14ac:dyDescent="0.25"/>
    <row r="43297" hidden="1" x14ac:dyDescent="0.25"/>
    <row r="43298" hidden="1" x14ac:dyDescent="0.25"/>
    <row r="43299" hidden="1" x14ac:dyDescent="0.25"/>
    <row r="43300" hidden="1" x14ac:dyDescent="0.25"/>
    <row r="43301" hidden="1" x14ac:dyDescent="0.25"/>
    <row r="43302" hidden="1" x14ac:dyDescent="0.25"/>
    <row r="43303" hidden="1" x14ac:dyDescent="0.25"/>
    <row r="43304" hidden="1" x14ac:dyDescent="0.25"/>
    <row r="43305" hidden="1" x14ac:dyDescent="0.25"/>
    <row r="43306" hidden="1" x14ac:dyDescent="0.25"/>
    <row r="43307" hidden="1" x14ac:dyDescent="0.25"/>
    <row r="43308" hidden="1" x14ac:dyDescent="0.25"/>
    <row r="43309" hidden="1" x14ac:dyDescent="0.25"/>
    <row r="43310" hidden="1" x14ac:dyDescent="0.25"/>
    <row r="43311" hidden="1" x14ac:dyDescent="0.25"/>
    <row r="43312" hidden="1" x14ac:dyDescent="0.25"/>
    <row r="43313" hidden="1" x14ac:dyDescent="0.25"/>
    <row r="43314" hidden="1" x14ac:dyDescent="0.25"/>
    <row r="43315" hidden="1" x14ac:dyDescent="0.25"/>
    <row r="43316" hidden="1" x14ac:dyDescent="0.25"/>
    <row r="43317" hidden="1" x14ac:dyDescent="0.25"/>
    <row r="43318" hidden="1" x14ac:dyDescent="0.25"/>
    <row r="43319" hidden="1" x14ac:dyDescent="0.25"/>
    <row r="43320" hidden="1" x14ac:dyDescent="0.25"/>
    <row r="43321" hidden="1" x14ac:dyDescent="0.25"/>
    <row r="43322" hidden="1" x14ac:dyDescent="0.25"/>
    <row r="43323" hidden="1" x14ac:dyDescent="0.25"/>
    <row r="43324" hidden="1" x14ac:dyDescent="0.25"/>
    <row r="43325" hidden="1" x14ac:dyDescent="0.25"/>
    <row r="43326" hidden="1" x14ac:dyDescent="0.25"/>
    <row r="43327" hidden="1" x14ac:dyDescent="0.25"/>
    <row r="43328" hidden="1" x14ac:dyDescent="0.25"/>
    <row r="43329" hidden="1" x14ac:dyDescent="0.25"/>
    <row r="43330" hidden="1" x14ac:dyDescent="0.25"/>
    <row r="43331" hidden="1" x14ac:dyDescent="0.25"/>
    <row r="43332" hidden="1" x14ac:dyDescent="0.25"/>
    <row r="43333" hidden="1" x14ac:dyDescent="0.25"/>
    <row r="43334" hidden="1" x14ac:dyDescent="0.25"/>
    <row r="43335" hidden="1" x14ac:dyDescent="0.25"/>
    <row r="43336" hidden="1" x14ac:dyDescent="0.25"/>
    <row r="43337" hidden="1" x14ac:dyDescent="0.25"/>
    <row r="43338" hidden="1" x14ac:dyDescent="0.25"/>
    <row r="43339" hidden="1" x14ac:dyDescent="0.25"/>
    <row r="43340" hidden="1" x14ac:dyDescent="0.25"/>
    <row r="43341" hidden="1" x14ac:dyDescent="0.25"/>
    <row r="43342" hidden="1" x14ac:dyDescent="0.25"/>
    <row r="43343" hidden="1" x14ac:dyDescent="0.25"/>
    <row r="43344" hidden="1" x14ac:dyDescent="0.25"/>
    <row r="43345" hidden="1" x14ac:dyDescent="0.25"/>
    <row r="43346" hidden="1" x14ac:dyDescent="0.25"/>
    <row r="43347" hidden="1" x14ac:dyDescent="0.25"/>
    <row r="43348" hidden="1" x14ac:dyDescent="0.25"/>
    <row r="43349" hidden="1" x14ac:dyDescent="0.25"/>
    <row r="43350" hidden="1" x14ac:dyDescent="0.25"/>
    <row r="43351" hidden="1" x14ac:dyDescent="0.25"/>
    <row r="43352" hidden="1" x14ac:dyDescent="0.25"/>
    <row r="43353" hidden="1" x14ac:dyDescent="0.25"/>
    <row r="43354" hidden="1" x14ac:dyDescent="0.25"/>
    <row r="43355" hidden="1" x14ac:dyDescent="0.25"/>
    <row r="43356" hidden="1" x14ac:dyDescent="0.25"/>
    <row r="43357" hidden="1" x14ac:dyDescent="0.25"/>
    <row r="43358" hidden="1" x14ac:dyDescent="0.25"/>
    <row r="43359" hidden="1" x14ac:dyDescent="0.25"/>
    <row r="43360" hidden="1" x14ac:dyDescent="0.25"/>
    <row r="43361" hidden="1" x14ac:dyDescent="0.25"/>
    <row r="43362" hidden="1" x14ac:dyDescent="0.25"/>
    <row r="43363" hidden="1" x14ac:dyDescent="0.25"/>
    <row r="43364" hidden="1" x14ac:dyDescent="0.25"/>
    <row r="43365" hidden="1" x14ac:dyDescent="0.25"/>
    <row r="43366" hidden="1" x14ac:dyDescent="0.25"/>
    <row r="43367" hidden="1" x14ac:dyDescent="0.25"/>
    <row r="43368" hidden="1" x14ac:dyDescent="0.25"/>
    <row r="43369" hidden="1" x14ac:dyDescent="0.25"/>
    <row r="43370" hidden="1" x14ac:dyDescent="0.25"/>
    <row r="43371" hidden="1" x14ac:dyDescent="0.25"/>
    <row r="43372" hidden="1" x14ac:dyDescent="0.25"/>
    <row r="43373" hidden="1" x14ac:dyDescent="0.25"/>
    <row r="43374" hidden="1" x14ac:dyDescent="0.25"/>
    <row r="43375" hidden="1" x14ac:dyDescent="0.25"/>
    <row r="43376" hidden="1" x14ac:dyDescent="0.25"/>
    <row r="43377" hidden="1" x14ac:dyDescent="0.25"/>
    <row r="43378" hidden="1" x14ac:dyDescent="0.25"/>
    <row r="43379" hidden="1" x14ac:dyDescent="0.25"/>
    <row r="43380" hidden="1" x14ac:dyDescent="0.25"/>
    <row r="43381" hidden="1" x14ac:dyDescent="0.25"/>
    <row r="43382" hidden="1" x14ac:dyDescent="0.25"/>
    <row r="43383" hidden="1" x14ac:dyDescent="0.25"/>
    <row r="43384" hidden="1" x14ac:dyDescent="0.25"/>
    <row r="43385" hidden="1" x14ac:dyDescent="0.25"/>
    <row r="43386" hidden="1" x14ac:dyDescent="0.25"/>
    <row r="43387" hidden="1" x14ac:dyDescent="0.25"/>
    <row r="43388" hidden="1" x14ac:dyDescent="0.25"/>
    <row r="43389" hidden="1" x14ac:dyDescent="0.25"/>
    <row r="43390" hidden="1" x14ac:dyDescent="0.25"/>
    <row r="43391" hidden="1" x14ac:dyDescent="0.25"/>
    <row r="43392" hidden="1" x14ac:dyDescent="0.25"/>
    <row r="43393" hidden="1" x14ac:dyDescent="0.25"/>
    <row r="43394" hidden="1" x14ac:dyDescent="0.25"/>
    <row r="43395" hidden="1" x14ac:dyDescent="0.25"/>
    <row r="43396" hidden="1" x14ac:dyDescent="0.25"/>
    <row r="43397" hidden="1" x14ac:dyDescent="0.25"/>
    <row r="43398" hidden="1" x14ac:dyDescent="0.25"/>
    <row r="43399" hidden="1" x14ac:dyDescent="0.25"/>
    <row r="43400" hidden="1" x14ac:dyDescent="0.25"/>
    <row r="43401" hidden="1" x14ac:dyDescent="0.25"/>
    <row r="43402" hidden="1" x14ac:dyDescent="0.25"/>
    <row r="43403" hidden="1" x14ac:dyDescent="0.25"/>
    <row r="43404" hidden="1" x14ac:dyDescent="0.25"/>
    <row r="43405" hidden="1" x14ac:dyDescent="0.25"/>
    <row r="43406" hidden="1" x14ac:dyDescent="0.25"/>
    <row r="43407" hidden="1" x14ac:dyDescent="0.25"/>
    <row r="43408" hidden="1" x14ac:dyDescent="0.25"/>
    <row r="43409" hidden="1" x14ac:dyDescent="0.25"/>
    <row r="43410" hidden="1" x14ac:dyDescent="0.25"/>
    <row r="43411" hidden="1" x14ac:dyDescent="0.25"/>
    <row r="43412" hidden="1" x14ac:dyDescent="0.25"/>
    <row r="43413" hidden="1" x14ac:dyDescent="0.25"/>
    <row r="43414" hidden="1" x14ac:dyDescent="0.25"/>
    <row r="43415" hidden="1" x14ac:dyDescent="0.25"/>
    <row r="43416" hidden="1" x14ac:dyDescent="0.25"/>
    <row r="43417" hidden="1" x14ac:dyDescent="0.25"/>
    <row r="43418" hidden="1" x14ac:dyDescent="0.25"/>
    <row r="43419" hidden="1" x14ac:dyDescent="0.25"/>
    <row r="43420" hidden="1" x14ac:dyDescent="0.25"/>
    <row r="43421" hidden="1" x14ac:dyDescent="0.25"/>
    <row r="43422" hidden="1" x14ac:dyDescent="0.25"/>
    <row r="43423" hidden="1" x14ac:dyDescent="0.25"/>
    <row r="43424" hidden="1" x14ac:dyDescent="0.25"/>
    <row r="43425" hidden="1" x14ac:dyDescent="0.25"/>
    <row r="43426" hidden="1" x14ac:dyDescent="0.25"/>
    <row r="43427" hidden="1" x14ac:dyDescent="0.25"/>
    <row r="43428" hidden="1" x14ac:dyDescent="0.25"/>
    <row r="43429" hidden="1" x14ac:dyDescent="0.25"/>
    <row r="43430" hidden="1" x14ac:dyDescent="0.25"/>
    <row r="43431" hidden="1" x14ac:dyDescent="0.25"/>
    <row r="43432" hidden="1" x14ac:dyDescent="0.25"/>
    <row r="43433" hidden="1" x14ac:dyDescent="0.25"/>
    <row r="43434" hidden="1" x14ac:dyDescent="0.25"/>
    <row r="43435" hidden="1" x14ac:dyDescent="0.25"/>
    <row r="43436" hidden="1" x14ac:dyDescent="0.25"/>
    <row r="43437" hidden="1" x14ac:dyDescent="0.25"/>
    <row r="43438" hidden="1" x14ac:dyDescent="0.25"/>
    <row r="43439" hidden="1" x14ac:dyDescent="0.25"/>
    <row r="43440" hidden="1" x14ac:dyDescent="0.25"/>
    <row r="43441" hidden="1" x14ac:dyDescent="0.25"/>
    <row r="43442" hidden="1" x14ac:dyDescent="0.25"/>
    <row r="43443" hidden="1" x14ac:dyDescent="0.25"/>
    <row r="43444" hidden="1" x14ac:dyDescent="0.25"/>
    <row r="43445" hidden="1" x14ac:dyDescent="0.25"/>
    <row r="43446" hidden="1" x14ac:dyDescent="0.25"/>
    <row r="43447" hidden="1" x14ac:dyDescent="0.25"/>
    <row r="43448" hidden="1" x14ac:dyDescent="0.25"/>
    <row r="43449" hidden="1" x14ac:dyDescent="0.25"/>
    <row r="43450" hidden="1" x14ac:dyDescent="0.25"/>
    <row r="43451" hidden="1" x14ac:dyDescent="0.25"/>
    <row r="43452" hidden="1" x14ac:dyDescent="0.25"/>
    <row r="43453" hidden="1" x14ac:dyDescent="0.25"/>
    <row r="43454" hidden="1" x14ac:dyDescent="0.25"/>
    <row r="43455" hidden="1" x14ac:dyDescent="0.25"/>
    <row r="43456" hidden="1" x14ac:dyDescent="0.25"/>
    <row r="43457" hidden="1" x14ac:dyDescent="0.25"/>
    <row r="43458" hidden="1" x14ac:dyDescent="0.25"/>
    <row r="43459" hidden="1" x14ac:dyDescent="0.25"/>
    <row r="43460" hidden="1" x14ac:dyDescent="0.25"/>
    <row r="43461" hidden="1" x14ac:dyDescent="0.25"/>
    <row r="43462" hidden="1" x14ac:dyDescent="0.25"/>
    <row r="43463" hidden="1" x14ac:dyDescent="0.25"/>
    <row r="43464" hidden="1" x14ac:dyDescent="0.25"/>
    <row r="43465" hidden="1" x14ac:dyDescent="0.25"/>
    <row r="43466" hidden="1" x14ac:dyDescent="0.25"/>
    <row r="43467" hidden="1" x14ac:dyDescent="0.25"/>
    <row r="43468" hidden="1" x14ac:dyDescent="0.25"/>
    <row r="43469" hidden="1" x14ac:dyDescent="0.25"/>
    <row r="43470" hidden="1" x14ac:dyDescent="0.25"/>
    <row r="43471" hidden="1" x14ac:dyDescent="0.25"/>
    <row r="43472" hidden="1" x14ac:dyDescent="0.25"/>
    <row r="43473" hidden="1" x14ac:dyDescent="0.25"/>
    <row r="43474" hidden="1" x14ac:dyDescent="0.25"/>
    <row r="43475" hidden="1" x14ac:dyDescent="0.25"/>
    <row r="43476" hidden="1" x14ac:dyDescent="0.25"/>
    <row r="43477" hidden="1" x14ac:dyDescent="0.25"/>
    <row r="43478" hidden="1" x14ac:dyDescent="0.25"/>
    <row r="43479" hidden="1" x14ac:dyDescent="0.25"/>
    <row r="43480" hidden="1" x14ac:dyDescent="0.25"/>
    <row r="43481" hidden="1" x14ac:dyDescent="0.25"/>
    <row r="43482" hidden="1" x14ac:dyDescent="0.25"/>
    <row r="43483" hidden="1" x14ac:dyDescent="0.25"/>
    <row r="43484" hidden="1" x14ac:dyDescent="0.25"/>
    <row r="43485" hidden="1" x14ac:dyDescent="0.25"/>
    <row r="43486" hidden="1" x14ac:dyDescent="0.25"/>
    <row r="43487" hidden="1" x14ac:dyDescent="0.25"/>
    <row r="43488" hidden="1" x14ac:dyDescent="0.25"/>
    <row r="43489" hidden="1" x14ac:dyDescent="0.25"/>
    <row r="43490" hidden="1" x14ac:dyDescent="0.25"/>
    <row r="43491" hidden="1" x14ac:dyDescent="0.25"/>
    <row r="43492" hidden="1" x14ac:dyDescent="0.25"/>
    <row r="43493" hidden="1" x14ac:dyDescent="0.25"/>
    <row r="43494" hidden="1" x14ac:dyDescent="0.25"/>
    <row r="43495" hidden="1" x14ac:dyDescent="0.25"/>
    <row r="43496" hidden="1" x14ac:dyDescent="0.25"/>
    <row r="43497" hidden="1" x14ac:dyDescent="0.25"/>
    <row r="43498" hidden="1" x14ac:dyDescent="0.25"/>
    <row r="43499" hidden="1" x14ac:dyDescent="0.25"/>
    <row r="43500" hidden="1" x14ac:dyDescent="0.25"/>
    <row r="43501" hidden="1" x14ac:dyDescent="0.25"/>
    <row r="43502" hidden="1" x14ac:dyDescent="0.25"/>
    <row r="43503" hidden="1" x14ac:dyDescent="0.25"/>
    <row r="43504" hidden="1" x14ac:dyDescent="0.25"/>
    <row r="43505" hidden="1" x14ac:dyDescent="0.25"/>
    <row r="43506" hidden="1" x14ac:dyDescent="0.25"/>
    <row r="43507" hidden="1" x14ac:dyDescent="0.25"/>
    <row r="43508" hidden="1" x14ac:dyDescent="0.25"/>
    <row r="43509" hidden="1" x14ac:dyDescent="0.25"/>
    <row r="43510" hidden="1" x14ac:dyDescent="0.25"/>
    <row r="43511" hidden="1" x14ac:dyDescent="0.25"/>
    <row r="43512" hidden="1" x14ac:dyDescent="0.25"/>
    <row r="43513" hidden="1" x14ac:dyDescent="0.25"/>
    <row r="43514" hidden="1" x14ac:dyDescent="0.25"/>
    <row r="43515" hidden="1" x14ac:dyDescent="0.25"/>
    <row r="43516" hidden="1" x14ac:dyDescent="0.25"/>
    <row r="43517" hidden="1" x14ac:dyDescent="0.25"/>
    <row r="43518" hidden="1" x14ac:dyDescent="0.25"/>
    <row r="43519" hidden="1" x14ac:dyDescent="0.25"/>
    <row r="43520" hidden="1" x14ac:dyDescent="0.25"/>
    <row r="43521" hidden="1" x14ac:dyDescent="0.25"/>
    <row r="43522" hidden="1" x14ac:dyDescent="0.25"/>
    <row r="43523" hidden="1" x14ac:dyDescent="0.25"/>
    <row r="43524" hidden="1" x14ac:dyDescent="0.25"/>
    <row r="43525" hidden="1" x14ac:dyDescent="0.25"/>
    <row r="43526" hidden="1" x14ac:dyDescent="0.25"/>
    <row r="43527" hidden="1" x14ac:dyDescent="0.25"/>
    <row r="43528" hidden="1" x14ac:dyDescent="0.25"/>
    <row r="43529" hidden="1" x14ac:dyDescent="0.25"/>
    <row r="43530" hidden="1" x14ac:dyDescent="0.25"/>
    <row r="43531" hidden="1" x14ac:dyDescent="0.25"/>
    <row r="43532" hidden="1" x14ac:dyDescent="0.25"/>
    <row r="43533" hidden="1" x14ac:dyDescent="0.25"/>
    <row r="43534" hidden="1" x14ac:dyDescent="0.25"/>
    <row r="43535" hidden="1" x14ac:dyDescent="0.25"/>
    <row r="43536" hidden="1" x14ac:dyDescent="0.25"/>
    <row r="43537" hidden="1" x14ac:dyDescent="0.25"/>
    <row r="43538" hidden="1" x14ac:dyDescent="0.25"/>
    <row r="43539" hidden="1" x14ac:dyDescent="0.25"/>
    <row r="43540" hidden="1" x14ac:dyDescent="0.25"/>
    <row r="43541" hidden="1" x14ac:dyDescent="0.25"/>
    <row r="43542" hidden="1" x14ac:dyDescent="0.25"/>
    <row r="43543" hidden="1" x14ac:dyDescent="0.25"/>
    <row r="43544" hidden="1" x14ac:dyDescent="0.25"/>
    <row r="43545" hidden="1" x14ac:dyDescent="0.25"/>
    <row r="43546" hidden="1" x14ac:dyDescent="0.25"/>
    <row r="43547" hidden="1" x14ac:dyDescent="0.25"/>
    <row r="43548" hidden="1" x14ac:dyDescent="0.25"/>
    <row r="43549" hidden="1" x14ac:dyDescent="0.25"/>
    <row r="43550" hidden="1" x14ac:dyDescent="0.25"/>
    <row r="43551" hidden="1" x14ac:dyDescent="0.25"/>
    <row r="43552" hidden="1" x14ac:dyDescent="0.25"/>
    <row r="43553" hidden="1" x14ac:dyDescent="0.25"/>
    <row r="43554" hidden="1" x14ac:dyDescent="0.25"/>
    <row r="43555" hidden="1" x14ac:dyDescent="0.25"/>
    <row r="43556" hidden="1" x14ac:dyDescent="0.25"/>
    <row r="43557" hidden="1" x14ac:dyDescent="0.25"/>
    <row r="43558" hidden="1" x14ac:dyDescent="0.25"/>
    <row r="43559" hidden="1" x14ac:dyDescent="0.25"/>
    <row r="43560" hidden="1" x14ac:dyDescent="0.25"/>
    <row r="43561" hidden="1" x14ac:dyDescent="0.25"/>
    <row r="43562" hidden="1" x14ac:dyDescent="0.25"/>
    <row r="43563" hidden="1" x14ac:dyDescent="0.25"/>
    <row r="43564" hidden="1" x14ac:dyDescent="0.25"/>
    <row r="43565" hidden="1" x14ac:dyDescent="0.25"/>
    <row r="43566" hidden="1" x14ac:dyDescent="0.25"/>
    <row r="43567" hidden="1" x14ac:dyDescent="0.25"/>
    <row r="43568" hidden="1" x14ac:dyDescent="0.25"/>
    <row r="43569" hidden="1" x14ac:dyDescent="0.25"/>
    <row r="43570" hidden="1" x14ac:dyDescent="0.25"/>
    <row r="43571" hidden="1" x14ac:dyDescent="0.25"/>
    <row r="43572" hidden="1" x14ac:dyDescent="0.25"/>
    <row r="43573" hidden="1" x14ac:dyDescent="0.25"/>
    <row r="43574" hidden="1" x14ac:dyDescent="0.25"/>
    <row r="43575" hidden="1" x14ac:dyDescent="0.25"/>
    <row r="43576" hidden="1" x14ac:dyDescent="0.25"/>
    <row r="43577" hidden="1" x14ac:dyDescent="0.25"/>
    <row r="43578" hidden="1" x14ac:dyDescent="0.25"/>
    <row r="43579" hidden="1" x14ac:dyDescent="0.25"/>
    <row r="43580" hidden="1" x14ac:dyDescent="0.25"/>
    <row r="43581" hidden="1" x14ac:dyDescent="0.25"/>
    <row r="43582" hidden="1" x14ac:dyDescent="0.25"/>
    <row r="43583" hidden="1" x14ac:dyDescent="0.25"/>
    <row r="43584" hidden="1" x14ac:dyDescent="0.25"/>
    <row r="43585" hidden="1" x14ac:dyDescent="0.25"/>
    <row r="43586" hidden="1" x14ac:dyDescent="0.25"/>
    <row r="43587" hidden="1" x14ac:dyDescent="0.25"/>
    <row r="43588" hidden="1" x14ac:dyDescent="0.25"/>
    <row r="43589" hidden="1" x14ac:dyDescent="0.25"/>
    <row r="43590" hidden="1" x14ac:dyDescent="0.25"/>
    <row r="43591" hidden="1" x14ac:dyDescent="0.25"/>
    <row r="43592" hidden="1" x14ac:dyDescent="0.25"/>
    <row r="43593" hidden="1" x14ac:dyDescent="0.25"/>
    <row r="43594" hidden="1" x14ac:dyDescent="0.25"/>
    <row r="43595" hidden="1" x14ac:dyDescent="0.25"/>
    <row r="43596" hidden="1" x14ac:dyDescent="0.25"/>
    <row r="43597" hidden="1" x14ac:dyDescent="0.25"/>
    <row r="43598" hidden="1" x14ac:dyDescent="0.25"/>
    <row r="43599" hidden="1" x14ac:dyDescent="0.25"/>
    <row r="43600" hidden="1" x14ac:dyDescent="0.25"/>
    <row r="43601" hidden="1" x14ac:dyDescent="0.25"/>
    <row r="43602" hidden="1" x14ac:dyDescent="0.25"/>
    <row r="43603" hidden="1" x14ac:dyDescent="0.25"/>
    <row r="43604" hidden="1" x14ac:dyDescent="0.25"/>
    <row r="43605" hidden="1" x14ac:dyDescent="0.25"/>
    <row r="43606" hidden="1" x14ac:dyDescent="0.25"/>
    <row r="43607" hidden="1" x14ac:dyDescent="0.25"/>
    <row r="43608" hidden="1" x14ac:dyDescent="0.25"/>
    <row r="43609" hidden="1" x14ac:dyDescent="0.25"/>
    <row r="43610" hidden="1" x14ac:dyDescent="0.25"/>
    <row r="43611" hidden="1" x14ac:dyDescent="0.25"/>
    <row r="43612" hidden="1" x14ac:dyDescent="0.25"/>
    <row r="43613" hidden="1" x14ac:dyDescent="0.25"/>
    <row r="43614" hidden="1" x14ac:dyDescent="0.25"/>
    <row r="43615" hidden="1" x14ac:dyDescent="0.25"/>
    <row r="43616" hidden="1" x14ac:dyDescent="0.25"/>
    <row r="43617" hidden="1" x14ac:dyDescent="0.25"/>
    <row r="43618" hidden="1" x14ac:dyDescent="0.25"/>
    <row r="43619" hidden="1" x14ac:dyDescent="0.25"/>
    <row r="43620" hidden="1" x14ac:dyDescent="0.25"/>
    <row r="43621" hidden="1" x14ac:dyDescent="0.25"/>
    <row r="43622" hidden="1" x14ac:dyDescent="0.25"/>
    <row r="43623" hidden="1" x14ac:dyDescent="0.25"/>
    <row r="43624" hidden="1" x14ac:dyDescent="0.25"/>
    <row r="43625" hidden="1" x14ac:dyDescent="0.25"/>
    <row r="43626" hidden="1" x14ac:dyDescent="0.25"/>
    <row r="43627" hidden="1" x14ac:dyDescent="0.25"/>
    <row r="43628" hidden="1" x14ac:dyDescent="0.25"/>
    <row r="43629" hidden="1" x14ac:dyDescent="0.25"/>
    <row r="43630" hidden="1" x14ac:dyDescent="0.25"/>
    <row r="43631" hidden="1" x14ac:dyDescent="0.25"/>
    <row r="43632" hidden="1" x14ac:dyDescent="0.25"/>
    <row r="43633" hidden="1" x14ac:dyDescent="0.25"/>
    <row r="43634" hidden="1" x14ac:dyDescent="0.25"/>
    <row r="43635" hidden="1" x14ac:dyDescent="0.25"/>
    <row r="43636" hidden="1" x14ac:dyDescent="0.25"/>
    <row r="43637" hidden="1" x14ac:dyDescent="0.25"/>
    <row r="43638" hidden="1" x14ac:dyDescent="0.25"/>
    <row r="43639" hidden="1" x14ac:dyDescent="0.25"/>
    <row r="43640" hidden="1" x14ac:dyDescent="0.25"/>
    <row r="43641" hidden="1" x14ac:dyDescent="0.25"/>
    <row r="43642" hidden="1" x14ac:dyDescent="0.25"/>
    <row r="43643" hidden="1" x14ac:dyDescent="0.25"/>
    <row r="43644" hidden="1" x14ac:dyDescent="0.25"/>
    <row r="43645" hidden="1" x14ac:dyDescent="0.25"/>
    <row r="43646" hidden="1" x14ac:dyDescent="0.25"/>
    <row r="43647" hidden="1" x14ac:dyDescent="0.25"/>
    <row r="43648" hidden="1" x14ac:dyDescent="0.25"/>
    <row r="43649" hidden="1" x14ac:dyDescent="0.25"/>
    <row r="43650" hidden="1" x14ac:dyDescent="0.25"/>
    <row r="43651" hidden="1" x14ac:dyDescent="0.25"/>
    <row r="43652" hidden="1" x14ac:dyDescent="0.25"/>
    <row r="43653" hidden="1" x14ac:dyDescent="0.25"/>
    <row r="43654" hidden="1" x14ac:dyDescent="0.25"/>
    <row r="43655" hidden="1" x14ac:dyDescent="0.25"/>
    <row r="43656" hidden="1" x14ac:dyDescent="0.25"/>
    <row r="43657" hidden="1" x14ac:dyDescent="0.25"/>
    <row r="43658" hidden="1" x14ac:dyDescent="0.25"/>
    <row r="43659" hidden="1" x14ac:dyDescent="0.25"/>
    <row r="43660" hidden="1" x14ac:dyDescent="0.25"/>
    <row r="43661" hidden="1" x14ac:dyDescent="0.25"/>
    <row r="43662" hidden="1" x14ac:dyDescent="0.25"/>
    <row r="43663" hidden="1" x14ac:dyDescent="0.25"/>
    <row r="43664" hidden="1" x14ac:dyDescent="0.25"/>
    <row r="43665" hidden="1" x14ac:dyDescent="0.25"/>
    <row r="43666" hidden="1" x14ac:dyDescent="0.25"/>
    <row r="43667" hidden="1" x14ac:dyDescent="0.25"/>
    <row r="43668" hidden="1" x14ac:dyDescent="0.25"/>
    <row r="43669" hidden="1" x14ac:dyDescent="0.25"/>
    <row r="43670" hidden="1" x14ac:dyDescent="0.25"/>
    <row r="43671" hidden="1" x14ac:dyDescent="0.25"/>
    <row r="43672" hidden="1" x14ac:dyDescent="0.25"/>
    <row r="43673" hidden="1" x14ac:dyDescent="0.25"/>
    <row r="43674" hidden="1" x14ac:dyDescent="0.25"/>
    <row r="43675" hidden="1" x14ac:dyDescent="0.25"/>
    <row r="43676" hidden="1" x14ac:dyDescent="0.25"/>
    <row r="43677" hidden="1" x14ac:dyDescent="0.25"/>
    <row r="43678" hidden="1" x14ac:dyDescent="0.25"/>
    <row r="43679" hidden="1" x14ac:dyDescent="0.25"/>
    <row r="43680" hidden="1" x14ac:dyDescent="0.25"/>
    <row r="43681" hidden="1" x14ac:dyDescent="0.25"/>
    <row r="43682" hidden="1" x14ac:dyDescent="0.25"/>
    <row r="43683" hidden="1" x14ac:dyDescent="0.25"/>
    <row r="43684" hidden="1" x14ac:dyDescent="0.25"/>
    <row r="43685" hidden="1" x14ac:dyDescent="0.25"/>
    <row r="43686" hidden="1" x14ac:dyDescent="0.25"/>
    <row r="43687" hidden="1" x14ac:dyDescent="0.25"/>
    <row r="43688" hidden="1" x14ac:dyDescent="0.25"/>
    <row r="43689" hidden="1" x14ac:dyDescent="0.25"/>
    <row r="43690" hidden="1" x14ac:dyDescent="0.25"/>
    <row r="43691" hidden="1" x14ac:dyDescent="0.25"/>
    <row r="43692" hidden="1" x14ac:dyDescent="0.25"/>
    <row r="43693" hidden="1" x14ac:dyDescent="0.25"/>
    <row r="43694" hidden="1" x14ac:dyDescent="0.25"/>
    <row r="43695" hidden="1" x14ac:dyDescent="0.25"/>
    <row r="43696" hidden="1" x14ac:dyDescent="0.25"/>
    <row r="43697" hidden="1" x14ac:dyDescent="0.25"/>
    <row r="43698" hidden="1" x14ac:dyDescent="0.25"/>
    <row r="43699" hidden="1" x14ac:dyDescent="0.25"/>
    <row r="43700" hidden="1" x14ac:dyDescent="0.25"/>
    <row r="43701" hidden="1" x14ac:dyDescent="0.25"/>
    <row r="43702" hidden="1" x14ac:dyDescent="0.25"/>
    <row r="43703" hidden="1" x14ac:dyDescent="0.25"/>
    <row r="43704" hidden="1" x14ac:dyDescent="0.25"/>
    <row r="43705" hidden="1" x14ac:dyDescent="0.25"/>
    <row r="43706" hidden="1" x14ac:dyDescent="0.25"/>
    <row r="43707" hidden="1" x14ac:dyDescent="0.25"/>
    <row r="43708" hidden="1" x14ac:dyDescent="0.25"/>
    <row r="43709" hidden="1" x14ac:dyDescent="0.25"/>
    <row r="43710" hidden="1" x14ac:dyDescent="0.25"/>
    <row r="43711" hidden="1" x14ac:dyDescent="0.25"/>
    <row r="43712" hidden="1" x14ac:dyDescent="0.25"/>
    <row r="43713" hidden="1" x14ac:dyDescent="0.25"/>
    <row r="43714" hidden="1" x14ac:dyDescent="0.25"/>
    <row r="43715" hidden="1" x14ac:dyDescent="0.25"/>
    <row r="43716" hidden="1" x14ac:dyDescent="0.25"/>
    <row r="43717" hidden="1" x14ac:dyDescent="0.25"/>
    <row r="43718" hidden="1" x14ac:dyDescent="0.25"/>
    <row r="43719" hidden="1" x14ac:dyDescent="0.25"/>
    <row r="43720" hidden="1" x14ac:dyDescent="0.25"/>
    <row r="43721" hidden="1" x14ac:dyDescent="0.25"/>
    <row r="43722" hidden="1" x14ac:dyDescent="0.25"/>
    <row r="43723" hidden="1" x14ac:dyDescent="0.25"/>
    <row r="43724" hidden="1" x14ac:dyDescent="0.25"/>
    <row r="43725" hidden="1" x14ac:dyDescent="0.25"/>
    <row r="43726" hidden="1" x14ac:dyDescent="0.25"/>
    <row r="43727" hidden="1" x14ac:dyDescent="0.25"/>
    <row r="43728" hidden="1" x14ac:dyDescent="0.25"/>
    <row r="43729" hidden="1" x14ac:dyDescent="0.25"/>
    <row r="43730" hidden="1" x14ac:dyDescent="0.25"/>
    <row r="43731" hidden="1" x14ac:dyDescent="0.25"/>
    <row r="43732" hidden="1" x14ac:dyDescent="0.25"/>
    <row r="43733" hidden="1" x14ac:dyDescent="0.25"/>
    <row r="43734" hidden="1" x14ac:dyDescent="0.25"/>
    <row r="43735" hidden="1" x14ac:dyDescent="0.25"/>
    <row r="43736" hidden="1" x14ac:dyDescent="0.25"/>
    <row r="43737" hidden="1" x14ac:dyDescent="0.25"/>
    <row r="43738" hidden="1" x14ac:dyDescent="0.25"/>
    <row r="43739" hidden="1" x14ac:dyDescent="0.25"/>
    <row r="43740" hidden="1" x14ac:dyDescent="0.25"/>
    <row r="43741" hidden="1" x14ac:dyDescent="0.25"/>
    <row r="43742" hidden="1" x14ac:dyDescent="0.25"/>
    <row r="43743" hidden="1" x14ac:dyDescent="0.25"/>
    <row r="43744" hidden="1" x14ac:dyDescent="0.25"/>
    <row r="43745" hidden="1" x14ac:dyDescent="0.25"/>
    <row r="43746" hidden="1" x14ac:dyDescent="0.25"/>
    <row r="43747" hidden="1" x14ac:dyDescent="0.25"/>
    <row r="43748" hidden="1" x14ac:dyDescent="0.25"/>
    <row r="43749" hidden="1" x14ac:dyDescent="0.25"/>
    <row r="43750" hidden="1" x14ac:dyDescent="0.25"/>
    <row r="43751" hidden="1" x14ac:dyDescent="0.25"/>
    <row r="43752" hidden="1" x14ac:dyDescent="0.25"/>
    <row r="43753" hidden="1" x14ac:dyDescent="0.25"/>
    <row r="43754" hidden="1" x14ac:dyDescent="0.25"/>
    <row r="43755" hidden="1" x14ac:dyDescent="0.25"/>
    <row r="43756" hidden="1" x14ac:dyDescent="0.25"/>
    <row r="43757" hidden="1" x14ac:dyDescent="0.25"/>
    <row r="43758" hidden="1" x14ac:dyDescent="0.25"/>
    <row r="43759" hidden="1" x14ac:dyDescent="0.25"/>
    <row r="43760" hidden="1" x14ac:dyDescent="0.25"/>
    <row r="43761" hidden="1" x14ac:dyDescent="0.25"/>
    <row r="43762" hidden="1" x14ac:dyDescent="0.25"/>
    <row r="43763" hidden="1" x14ac:dyDescent="0.25"/>
    <row r="43764" hidden="1" x14ac:dyDescent="0.25"/>
    <row r="43765" hidden="1" x14ac:dyDescent="0.25"/>
    <row r="43766" hidden="1" x14ac:dyDescent="0.25"/>
    <row r="43767" hidden="1" x14ac:dyDescent="0.25"/>
    <row r="43768" hidden="1" x14ac:dyDescent="0.25"/>
    <row r="43769" hidden="1" x14ac:dyDescent="0.25"/>
    <row r="43770" hidden="1" x14ac:dyDescent="0.25"/>
    <row r="43771" hidden="1" x14ac:dyDescent="0.25"/>
    <row r="43772" hidden="1" x14ac:dyDescent="0.25"/>
    <row r="43773" hidden="1" x14ac:dyDescent="0.25"/>
    <row r="43774" hidden="1" x14ac:dyDescent="0.25"/>
    <row r="43775" hidden="1" x14ac:dyDescent="0.25"/>
    <row r="43776" hidden="1" x14ac:dyDescent="0.25"/>
    <row r="43777" hidden="1" x14ac:dyDescent="0.25"/>
    <row r="43778" hidden="1" x14ac:dyDescent="0.25"/>
    <row r="43779" hidden="1" x14ac:dyDescent="0.25"/>
    <row r="43780" hidden="1" x14ac:dyDescent="0.25"/>
    <row r="43781" hidden="1" x14ac:dyDescent="0.25"/>
    <row r="43782" hidden="1" x14ac:dyDescent="0.25"/>
    <row r="43783" hidden="1" x14ac:dyDescent="0.25"/>
    <row r="43784" hidden="1" x14ac:dyDescent="0.25"/>
    <row r="43785" hidden="1" x14ac:dyDescent="0.25"/>
    <row r="43786" hidden="1" x14ac:dyDescent="0.25"/>
    <row r="43787" hidden="1" x14ac:dyDescent="0.25"/>
    <row r="43788" hidden="1" x14ac:dyDescent="0.25"/>
    <row r="43789" hidden="1" x14ac:dyDescent="0.25"/>
    <row r="43790" hidden="1" x14ac:dyDescent="0.25"/>
    <row r="43791" hidden="1" x14ac:dyDescent="0.25"/>
    <row r="43792" hidden="1" x14ac:dyDescent="0.25"/>
    <row r="43793" hidden="1" x14ac:dyDescent="0.25"/>
    <row r="43794" hidden="1" x14ac:dyDescent="0.25"/>
    <row r="43795" hidden="1" x14ac:dyDescent="0.25"/>
    <row r="43796" hidden="1" x14ac:dyDescent="0.25"/>
    <row r="43797" hidden="1" x14ac:dyDescent="0.25"/>
    <row r="43798" hidden="1" x14ac:dyDescent="0.25"/>
    <row r="43799" hidden="1" x14ac:dyDescent="0.25"/>
    <row r="43800" hidden="1" x14ac:dyDescent="0.25"/>
    <row r="43801" hidden="1" x14ac:dyDescent="0.25"/>
    <row r="43802" hidden="1" x14ac:dyDescent="0.25"/>
    <row r="43803" hidden="1" x14ac:dyDescent="0.25"/>
    <row r="43804" hidden="1" x14ac:dyDescent="0.25"/>
    <row r="43805" hidden="1" x14ac:dyDescent="0.25"/>
    <row r="43806" hidden="1" x14ac:dyDescent="0.25"/>
    <row r="43807" hidden="1" x14ac:dyDescent="0.25"/>
    <row r="43808" hidden="1" x14ac:dyDescent="0.25"/>
    <row r="43809" hidden="1" x14ac:dyDescent="0.25"/>
    <row r="43810" hidden="1" x14ac:dyDescent="0.25"/>
    <row r="43811" hidden="1" x14ac:dyDescent="0.25"/>
    <row r="43812" hidden="1" x14ac:dyDescent="0.25"/>
    <row r="43813" hidden="1" x14ac:dyDescent="0.25"/>
    <row r="43814" hidden="1" x14ac:dyDescent="0.25"/>
    <row r="43815" hidden="1" x14ac:dyDescent="0.25"/>
    <row r="43816" hidden="1" x14ac:dyDescent="0.25"/>
    <row r="43817" hidden="1" x14ac:dyDescent="0.25"/>
    <row r="43818" hidden="1" x14ac:dyDescent="0.25"/>
    <row r="43819" hidden="1" x14ac:dyDescent="0.25"/>
    <row r="43820" hidden="1" x14ac:dyDescent="0.25"/>
    <row r="43821" hidden="1" x14ac:dyDescent="0.25"/>
    <row r="43822" hidden="1" x14ac:dyDescent="0.25"/>
    <row r="43823" hidden="1" x14ac:dyDescent="0.25"/>
    <row r="43824" hidden="1" x14ac:dyDescent="0.25"/>
    <row r="43825" hidden="1" x14ac:dyDescent="0.25"/>
    <row r="43826" hidden="1" x14ac:dyDescent="0.25"/>
    <row r="43827" hidden="1" x14ac:dyDescent="0.25"/>
    <row r="43828" hidden="1" x14ac:dyDescent="0.25"/>
    <row r="43829" hidden="1" x14ac:dyDescent="0.25"/>
    <row r="43830" hidden="1" x14ac:dyDescent="0.25"/>
    <row r="43831" hidden="1" x14ac:dyDescent="0.25"/>
    <row r="43832" hidden="1" x14ac:dyDescent="0.25"/>
    <row r="43833" hidden="1" x14ac:dyDescent="0.25"/>
    <row r="43834" hidden="1" x14ac:dyDescent="0.25"/>
    <row r="43835" hidden="1" x14ac:dyDescent="0.25"/>
    <row r="43836" hidden="1" x14ac:dyDescent="0.25"/>
    <row r="43837" hidden="1" x14ac:dyDescent="0.25"/>
    <row r="43838" hidden="1" x14ac:dyDescent="0.25"/>
    <row r="43839" hidden="1" x14ac:dyDescent="0.25"/>
    <row r="43840" hidden="1" x14ac:dyDescent="0.25"/>
    <row r="43841" hidden="1" x14ac:dyDescent="0.25"/>
    <row r="43842" hidden="1" x14ac:dyDescent="0.25"/>
    <row r="43843" hidden="1" x14ac:dyDescent="0.25"/>
    <row r="43844" hidden="1" x14ac:dyDescent="0.25"/>
    <row r="43845" hidden="1" x14ac:dyDescent="0.25"/>
    <row r="43846" hidden="1" x14ac:dyDescent="0.25"/>
    <row r="43847" hidden="1" x14ac:dyDescent="0.25"/>
    <row r="43848" hidden="1" x14ac:dyDescent="0.25"/>
    <row r="43849" hidden="1" x14ac:dyDescent="0.25"/>
    <row r="43850" hidden="1" x14ac:dyDescent="0.25"/>
    <row r="43851" hidden="1" x14ac:dyDescent="0.25"/>
    <row r="43852" hidden="1" x14ac:dyDescent="0.25"/>
    <row r="43853" hidden="1" x14ac:dyDescent="0.25"/>
    <row r="43854" hidden="1" x14ac:dyDescent="0.25"/>
    <row r="43855" hidden="1" x14ac:dyDescent="0.25"/>
    <row r="43856" hidden="1" x14ac:dyDescent="0.25"/>
    <row r="43857" hidden="1" x14ac:dyDescent="0.25"/>
    <row r="43858" hidden="1" x14ac:dyDescent="0.25"/>
    <row r="43859" hidden="1" x14ac:dyDescent="0.25"/>
    <row r="43860" hidden="1" x14ac:dyDescent="0.25"/>
    <row r="43861" hidden="1" x14ac:dyDescent="0.25"/>
    <row r="43862" hidden="1" x14ac:dyDescent="0.25"/>
    <row r="43863" hidden="1" x14ac:dyDescent="0.25"/>
    <row r="43864" hidden="1" x14ac:dyDescent="0.25"/>
    <row r="43865" hidden="1" x14ac:dyDescent="0.25"/>
    <row r="43866" hidden="1" x14ac:dyDescent="0.25"/>
    <row r="43867" hidden="1" x14ac:dyDescent="0.25"/>
    <row r="43868" hidden="1" x14ac:dyDescent="0.25"/>
    <row r="43869" hidden="1" x14ac:dyDescent="0.25"/>
    <row r="43870" hidden="1" x14ac:dyDescent="0.25"/>
    <row r="43871" hidden="1" x14ac:dyDescent="0.25"/>
    <row r="43872" hidden="1" x14ac:dyDescent="0.25"/>
    <row r="43873" hidden="1" x14ac:dyDescent="0.25"/>
    <row r="43874" hidden="1" x14ac:dyDescent="0.25"/>
    <row r="43875" hidden="1" x14ac:dyDescent="0.25"/>
    <row r="43876" hidden="1" x14ac:dyDescent="0.25"/>
    <row r="43877" hidden="1" x14ac:dyDescent="0.25"/>
    <row r="43878" hidden="1" x14ac:dyDescent="0.25"/>
    <row r="43879" hidden="1" x14ac:dyDescent="0.25"/>
    <row r="43880" hidden="1" x14ac:dyDescent="0.25"/>
    <row r="43881" hidden="1" x14ac:dyDescent="0.25"/>
    <row r="43882" hidden="1" x14ac:dyDescent="0.25"/>
    <row r="43883" hidden="1" x14ac:dyDescent="0.25"/>
    <row r="43884" hidden="1" x14ac:dyDescent="0.25"/>
    <row r="43885" hidden="1" x14ac:dyDescent="0.25"/>
    <row r="43886" hidden="1" x14ac:dyDescent="0.25"/>
    <row r="43887" hidden="1" x14ac:dyDescent="0.25"/>
    <row r="43888" hidden="1" x14ac:dyDescent="0.25"/>
    <row r="43889" hidden="1" x14ac:dyDescent="0.25"/>
    <row r="43890" hidden="1" x14ac:dyDescent="0.25"/>
    <row r="43891" hidden="1" x14ac:dyDescent="0.25"/>
    <row r="43892" hidden="1" x14ac:dyDescent="0.25"/>
    <row r="43893" hidden="1" x14ac:dyDescent="0.25"/>
    <row r="43894" hidden="1" x14ac:dyDescent="0.25"/>
    <row r="43895" hidden="1" x14ac:dyDescent="0.25"/>
    <row r="43896" hidden="1" x14ac:dyDescent="0.25"/>
    <row r="43897" hidden="1" x14ac:dyDescent="0.25"/>
    <row r="43898" hidden="1" x14ac:dyDescent="0.25"/>
    <row r="43899" hidden="1" x14ac:dyDescent="0.25"/>
    <row r="43900" hidden="1" x14ac:dyDescent="0.25"/>
    <row r="43901" hidden="1" x14ac:dyDescent="0.25"/>
    <row r="43902" hidden="1" x14ac:dyDescent="0.25"/>
    <row r="43903" hidden="1" x14ac:dyDescent="0.25"/>
    <row r="43904" hidden="1" x14ac:dyDescent="0.25"/>
    <row r="43905" hidden="1" x14ac:dyDescent="0.25"/>
    <row r="43906" hidden="1" x14ac:dyDescent="0.25"/>
    <row r="43907" hidden="1" x14ac:dyDescent="0.25"/>
    <row r="43908" hidden="1" x14ac:dyDescent="0.25"/>
    <row r="43909" hidden="1" x14ac:dyDescent="0.25"/>
    <row r="43910" hidden="1" x14ac:dyDescent="0.25"/>
    <row r="43911" hidden="1" x14ac:dyDescent="0.25"/>
    <row r="43912" hidden="1" x14ac:dyDescent="0.25"/>
    <row r="43913" hidden="1" x14ac:dyDescent="0.25"/>
    <row r="43914" hidden="1" x14ac:dyDescent="0.25"/>
    <row r="43915" hidden="1" x14ac:dyDescent="0.25"/>
    <row r="43916" hidden="1" x14ac:dyDescent="0.25"/>
    <row r="43917" hidden="1" x14ac:dyDescent="0.25"/>
    <row r="43918" hidden="1" x14ac:dyDescent="0.25"/>
    <row r="43919" hidden="1" x14ac:dyDescent="0.25"/>
    <row r="43920" hidden="1" x14ac:dyDescent="0.25"/>
    <row r="43921" hidden="1" x14ac:dyDescent="0.25"/>
    <row r="43922" hidden="1" x14ac:dyDescent="0.25"/>
    <row r="43923" hidden="1" x14ac:dyDescent="0.25"/>
    <row r="43924" hidden="1" x14ac:dyDescent="0.25"/>
    <row r="43925" hidden="1" x14ac:dyDescent="0.25"/>
    <row r="43926" hidden="1" x14ac:dyDescent="0.25"/>
    <row r="43927" hidden="1" x14ac:dyDescent="0.25"/>
    <row r="43928" hidden="1" x14ac:dyDescent="0.25"/>
    <row r="43929" hidden="1" x14ac:dyDescent="0.25"/>
    <row r="43930" hidden="1" x14ac:dyDescent="0.25"/>
    <row r="43931" hidden="1" x14ac:dyDescent="0.25"/>
    <row r="43932" hidden="1" x14ac:dyDescent="0.25"/>
    <row r="43933" hidden="1" x14ac:dyDescent="0.25"/>
    <row r="43934" hidden="1" x14ac:dyDescent="0.25"/>
    <row r="43935" hidden="1" x14ac:dyDescent="0.25"/>
    <row r="43936" hidden="1" x14ac:dyDescent="0.25"/>
    <row r="43937" hidden="1" x14ac:dyDescent="0.25"/>
    <row r="43938" hidden="1" x14ac:dyDescent="0.25"/>
    <row r="43939" hidden="1" x14ac:dyDescent="0.25"/>
    <row r="43940" hidden="1" x14ac:dyDescent="0.25"/>
    <row r="43941" hidden="1" x14ac:dyDescent="0.25"/>
    <row r="43942" hidden="1" x14ac:dyDescent="0.25"/>
    <row r="43943" hidden="1" x14ac:dyDescent="0.25"/>
    <row r="43944" hidden="1" x14ac:dyDescent="0.25"/>
    <row r="43945" hidden="1" x14ac:dyDescent="0.25"/>
    <row r="43946" hidden="1" x14ac:dyDescent="0.25"/>
    <row r="43947" hidden="1" x14ac:dyDescent="0.25"/>
    <row r="43948" hidden="1" x14ac:dyDescent="0.25"/>
    <row r="43949" hidden="1" x14ac:dyDescent="0.25"/>
    <row r="43950" hidden="1" x14ac:dyDescent="0.25"/>
    <row r="43951" hidden="1" x14ac:dyDescent="0.25"/>
    <row r="43952" hidden="1" x14ac:dyDescent="0.25"/>
    <row r="43953" hidden="1" x14ac:dyDescent="0.25"/>
    <row r="43954" hidden="1" x14ac:dyDescent="0.25"/>
    <row r="43955" hidden="1" x14ac:dyDescent="0.25"/>
    <row r="43956" hidden="1" x14ac:dyDescent="0.25"/>
    <row r="43957" hidden="1" x14ac:dyDescent="0.25"/>
    <row r="43958" hidden="1" x14ac:dyDescent="0.25"/>
    <row r="43959" hidden="1" x14ac:dyDescent="0.25"/>
    <row r="43960" hidden="1" x14ac:dyDescent="0.25"/>
    <row r="43961" hidden="1" x14ac:dyDescent="0.25"/>
    <row r="43962" hidden="1" x14ac:dyDescent="0.25"/>
    <row r="43963" hidden="1" x14ac:dyDescent="0.25"/>
    <row r="43964" hidden="1" x14ac:dyDescent="0.25"/>
    <row r="43965" hidden="1" x14ac:dyDescent="0.25"/>
    <row r="43966" hidden="1" x14ac:dyDescent="0.25"/>
    <row r="43967" hidden="1" x14ac:dyDescent="0.25"/>
    <row r="43968" hidden="1" x14ac:dyDescent="0.25"/>
    <row r="43969" hidden="1" x14ac:dyDescent="0.25"/>
    <row r="43970" hidden="1" x14ac:dyDescent="0.25"/>
    <row r="43971" hidden="1" x14ac:dyDescent="0.25"/>
    <row r="43972" hidden="1" x14ac:dyDescent="0.25"/>
    <row r="43973" hidden="1" x14ac:dyDescent="0.25"/>
    <row r="43974" hidden="1" x14ac:dyDescent="0.25"/>
    <row r="43975" hidden="1" x14ac:dyDescent="0.25"/>
    <row r="43976" hidden="1" x14ac:dyDescent="0.25"/>
    <row r="43977" hidden="1" x14ac:dyDescent="0.25"/>
    <row r="43978" hidden="1" x14ac:dyDescent="0.25"/>
    <row r="43979" hidden="1" x14ac:dyDescent="0.25"/>
    <row r="43980" hidden="1" x14ac:dyDescent="0.25"/>
    <row r="43981" hidden="1" x14ac:dyDescent="0.25"/>
    <row r="43982" hidden="1" x14ac:dyDescent="0.25"/>
    <row r="43983" hidden="1" x14ac:dyDescent="0.25"/>
    <row r="43984" hidden="1" x14ac:dyDescent="0.25"/>
    <row r="43985" hidden="1" x14ac:dyDescent="0.25"/>
    <row r="43986" hidden="1" x14ac:dyDescent="0.25"/>
    <row r="43987" hidden="1" x14ac:dyDescent="0.25"/>
    <row r="43988" hidden="1" x14ac:dyDescent="0.25"/>
    <row r="43989" hidden="1" x14ac:dyDescent="0.25"/>
    <row r="43990" hidden="1" x14ac:dyDescent="0.25"/>
    <row r="43991" hidden="1" x14ac:dyDescent="0.25"/>
    <row r="43992" hidden="1" x14ac:dyDescent="0.25"/>
    <row r="43993" hidden="1" x14ac:dyDescent="0.25"/>
    <row r="43994" hidden="1" x14ac:dyDescent="0.25"/>
    <row r="43995" hidden="1" x14ac:dyDescent="0.25"/>
    <row r="43996" hidden="1" x14ac:dyDescent="0.25"/>
    <row r="43997" hidden="1" x14ac:dyDescent="0.25"/>
    <row r="43998" hidden="1" x14ac:dyDescent="0.25"/>
    <row r="43999" hidden="1" x14ac:dyDescent="0.25"/>
    <row r="44000" hidden="1" x14ac:dyDescent="0.25"/>
    <row r="44001" hidden="1" x14ac:dyDescent="0.25"/>
    <row r="44002" hidden="1" x14ac:dyDescent="0.25"/>
    <row r="44003" hidden="1" x14ac:dyDescent="0.25"/>
    <row r="44004" hidden="1" x14ac:dyDescent="0.25"/>
    <row r="44005" hidden="1" x14ac:dyDescent="0.25"/>
    <row r="44006" hidden="1" x14ac:dyDescent="0.25"/>
    <row r="44007" hidden="1" x14ac:dyDescent="0.25"/>
    <row r="44008" hidden="1" x14ac:dyDescent="0.25"/>
    <row r="44009" hidden="1" x14ac:dyDescent="0.25"/>
    <row r="44010" hidden="1" x14ac:dyDescent="0.25"/>
    <row r="44011" hidden="1" x14ac:dyDescent="0.25"/>
    <row r="44012" hidden="1" x14ac:dyDescent="0.25"/>
    <row r="44013" hidden="1" x14ac:dyDescent="0.25"/>
    <row r="44014" hidden="1" x14ac:dyDescent="0.25"/>
    <row r="44015" hidden="1" x14ac:dyDescent="0.25"/>
    <row r="44016" hidden="1" x14ac:dyDescent="0.25"/>
    <row r="44017" hidden="1" x14ac:dyDescent="0.25"/>
    <row r="44018" hidden="1" x14ac:dyDescent="0.25"/>
    <row r="44019" hidden="1" x14ac:dyDescent="0.25"/>
    <row r="44020" hidden="1" x14ac:dyDescent="0.25"/>
    <row r="44021" hidden="1" x14ac:dyDescent="0.25"/>
    <row r="44022" hidden="1" x14ac:dyDescent="0.25"/>
    <row r="44023" hidden="1" x14ac:dyDescent="0.25"/>
    <row r="44024" hidden="1" x14ac:dyDescent="0.25"/>
    <row r="44025" hidden="1" x14ac:dyDescent="0.25"/>
    <row r="44026" hidden="1" x14ac:dyDescent="0.25"/>
    <row r="44027" hidden="1" x14ac:dyDescent="0.25"/>
    <row r="44028" hidden="1" x14ac:dyDescent="0.25"/>
    <row r="44029" hidden="1" x14ac:dyDescent="0.25"/>
    <row r="44030" hidden="1" x14ac:dyDescent="0.25"/>
    <row r="44031" hidden="1" x14ac:dyDescent="0.25"/>
    <row r="44032" hidden="1" x14ac:dyDescent="0.25"/>
    <row r="44033" hidden="1" x14ac:dyDescent="0.25"/>
    <row r="44034" hidden="1" x14ac:dyDescent="0.25"/>
    <row r="44035" hidden="1" x14ac:dyDescent="0.25"/>
    <row r="44036" hidden="1" x14ac:dyDescent="0.25"/>
    <row r="44037" hidden="1" x14ac:dyDescent="0.25"/>
    <row r="44038" hidden="1" x14ac:dyDescent="0.25"/>
    <row r="44039" hidden="1" x14ac:dyDescent="0.25"/>
    <row r="44040" hidden="1" x14ac:dyDescent="0.25"/>
    <row r="44041" hidden="1" x14ac:dyDescent="0.25"/>
    <row r="44042" hidden="1" x14ac:dyDescent="0.25"/>
    <row r="44043" hidden="1" x14ac:dyDescent="0.25"/>
    <row r="44044" hidden="1" x14ac:dyDescent="0.25"/>
    <row r="44045" hidden="1" x14ac:dyDescent="0.25"/>
    <row r="44046" hidden="1" x14ac:dyDescent="0.25"/>
    <row r="44047" hidden="1" x14ac:dyDescent="0.25"/>
    <row r="44048" hidden="1" x14ac:dyDescent="0.25"/>
    <row r="44049" hidden="1" x14ac:dyDescent="0.25"/>
    <row r="44050" hidden="1" x14ac:dyDescent="0.25"/>
    <row r="44051" hidden="1" x14ac:dyDescent="0.25"/>
    <row r="44052" hidden="1" x14ac:dyDescent="0.25"/>
    <row r="44053" hidden="1" x14ac:dyDescent="0.25"/>
    <row r="44054" hidden="1" x14ac:dyDescent="0.25"/>
    <row r="44055" hidden="1" x14ac:dyDescent="0.25"/>
    <row r="44056" hidden="1" x14ac:dyDescent="0.25"/>
    <row r="44057" hidden="1" x14ac:dyDescent="0.25"/>
    <row r="44058" hidden="1" x14ac:dyDescent="0.25"/>
    <row r="44059" hidden="1" x14ac:dyDescent="0.25"/>
    <row r="44060" hidden="1" x14ac:dyDescent="0.25"/>
    <row r="44061" hidden="1" x14ac:dyDescent="0.25"/>
    <row r="44062" hidden="1" x14ac:dyDescent="0.25"/>
    <row r="44063" hidden="1" x14ac:dyDescent="0.25"/>
    <row r="44064" hidden="1" x14ac:dyDescent="0.25"/>
    <row r="44065" hidden="1" x14ac:dyDescent="0.25"/>
    <row r="44066" hidden="1" x14ac:dyDescent="0.25"/>
    <row r="44067" hidden="1" x14ac:dyDescent="0.25"/>
    <row r="44068" hidden="1" x14ac:dyDescent="0.25"/>
    <row r="44069" hidden="1" x14ac:dyDescent="0.25"/>
    <row r="44070" hidden="1" x14ac:dyDescent="0.25"/>
    <row r="44071" hidden="1" x14ac:dyDescent="0.25"/>
    <row r="44072" hidden="1" x14ac:dyDescent="0.25"/>
    <row r="44073" hidden="1" x14ac:dyDescent="0.25"/>
    <row r="44074" hidden="1" x14ac:dyDescent="0.25"/>
    <row r="44075" hidden="1" x14ac:dyDescent="0.25"/>
    <row r="44076" hidden="1" x14ac:dyDescent="0.25"/>
    <row r="44077" hidden="1" x14ac:dyDescent="0.25"/>
    <row r="44078" hidden="1" x14ac:dyDescent="0.25"/>
    <row r="44079" hidden="1" x14ac:dyDescent="0.25"/>
    <row r="44080" hidden="1" x14ac:dyDescent="0.25"/>
    <row r="44081" hidden="1" x14ac:dyDescent="0.25"/>
    <row r="44082" hidden="1" x14ac:dyDescent="0.25"/>
    <row r="44083" hidden="1" x14ac:dyDescent="0.25"/>
    <row r="44084" hidden="1" x14ac:dyDescent="0.25"/>
    <row r="44085" hidden="1" x14ac:dyDescent="0.25"/>
    <row r="44086" hidden="1" x14ac:dyDescent="0.25"/>
    <row r="44087" hidden="1" x14ac:dyDescent="0.25"/>
    <row r="44088" hidden="1" x14ac:dyDescent="0.25"/>
    <row r="44089" hidden="1" x14ac:dyDescent="0.25"/>
    <row r="44090" hidden="1" x14ac:dyDescent="0.25"/>
    <row r="44091" hidden="1" x14ac:dyDescent="0.25"/>
    <row r="44092" hidden="1" x14ac:dyDescent="0.25"/>
    <row r="44093" hidden="1" x14ac:dyDescent="0.25"/>
    <row r="44094" hidden="1" x14ac:dyDescent="0.25"/>
    <row r="44095" hidden="1" x14ac:dyDescent="0.25"/>
    <row r="44096" hidden="1" x14ac:dyDescent="0.25"/>
    <row r="44097" hidden="1" x14ac:dyDescent="0.25"/>
    <row r="44098" hidden="1" x14ac:dyDescent="0.25"/>
    <row r="44099" hidden="1" x14ac:dyDescent="0.25"/>
    <row r="44100" hidden="1" x14ac:dyDescent="0.25"/>
    <row r="44101" hidden="1" x14ac:dyDescent="0.25"/>
    <row r="44102" hidden="1" x14ac:dyDescent="0.25"/>
    <row r="44103" hidden="1" x14ac:dyDescent="0.25"/>
    <row r="44104" hidden="1" x14ac:dyDescent="0.25"/>
    <row r="44105" hidden="1" x14ac:dyDescent="0.25"/>
    <row r="44106" hidden="1" x14ac:dyDescent="0.25"/>
    <row r="44107" hidden="1" x14ac:dyDescent="0.25"/>
    <row r="44108" hidden="1" x14ac:dyDescent="0.25"/>
    <row r="44109" hidden="1" x14ac:dyDescent="0.25"/>
    <row r="44110" hidden="1" x14ac:dyDescent="0.25"/>
    <row r="44111" hidden="1" x14ac:dyDescent="0.25"/>
    <row r="44112" hidden="1" x14ac:dyDescent="0.25"/>
    <row r="44113" hidden="1" x14ac:dyDescent="0.25"/>
    <row r="44114" hidden="1" x14ac:dyDescent="0.25"/>
    <row r="44115" hidden="1" x14ac:dyDescent="0.25"/>
    <row r="44116" hidden="1" x14ac:dyDescent="0.25"/>
    <row r="44117" hidden="1" x14ac:dyDescent="0.25"/>
    <row r="44118" hidden="1" x14ac:dyDescent="0.25"/>
    <row r="44119" hidden="1" x14ac:dyDescent="0.25"/>
    <row r="44120" hidden="1" x14ac:dyDescent="0.25"/>
    <row r="44121" hidden="1" x14ac:dyDescent="0.25"/>
    <row r="44122" hidden="1" x14ac:dyDescent="0.25"/>
    <row r="44123" hidden="1" x14ac:dyDescent="0.25"/>
    <row r="44124" hidden="1" x14ac:dyDescent="0.25"/>
    <row r="44125" hidden="1" x14ac:dyDescent="0.25"/>
    <row r="44126" hidden="1" x14ac:dyDescent="0.25"/>
    <row r="44127" hidden="1" x14ac:dyDescent="0.25"/>
    <row r="44128" hidden="1" x14ac:dyDescent="0.25"/>
    <row r="44129" hidden="1" x14ac:dyDescent="0.25"/>
    <row r="44130" hidden="1" x14ac:dyDescent="0.25"/>
    <row r="44131" hidden="1" x14ac:dyDescent="0.25"/>
    <row r="44132" hidden="1" x14ac:dyDescent="0.25"/>
    <row r="44133" hidden="1" x14ac:dyDescent="0.25"/>
    <row r="44134" hidden="1" x14ac:dyDescent="0.25"/>
    <row r="44135" hidden="1" x14ac:dyDescent="0.25"/>
    <row r="44136" hidden="1" x14ac:dyDescent="0.25"/>
    <row r="44137" hidden="1" x14ac:dyDescent="0.25"/>
    <row r="44138" hidden="1" x14ac:dyDescent="0.25"/>
    <row r="44139" hidden="1" x14ac:dyDescent="0.25"/>
    <row r="44140" hidden="1" x14ac:dyDescent="0.25"/>
    <row r="44141" hidden="1" x14ac:dyDescent="0.25"/>
    <row r="44142" hidden="1" x14ac:dyDescent="0.25"/>
    <row r="44143" hidden="1" x14ac:dyDescent="0.25"/>
    <row r="44144" hidden="1" x14ac:dyDescent="0.25"/>
    <row r="44145" hidden="1" x14ac:dyDescent="0.25"/>
    <row r="44146" hidden="1" x14ac:dyDescent="0.25"/>
    <row r="44147" hidden="1" x14ac:dyDescent="0.25"/>
    <row r="44148" hidden="1" x14ac:dyDescent="0.25"/>
    <row r="44149" hidden="1" x14ac:dyDescent="0.25"/>
    <row r="44150" hidden="1" x14ac:dyDescent="0.25"/>
    <row r="44151" hidden="1" x14ac:dyDescent="0.25"/>
    <row r="44152" hidden="1" x14ac:dyDescent="0.25"/>
    <row r="44153" hidden="1" x14ac:dyDescent="0.25"/>
    <row r="44154" hidden="1" x14ac:dyDescent="0.25"/>
    <row r="44155" hidden="1" x14ac:dyDescent="0.25"/>
    <row r="44156" hidden="1" x14ac:dyDescent="0.25"/>
    <row r="44157" hidden="1" x14ac:dyDescent="0.25"/>
    <row r="44158" hidden="1" x14ac:dyDescent="0.25"/>
    <row r="44159" hidden="1" x14ac:dyDescent="0.25"/>
    <row r="44160" hidden="1" x14ac:dyDescent="0.25"/>
    <row r="44161" hidden="1" x14ac:dyDescent="0.25"/>
    <row r="44162" hidden="1" x14ac:dyDescent="0.25"/>
    <row r="44163" hidden="1" x14ac:dyDescent="0.25"/>
    <row r="44164" hidden="1" x14ac:dyDescent="0.25"/>
    <row r="44165" hidden="1" x14ac:dyDescent="0.25"/>
    <row r="44166" hidden="1" x14ac:dyDescent="0.25"/>
    <row r="44167" hidden="1" x14ac:dyDescent="0.25"/>
    <row r="44168" hidden="1" x14ac:dyDescent="0.25"/>
    <row r="44169" hidden="1" x14ac:dyDescent="0.25"/>
    <row r="44170" hidden="1" x14ac:dyDescent="0.25"/>
    <row r="44171" hidden="1" x14ac:dyDescent="0.25"/>
    <row r="44172" hidden="1" x14ac:dyDescent="0.25"/>
    <row r="44173" hidden="1" x14ac:dyDescent="0.25"/>
    <row r="44174" hidden="1" x14ac:dyDescent="0.25"/>
    <row r="44175" hidden="1" x14ac:dyDescent="0.25"/>
    <row r="44176" hidden="1" x14ac:dyDescent="0.25"/>
    <row r="44177" hidden="1" x14ac:dyDescent="0.25"/>
    <row r="44178" hidden="1" x14ac:dyDescent="0.25"/>
    <row r="44179" hidden="1" x14ac:dyDescent="0.25"/>
    <row r="44180" hidden="1" x14ac:dyDescent="0.25"/>
    <row r="44181" hidden="1" x14ac:dyDescent="0.25"/>
    <row r="44182" hidden="1" x14ac:dyDescent="0.25"/>
    <row r="44183" hidden="1" x14ac:dyDescent="0.25"/>
    <row r="44184" hidden="1" x14ac:dyDescent="0.25"/>
    <row r="44185" hidden="1" x14ac:dyDescent="0.25"/>
    <row r="44186" hidden="1" x14ac:dyDescent="0.25"/>
    <row r="44187" hidden="1" x14ac:dyDescent="0.25"/>
    <row r="44188" hidden="1" x14ac:dyDescent="0.25"/>
    <row r="44189" hidden="1" x14ac:dyDescent="0.25"/>
    <row r="44190" hidden="1" x14ac:dyDescent="0.25"/>
    <row r="44191" hidden="1" x14ac:dyDescent="0.25"/>
    <row r="44192" hidden="1" x14ac:dyDescent="0.25"/>
    <row r="44193" hidden="1" x14ac:dyDescent="0.25"/>
    <row r="44194" hidden="1" x14ac:dyDescent="0.25"/>
    <row r="44195" hidden="1" x14ac:dyDescent="0.25"/>
    <row r="44196" hidden="1" x14ac:dyDescent="0.25"/>
    <row r="44197" hidden="1" x14ac:dyDescent="0.25"/>
    <row r="44198" hidden="1" x14ac:dyDescent="0.25"/>
    <row r="44199" hidden="1" x14ac:dyDescent="0.25"/>
    <row r="44200" hidden="1" x14ac:dyDescent="0.25"/>
    <row r="44201" hidden="1" x14ac:dyDescent="0.25"/>
    <row r="44202" hidden="1" x14ac:dyDescent="0.25"/>
    <row r="44203" hidden="1" x14ac:dyDescent="0.25"/>
    <row r="44204" hidden="1" x14ac:dyDescent="0.25"/>
    <row r="44205" hidden="1" x14ac:dyDescent="0.25"/>
    <row r="44206" hidden="1" x14ac:dyDescent="0.25"/>
    <row r="44207" hidden="1" x14ac:dyDescent="0.25"/>
    <row r="44208" hidden="1" x14ac:dyDescent="0.25"/>
    <row r="44209" hidden="1" x14ac:dyDescent="0.25"/>
    <row r="44210" hidden="1" x14ac:dyDescent="0.25"/>
    <row r="44211" hidden="1" x14ac:dyDescent="0.25"/>
    <row r="44212" hidden="1" x14ac:dyDescent="0.25"/>
    <row r="44213" hidden="1" x14ac:dyDescent="0.25"/>
    <row r="44214" hidden="1" x14ac:dyDescent="0.25"/>
    <row r="44215" hidden="1" x14ac:dyDescent="0.25"/>
    <row r="44216" hidden="1" x14ac:dyDescent="0.25"/>
    <row r="44217" hidden="1" x14ac:dyDescent="0.25"/>
    <row r="44218" hidden="1" x14ac:dyDescent="0.25"/>
    <row r="44219" hidden="1" x14ac:dyDescent="0.25"/>
    <row r="44220" hidden="1" x14ac:dyDescent="0.25"/>
    <row r="44221" hidden="1" x14ac:dyDescent="0.25"/>
    <row r="44222" hidden="1" x14ac:dyDescent="0.25"/>
    <row r="44223" hidden="1" x14ac:dyDescent="0.25"/>
    <row r="44224" hidden="1" x14ac:dyDescent="0.25"/>
    <row r="44225" hidden="1" x14ac:dyDescent="0.25"/>
    <row r="44226" hidden="1" x14ac:dyDescent="0.25"/>
    <row r="44227" hidden="1" x14ac:dyDescent="0.25"/>
    <row r="44228" hidden="1" x14ac:dyDescent="0.25"/>
    <row r="44229" hidden="1" x14ac:dyDescent="0.25"/>
    <row r="44230" hidden="1" x14ac:dyDescent="0.25"/>
    <row r="44231" hidden="1" x14ac:dyDescent="0.25"/>
    <row r="44232" hidden="1" x14ac:dyDescent="0.25"/>
    <row r="44233" hidden="1" x14ac:dyDescent="0.25"/>
    <row r="44234" hidden="1" x14ac:dyDescent="0.25"/>
    <row r="44235" hidden="1" x14ac:dyDescent="0.25"/>
    <row r="44236" hidden="1" x14ac:dyDescent="0.25"/>
    <row r="44237" hidden="1" x14ac:dyDescent="0.25"/>
    <row r="44238" hidden="1" x14ac:dyDescent="0.25"/>
    <row r="44239" hidden="1" x14ac:dyDescent="0.25"/>
    <row r="44240" hidden="1" x14ac:dyDescent="0.25"/>
    <row r="44241" hidden="1" x14ac:dyDescent="0.25"/>
    <row r="44242" hidden="1" x14ac:dyDescent="0.25"/>
    <row r="44243" hidden="1" x14ac:dyDescent="0.25"/>
    <row r="44244" hidden="1" x14ac:dyDescent="0.25"/>
    <row r="44245" hidden="1" x14ac:dyDescent="0.25"/>
    <row r="44246" hidden="1" x14ac:dyDescent="0.25"/>
    <row r="44247" hidden="1" x14ac:dyDescent="0.25"/>
    <row r="44248" hidden="1" x14ac:dyDescent="0.25"/>
    <row r="44249" hidden="1" x14ac:dyDescent="0.25"/>
    <row r="44250" hidden="1" x14ac:dyDescent="0.25"/>
    <row r="44251" hidden="1" x14ac:dyDescent="0.25"/>
    <row r="44252" hidden="1" x14ac:dyDescent="0.25"/>
    <row r="44253" hidden="1" x14ac:dyDescent="0.25"/>
    <row r="44254" hidden="1" x14ac:dyDescent="0.25"/>
    <row r="44255" hidden="1" x14ac:dyDescent="0.25"/>
    <row r="44256" hidden="1" x14ac:dyDescent="0.25"/>
    <row r="44257" hidden="1" x14ac:dyDescent="0.25"/>
    <row r="44258" hidden="1" x14ac:dyDescent="0.25"/>
    <row r="44259" hidden="1" x14ac:dyDescent="0.25"/>
    <row r="44260" hidden="1" x14ac:dyDescent="0.25"/>
    <row r="44261" hidden="1" x14ac:dyDescent="0.25"/>
    <row r="44262" hidden="1" x14ac:dyDescent="0.25"/>
    <row r="44263" hidden="1" x14ac:dyDescent="0.25"/>
    <row r="44264" hidden="1" x14ac:dyDescent="0.25"/>
    <row r="44265" hidden="1" x14ac:dyDescent="0.25"/>
    <row r="44266" hidden="1" x14ac:dyDescent="0.25"/>
    <row r="44267" hidden="1" x14ac:dyDescent="0.25"/>
    <row r="44268" hidden="1" x14ac:dyDescent="0.25"/>
    <row r="44269" hidden="1" x14ac:dyDescent="0.25"/>
    <row r="44270" hidden="1" x14ac:dyDescent="0.25"/>
    <row r="44271" hidden="1" x14ac:dyDescent="0.25"/>
    <row r="44272" hidden="1" x14ac:dyDescent="0.25"/>
    <row r="44273" hidden="1" x14ac:dyDescent="0.25"/>
    <row r="44274" hidden="1" x14ac:dyDescent="0.25"/>
    <row r="44275" hidden="1" x14ac:dyDescent="0.25"/>
    <row r="44276" hidden="1" x14ac:dyDescent="0.25"/>
    <row r="44277" hidden="1" x14ac:dyDescent="0.25"/>
    <row r="44278" hidden="1" x14ac:dyDescent="0.25"/>
    <row r="44279" hidden="1" x14ac:dyDescent="0.25"/>
    <row r="44280" hidden="1" x14ac:dyDescent="0.25"/>
    <row r="44281" hidden="1" x14ac:dyDescent="0.25"/>
    <row r="44282" hidden="1" x14ac:dyDescent="0.25"/>
    <row r="44283" hidden="1" x14ac:dyDescent="0.25"/>
    <row r="44284" hidden="1" x14ac:dyDescent="0.25"/>
    <row r="44285" hidden="1" x14ac:dyDescent="0.25"/>
    <row r="44286" hidden="1" x14ac:dyDescent="0.25"/>
    <row r="44287" hidden="1" x14ac:dyDescent="0.25"/>
    <row r="44288" hidden="1" x14ac:dyDescent="0.25"/>
    <row r="44289" hidden="1" x14ac:dyDescent="0.25"/>
    <row r="44290" hidden="1" x14ac:dyDescent="0.25"/>
    <row r="44291" hidden="1" x14ac:dyDescent="0.25"/>
    <row r="44292" hidden="1" x14ac:dyDescent="0.25"/>
    <row r="44293" hidden="1" x14ac:dyDescent="0.25"/>
    <row r="44294" hidden="1" x14ac:dyDescent="0.25"/>
    <row r="44295" hidden="1" x14ac:dyDescent="0.25"/>
    <row r="44296" hidden="1" x14ac:dyDescent="0.25"/>
    <row r="44297" hidden="1" x14ac:dyDescent="0.25"/>
    <row r="44298" hidden="1" x14ac:dyDescent="0.25"/>
    <row r="44299" hidden="1" x14ac:dyDescent="0.25"/>
    <row r="44300" hidden="1" x14ac:dyDescent="0.25"/>
    <row r="44301" hidden="1" x14ac:dyDescent="0.25"/>
    <row r="44302" hidden="1" x14ac:dyDescent="0.25"/>
    <row r="44303" hidden="1" x14ac:dyDescent="0.25"/>
    <row r="44304" hidden="1" x14ac:dyDescent="0.25"/>
    <row r="44305" hidden="1" x14ac:dyDescent="0.25"/>
    <row r="44306" hidden="1" x14ac:dyDescent="0.25"/>
    <row r="44307" hidden="1" x14ac:dyDescent="0.25"/>
    <row r="44308" hidden="1" x14ac:dyDescent="0.25"/>
    <row r="44309" hidden="1" x14ac:dyDescent="0.25"/>
    <row r="44310" hidden="1" x14ac:dyDescent="0.25"/>
    <row r="44311" hidden="1" x14ac:dyDescent="0.25"/>
    <row r="44312" hidden="1" x14ac:dyDescent="0.25"/>
    <row r="44313" hidden="1" x14ac:dyDescent="0.25"/>
    <row r="44314" hidden="1" x14ac:dyDescent="0.25"/>
    <row r="44315" hidden="1" x14ac:dyDescent="0.25"/>
    <row r="44316" hidden="1" x14ac:dyDescent="0.25"/>
    <row r="44317" hidden="1" x14ac:dyDescent="0.25"/>
    <row r="44318" hidden="1" x14ac:dyDescent="0.25"/>
    <row r="44319" hidden="1" x14ac:dyDescent="0.25"/>
    <row r="44320" hidden="1" x14ac:dyDescent="0.25"/>
    <row r="44321" hidden="1" x14ac:dyDescent="0.25"/>
    <row r="44322" hidden="1" x14ac:dyDescent="0.25"/>
    <row r="44323" hidden="1" x14ac:dyDescent="0.25"/>
    <row r="44324" hidden="1" x14ac:dyDescent="0.25"/>
    <row r="44325" hidden="1" x14ac:dyDescent="0.25"/>
    <row r="44326" hidden="1" x14ac:dyDescent="0.25"/>
    <row r="44327" hidden="1" x14ac:dyDescent="0.25"/>
    <row r="44328" hidden="1" x14ac:dyDescent="0.25"/>
    <row r="44329" hidden="1" x14ac:dyDescent="0.25"/>
    <row r="44330" hidden="1" x14ac:dyDescent="0.25"/>
    <row r="44331" hidden="1" x14ac:dyDescent="0.25"/>
    <row r="44332" hidden="1" x14ac:dyDescent="0.25"/>
    <row r="44333" hidden="1" x14ac:dyDescent="0.25"/>
    <row r="44334" hidden="1" x14ac:dyDescent="0.25"/>
    <row r="44335" hidden="1" x14ac:dyDescent="0.25"/>
    <row r="44336" hidden="1" x14ac:dyDescent="0.25"/>
    <row r="44337" hidden="1" x14ac:dyDescent="0.25"/>
    <row r="44338" hidden="1" x14ac:dyDescent="0.25"/>
    <row r="44339" hidden="1" x14ac:dyDescent="0.25"/>
    <row r="44340" hidden="1" x14ac:dyDescent="0.25"/>
    <row r="44341" hidden="1" x14ac:dyDescent="0.25"/>
    <row r="44342" hidden="1" x14ac:dyDescent="0.25"/>
    <row r="44343" hidden="1" x14ac:dyDescent="0.25"/>
    <row r="44344" hidden="1" x14ac:dyDescent="0.25"/>
    <row r="44345" hidden="1" x14ac:dyDescent="0.25"/>
    <row r="44346" hidden="1" x14ac:dyDescent="0.25"/>
    <row r="44347" hidden="1" x14ac:dyDescent="0.25"/>
    <row r="44348" hidden="1" x14ac:dyDescent="0.25"/>
    <row r="44349" hidden="1" x14ac:dyDescent="0.25"/>
    <row r="44350" hidden="1" x14ac:dyDescent="0.25"/>
    <row r="44351" hidden="1" x14ac:dyDescent="0.25"/>
    <row r="44352" hidden="1" x14ac:dyDescent="0.25"/>
    <row r="44353" hidden="1" x14ac:dyDescent="0.25"/>
    <row r="44354" hidden="1" x14ac:dyDescent="0.25"/>
    <row r="44355" hidden="1" x14ac:dyDescent="0.25"/>
    <row r="44356" hidden="1" x14ac:dyDescent="0.25"/>
    <row r="44357" hidden="1" x14ac:dyDescent="0.25"/>
    <row r="44358" hidden="1" x14ac:dyDescent="0.25"/>
    <row r="44359" hidden="1" x14ac:dyDescent="0.25"/>
    <row r="44360" hidden="1" x14ac:dyDescent="0.25"/>
    <row r="44361" hidden="1" x14ac:dyDescent="0.25"/>
    <row r="44362" hidden="1" x14ac:dyDescent="0.25"/>
    <row r="44363" hidden="1" x14ac:dyDescent="0.25"/>
    <row r="44364" hidden="1" x14ac:dyDescent="0.25"/>
    <row r="44365" hidden="1" x14ac:dyDescent="0.25"/>
    <row r="44366" hidden="1" x14ac:dyDescent="0.25"/>
    <row r="44367" hidden="1" x14ac:dyDescent="0.25"/>
    <row r="44368" hidden="1" x14ac:dyDescent="0.25"/>
    <row r="44369" hidden="1" x14ac:dyDescent="0.25"/>
    <row r="44370" hidden="1" x14ac:dyDescent="0.25"/>
    <row r="44371" hidden="1" x14ac:dyDescent="0.25"/>
    <row r="44372" hidden="1" x14ac:dyDescent="0.25"/>
    <row r="44373" hidden="1" x14ac:dyDescent="0.25"/>
    <row r="44374" hidden="1" x14ac:dyDescent="0.25"/>
    <row r="44375" hidden="1" x14ac:dyDescent="0.25"/>
    <row r="44376" hidden="1" x14ac:dyDescent="0.25"/>
    <row r="44377" hidden="1" x14ac:dyDescent="0.25"/>
    <row r="44378" hidden="1" x14ac:dyDescent="0.25"/>
    <row r="44379" hidden="1" x14ac:dyDescent="0.25"/>
    <row r="44380" hidden="1" x14ac:dyDescent="0.25"/>
    <row r="44381" hidden="1" x14ac:dyDescent="0.25"/>
    <row r="44382" hidden="1" x14ac:dyDescent="0.25"/>
    <row r="44383" hidden="1" x14ac:dyDescent="0.25"/>
    <row r="44384" hidden="1" x14ac:dyDescent="0.25"/>
    <row r="44385" hidden="1" x14ac:dyDescent="0.25"/>
    <row r="44386" hidden="1" x14ac:dyDescent="0.25"/>
    <row r="44387" hidden="1" x14ac:dyDescent="0.25"/>
    <row r="44388" hidden="1" x14ac:dyDescent="0.25"/>
    <row r="44389" hidden="1" x14ac:dyDescent="0.25"/>
    <row r="44390" hidden="1" x14ac:dyDescent="0.25"/>
    <row r="44391" hidden="1" x14ac:dyDescent="0.25"/>
    <row r="44392" hidden="1" x14ac:dyDescent="0.25"/>
    <row r="44393" hidden="1" x14ac:dyDescent="0.25"/>
    <row r="44394" hidden="1" x14ac:dyDescent="0.25"/>
    <row r="44395" hidden="1" x14ac:dyDescent="0.25"/>
    <row r="44396" hidden="1" x14ac:dyDescent="0.25"/>
    <row r="44397" hidden="1" x14ac:dyDescent="0.25"/>
    <row r="44398" hidden="1" x14ac:dyDescent="0.25"/>
    <row r="44399" hidden="1" x14ac:dyDescent="0.25"/>
    <row r="44400" hidden="1" x14ac:dyDescent="0.25"/>
    <row r="44401" hidden="1" x14ac:dyDescent="0.25"/>
    <row r="44402" hidden="1" x14ac:dyDescent="0.25"/>
    <row r="44403" hidden="1" x14ac:dyDescent="0.25"/>
    <row r="44404" hidden="1" x14ac:dyDescent="0.25"/>
    <row r="44405" hidden="1" x14ac:dyDescent="0.25"/>
    <row r="44406" hidden="1" x14ac:dyDescent="0.25"/>
    <row r="44407" hidden="1" x14ac:dyDescent="0.25"/>
    <row r="44408" hidden="1" x14ac:dyDescent="0.25"/>
    <row r="44409" hidden="1" x14ac:dyDescent="0.25"/>
    <row r="44410" hidden="1" x14ac:dyDescent="0.25"/>
    <row r="44411" hidden="1" x14ac:dyDescent="0.25"/>
    <row r="44412" hidden="1" x14ac:dyDescent="0.25"/>
    <row r="44413" hidden="1" x14ac:dyDescent="0.25"/>
    <row r="44414" hidden="1" x14ac:dyDescent="0.25"/>
    <row r="44415" hidden="1" x14ac:dyDescent="0.25"/>
    <row r="44416" hidden="1" x14ac:dyDescent="0.25"/>
    <row r="44417" hidden="1" x14ac:dyDescent="0.25"/>
    <row r="44418" hidden="1" x14ac:dyDescent="0.25"/>
    <row r="44419" hidden="1" x14ac:dyDescent="0.25"/>
    <row r="44420" hidden="1" x14ac:dyDescent="0.25"/>
    <row r="44421" hidden="1" x14ac:dyDescent="0.25"/>
    <row r="44422" hidden="1" x14ac:dyDescent="0.25"/>
    <row r="44423" hidden="1" x14ac:dyDescent="0.25"/>
    <row r="44424" hidden="1" x14ac:dyDescent="0.25"/>
    <row r="44425" hidden="1" x14ac:dyDescent="0.25"/>
    <row r="44426" hidden="1" x14ac:dyDescent="0.25"/>
    <row r="44427" hidden="1" x14ac:dyDescent="0.25"/>
    <row r="44428" hidden="1" x14ac:dyDescent="0.25"/>
    <row r="44429" hidden="1" x14ac:dyDescent="0.25"/>
    <row r="44430" hidden="1" x14ac:dyDescent="0.25"/>
    <row r="44431" hidden="1" x14ac:dyDescent="0.25"/>
    <row r="44432" hidden="1" x14ac:dyDescent="0.25"/>
    <row r="44433" hidden="1" x14ac:dyDescent="0.25"/>
    <row r="44434" hidden="1" x14ac:dyDescent="0.25"/>
    <row r="44435" hidden="1" x14ac:dyDescent="0.25"/>
    <row r="44436" hidden="1" x14ac:dyDescent="0.25"/>
    <row r="44437" hidden="1" x14ac:dyDescent="0.25"/>
    <row r="44438" hidden="1" x14ac:dyDescent="0.25"/>
    <row r="44439" hidden="1" x14ac:dyDescent="0.25"/>
    <row r="44440" hidden="1" x14ac:dyDescent="0.25"/>
    <row r="44441" hidden="1" x14ac:dyDescent="0.25"/>
    <row r="44442" hidden="1" x14ac:dyDescent="0.25"/>
    <row r="44443" hidden="1" x14ac:dyDescent="0.25"/>
    <row r="44444" hidden="1" x14ac:dyDescent="0.25"/>
    <row r="44445" hidden="1" x14ac:dyDescent="0.25"/>
    <row r="44446" hidden="1" x14ac:dyDescent="0.25"/>
    <row r="44447" hidden="1" x14ac:dyDescent="0.25"/>
    <row r="44448" hidden="1" x14ac:dyDescent="0.25"/>
    <row r="44449" hidden="1" x14ac:dyDescent="0.25"/>
    <row r="44450" hidden="1" x14ac:dyDescent="0.25"/>
    <row r="44451" hidden="1" x14ac:dyDescent="0.25"/>
    <row r="44452" hidden="1" x14ac:dyDescent="0.25"/>
    <row r="44453" hidden="1" x14ac:dyDescent="0.25"/>
    <row r="44454" hidden="1" x14ac:dyDescent="0.25"/>
    <row r="44455" hidden="1" x14ac:dyDescent="0.25"/>
    <row r="44456" hidden="1" x14ac:dyDescent="0.25"/>
    <row r="44457" hidden="1" x14ac:dyDescent="0.25"/>
    <row r="44458" hidden="1" x14ac:dyDescent="0.25"/>
    <row r="44459" hidden="1" x14ac:dyDescent="0.25"/>
    <row r="44460" hidden="1" x14ac:dyDescent="0.25"/>
    <row r="44461" hidden="1" x14ac:dyDescent="0.25"/>
    <row r="44462" hidden="1" x14ac:dyDescent="0.25"/>
    <row r="44463" hidden="1" x14ac:dyDescent="0.25"/>
    <row r="44464" hidden="1" x14ac:dyDescent="0.25"/>
    <row r="44465" hidden="1" x14ac:dyDescent="0.25"/>
    <row r="44466" hidden="1" x14ac:dyDescent="0.25"/>
    <row r="44467" hidden="1" x14ac:dyDescent="0.25"/>
    <row r="44468" hidden="1" x14ac:dyDescent="0.25"/>
    <row r="44469" hidden="1" x14ac:dyDescent="0.25"/>
    <row r="44470" hidden="1" x14ac:dyDescent="0.25"/>
    <row r="44471" hidden="1" x14ac:dyDescent="0.25"/>
    <row r="44472" hidden="1" x14ac:dyDescent="0.25"/>
    <row r="44473" hidden="1" x14ac:dyDescent="0.25"/>
    <row r="44474" hidden="1" x14ac:dyDescent="0.25"/>
    <row r="44475" hidden="1" x14ac:dyDescent="0.25"/>
    <row r="44476" hidden="1" x14ac:dyDescent="0.25"/>
    <row r="44477" hidden="1" x14ac:dyDescent="0.25"/>
    <row r="44478" hidden="1" x14ac:dyDescent="0.25"/>
    <row r="44479" hidden="1" x14ac:dyDescent="0.25"/>
    <row r="44480" hidden="1" x14ac:dyDescent="0.25"/>
    <row r="44481" hidden="1" x14ac:dyDescent="0.25"/>
    <row r="44482" hidden="1" x14ac:dyDescent="0.25"/>
    <row r="44483" hidden="1" x14ac:dyDescent="0.25"/>
    <row r="44484" hidden="1" x14ac:dyDescent="0.25"/>
    <row r="44485" hidden="1" x14ac:dyDescent="0.25"/>
    <row r="44486" hidden="1" x14ac:dyDescent="0.25"/>
    <row r="44487" hidden="1" x14ac:dyDescent="0.25"/>
    <row r="44488" hidden="1" x14ac:dyDescent="0.25"/>
    <row r="44489" hidden="1" x14ac:dyDescent="0.25"/>
    <row r="44490" hidden="1" x14ac:dyDescent="0.25"/>
    <row r="44491" hidden="1" x14ac:dyDescent="0.25"/>
    <row r="44492" hidden="1" x14ac:dyDescent="0.25"/>
    <row r="44493" hidden="1" x14ac:dyDescent="0.25"/>
    <row r="44494" hidden="1" x14ac:dyDescent="0.25"/>
    <row r="44495" hidden="1" x14ac:dyDescent="0.25"/>
    <row r="44496" hidden="1" x14ac:dyDescent="0.25"/>
    <row r="44497" hidden="1" x14ac:dyDescent="0.25"/>
    <row r="44498" hidden="1" x14ac:dyDescent="0.25"/>
    <row r="44499" hidden="1" x14ac:dyDescent="0.25"/>
    <row r="44500" hidden="1" x14ac:dyDescent="0.25"/>
    <row r="44501" hidden="1" x14ac:dyDescent="0.25"/>
    <row r="44502" hidden="1" x14ac:dyDescent="0.25"/>
    <row r="44503" hidden="1" x14ac:dyDescent="0.25"/>
    <row r="44504" hidden="1" x14ac:dyDescent="0.25"/>
    <row r="44505" hidden="1" x14ac:dyDescent="0.25"/>
    <row r="44506" hidden="1" x14ac:dyDescent="0.25"/>
    <row r="44507" hidden="1" x14ac:dyDescent="0.25"/>
    <row r="44508" hidden="1" x14ac:dyDescent="0.25"/>
    <row r="44509" hidden="1" x14ac:dyDescent="0.25"/>
    <row r="44510" hidden="1" x14ac:dyDescent="0.25"/>
    <row r="44511" hidden="1" x14ac:dyDescent="0.25"/>
    <row r="44512" hidden="1" x14ac:dyDescent="0.25"/>
    <row r="44513" hidden="1" x14ac:dyDescent="0.25"/>
    <row r="44514" hidden="1" x14ac:dyDescent="0.25"/>
    <row r="44515" hidden="1" x14ac:dyDescent="0.25"/>
    <row r="44516" hidden="1" x14ac:dyDescent="0.25"/>
    <row r="44517" hidden="1" x14ac:dyDescent="0.25"/>
    <row r="44518" hidden="1" x14ac:dyDescent="0.25"/>
    <row r="44519" hidden="1" x14ac:dyDescent="0.25"/>
    <row r="44520" hidden="1" x14ac:dyDescent="0.25"/>
    <row r="44521" hidden="1" x14ac:dyDescent="0.25"/>
    <row r="44522" hidden="1" x14ac:dyDescent="0.25"/>
    <row r="44523" hidden="1" x14ac:dyDescent="0.25"/>
    <row r="44524" hidden="1" x14ac:dyDescent="0.25"/>
    <row r="44525" hidden="1" x14ac:dyDescent="0.25"/>
    <row r="44526" hidden="1" x14ac:dyDescent="0.25"/>
    <row r="44527" hidden="1" x14ac:dyDescent="0.25"/>
    <row r="44528" hidden="1" x14ac:dyDescent="0.25"/>
    <row r="44529" hidden="1" x14ac:dyDescent="0.25"/>
    <row r="44530" hidden="1" x14ac:dyDescent="0.25"/>
    <row r="44531" hidden="1" x14ac:dyDescent="0.25"/>
    <row r="44532" hidden="1" x14ac:dyDescent="0.25"/>
    <row r="44533" hidden="1" x14ac:dyDescent="0.25"/>
    <row r="44534" hidden="1" x14ac:dyDescent="0.25"/>
    <row r="44535" hidden="1" x14ac:dyDescent="0.25"/>
    <row r="44536" hidden="1" x14ac:dyDescent="0.25"/>
    <row r="44537" hidden="1" x14ac:dyDescent="0.25"/>
    <row r="44538" hidden="1" x14ac:dyDescent="0.25"/>
    <row r="44539" hidden="1" x14ac:dyDescent="0.25"/>
    <row r="44540" hidden="1" x14ac:dyDescent="0.25"/>
    <row r="44541" hidden="1" x14ac:dyDescent="0.25"/>
    <row r="44542" hidden="1" x14ac:dyDescent="0.25"/>
    <row r="44543" hidden="1" x14ac:dyDescent="0.25"/>
    <row r="44544" hidden="1" x14ac:dyDescent="0.25"/>
    <row r="44545" hidden="1" x14ac:dyDescent="0.25"/>
    <row r="44546" hidden="1" x14ac:dyDescent="0.25"/>
    <row r="44547" hidden="1" x14ac:dyDescent="0.25"/>
    <row r="44548" hidden="1" x14ac:dyDescent="0.25"/>
    <row r="44549" hidden="1" x14ac:dyDescent="0.25"/>
    <row r="44550" hidden="1" x14ac:dyDescent="0.25"/>
    <row r="44551" hidden="1" x14ac:dyDescent="0.25"/>
    <row r="44552" hidden="1" x14ac:dyDescent="0.25"/>
    <row r="44553" hidden="1" x14ac:dyDescent="0.25"/>
    <row r="44554" hidden="1" x14ac:dyDescent="0.25"/>
    <row r="44555" hidden="1" x14ac:dyDescent="0.25"/>
    <row r="44556" hidden="1" x14ac:dyDescent="0.25"/>
    <row r="44557" hidden="1" x14ac:dyDescent="0.25"/>
    <row r="44558" hidden="1" x14ac:dyDescent="0.25"/>
    <row r="44559" hidden="1" x14ac:dyDescent="0.25"/>
    <row r="44560" hidden="1" x14ac:dyDescent="0.25"/>
    <row r="44561" hidden="1" x14ac:dyDescent="0.25"/>
    <row r="44562" hidden="1" x14ac:dyDescent="0.25"/>
    <row r="44563" hidden="1" x14ac:dyDescent="0.25"/>
    <row r="44564" hidden="1" x14ac:dyDescent="0.25"/>
    <row r="44565" hidden="1" x14ac:dyDescent="0.25"/>
    <row r="44566" hidden="1" x14ac:dyDescent="0.25"/>
    <row r="44567" hidden="1" x14ac:dyDescent="0.25"/>
    <row r="44568" hidden="1" x14ac:dyDescent="0.25"/>
    <row r="44569" hidden="1" x14ac:dyDescent="0.25"/>
    <row r="44570" hidden="1" x14ac:dyDescent="0.25"/>
    <row r="44571" hidden="1" x14ac:dyDescent="0.25"/>
    <row r="44572" hidden="1" x14ac:dyDescent="0.25"/>
    <row r="44573" hidden="1" x14ac:dyDescent="0.25"/>
    <row r="44574" hidden="1" x14ac:dyDescent="0.25"/>
    <row r="44575" hidden="1" x14ac:dyDescent="0.25"/>
    <row r="44576" hidden="1" x14ac:dyDescent="0.25"/>
    <row r="44577" hidden="1" x14ac:dyDescent="0.25"/>
    <row r="44578" hidden="1" x14ac:dyDescent="0.25"/>
    <row r="44579" hidden="1" x14ac:dyDescent="0.25"/>
    <row r="44580" hidden="1" x14ac:dyDescent="0.25"/>
    <row r="44581" hidden="1" x14ac:dyDescent="0.25"/>
    <row r="44582" hidden="1" x14ac:dyDescent="0.25"/>
    <row r="44583" hidden="1" x14ac:dyDescent="0.25"/>
    <row r="44584" hidden="1" x14ac:dyDescent="0.25"/>
    <row r="44585" hidden="1" x14ac:dyDescent="0.25"/>
    <row r="44586" hidden="1" x14ac:dyDescent="0.25"/>
    <row r="44587" hidden="1" x14ac:dyDescent="0.25"/>
    <row r="44588" hidden="1" x14ac:dyDescent="0.25"/>
    <row r="44589" hidden="1" x14ac:dyDescent="0.25"/>
    <row r="44590" hidden="1" x14ac:dyDescent="0.25"/>
    <row r="44591" hidden="1" x14ac:dyDescent="0.25"/>
    <row r="44592" hidden="1" x14ac:dyDescent="0.25"/>
    <row r="44593" hidden="1" x14ac:dyDescent="0.25"/>
    <row r="44594" hidden="1" x14ac:dyDescent="0.25"/>
    <row r="44595" hidden="1" x14ac:dyDescent="0.25"/>
    <row r="44596" hidden="1" x14ac:dyDescent="0.25"/>
    <row r="44597" hidden="1" x14ac:dyDescent="0.25"/>
    <row r="44598" hidden="1" x14ac:dyDescent="0.25"/>
    <row r="44599" hidden="1" x14ac:dyDescent="0.25"/>
    <row r="44600" hidden="1" x14ac:dyDescent="0.25"/>
    <row r="44601" hidden="1" x14ac:dyDescent="0.25"/>
    <row r="44602" hidden="1" x14ac:dyDescent="0.25"/>
    <row r="44603" hidden="1" x14ac:dyDescent="0.25"/>
    <row r="44604" hidden="1" x14ac:dyDescent="0.25"/>
    <row r="44605" hidden="1" x14ac:dyDescent="0.25"/>
    <row r="44606" hidden="1" x14ac:dyDescent="0.25"/>
    <row r="44607" hidden="1" x14ac:dyDescent="0.25"/>
    <row r="44608" hidden="1" x14ac:dyDescent="0.25"/>
    <row r="44609" hidden="1" x14ac:dyDescent="0.25"/>
    <row r="44610" hidden="1" x14ac:dyDescent="0.25"/>
    <row r="44611" hidden="1" x14ac:dyDescent="0.25"/>
    <row r="44612" hidden="1" x14ac:dyDescent="0.25"/>
    <row r="44613" hidden="1" x14ac:dyDescent="0.25"/>
    <row r="44614" hidden="1" x14ac:dyDescent="0.25"/>
    <row r="44615" hidden="1" x14ac:dyDescent="0.25"/>
    <row r="44616" hidden="1" x14ac:dyDescent="0.25"/>
    <row r="44617" hidden="1" x14ac:dyDescent="0.25"/>
    <row r="44618" hidden="1" x14ac:dyDescent="0.25"/>
    <row r="44619" hidden="1" x14ac:dyDescent="0.25"/>
    <row r="44620" hidden="1" x14ac:dyDescent="0.25"/>
    <row r="44621" hidden="1" x14ac:dyDescent="0.25"/>
    <row r="44622" hidden="1" x14ac:dyDescent="0.25"/>
    <row r="44623" hidden="1" x14ac:dyDescent="0.25"/>
    <row r="44624" hidden="1" x14ac:dyDescent="0.25"/>
    <row r="44625" hidden="1" x14ac:dyDescent="0.25"/>
    <row r="44626" hidden="1" x14ac:dyDescent="0.25"/>
    <row r="44627" hidden="1" x14ac:dyDescent="0.25"/>
    <row r="44628" hidden="1" x14ac:dyDescent="0.25"/>
    <row r="44629" hidden="1" x14ac:dyDescent="0.25"/>
    <row r="44630" hidden="1" x14ac:dyDescent="0.25"/>
    <row r="44631" hidden="1" x14ac:dyDescent="0.25"/>
    <row r="44632" hidden="1" x14ac:dyDescent="0.25"/>
    <row r="44633" hidden="1" x14ac:dyDescent="0.25"/>
    <row r="44634" hidden="1" x14ac:dyDescent="0.25"/>
    <row r="44635" hidden="1" x14ac:dyDescent="0.25"/>
    <row r="44636" hidden="1" x14ac:dyDescent="0.25"/>
    <row r="44637" hidden="1" x14ac:dyDescent="0.25"/>
    <row r="44638" hidden="1" x14ac:dyDescent="0.25"/>
    <row r="44639" hidden="1" x14ac:dyDescent="0.25"/>
    <row r="44640" hidden="1" x14ac:dyDescent="0.25"/>
    <row r="44641" hidden="1" x14ac:dyDescent="0.25"/>
    <row r="44642" hidden="1" x14ac:dyDescent="0.25"/>
    <row r="44643" hidden="1" x14ac:dyDescent="0.25"/>
    <row r="44644" hidden="1" x14ac:dyDescent="0.25"/>
    <row r="44645" hidden="1" x14ac:dyDescent="0.25"/>
    <row r="44646" hidden="1" x14ac:dyDescent="0.25"/>
    <row r="44647" hidden="1" x14ac:dyDescent="0.25"/>
    <row r="44648" hidden="1" x14ac:dyDescent="0.25"/>
    <row r="44649" hidden="1" x14ac:dyDescent="0.25"/>
    <row r="44650" hidden="1" x14ac:dyDescent="0.25"/>
    <row r="44651" hidden="1" x14ac:dyDescent="0.25"/>
    <row r="44652" hidden="1" x14ac:dyDescent="0.25"/>
    <row r="44653" hidden="1" x14ac:dyDescent="0.25"/>
    <row r="44654" hidden="1" x14ac:dyDescent="0.25"/>
    <row r="44655" hidden="1" x14ac:dyDescent="0.25"/>
    <row r="44656" hidden="1" x14ac:dyDescent="0.25"/>
    <row r="44657" hidden="1" x14ac:dyDescent="0.25"/>
    <row r="44658" hidden="1" x14ac:dyDescent="0.25"/>
    <row r="44659" hidden="1" x14ac:dyDescent="0.25"/>
    <row r="44660" hidden="1" x14ac:dyDescent="0.25"/>
    <row r="44661" hidden="1" x14ac:dyDescent="0.25"/>
    <row r="44662" hidden="1" x14ac:dyDescent="0.25"/>
    <row r="44663" hidden="1" x14ac:dyDescent="0.25"/>
    <row r="44664" hidden="1" x14ac:dyDescent="0.25"/>
    <row r="44665" hidden="1" x14ac:dyDescent="0.25"/>
    <row r="44666" hidden="1" x14ac:dyDescent="0.25"/>
    <row r="44667" hidden="1" x14ac:dyDescent="0.25"/>
    <row r="44668" hidden="1" x14ac:dyDescent="0.25"/>
    <row r="44669" hidden="1" x14ac:dyDescent="0.25"/>
    <row r="44670" hidden="1" x14ac:dyDescent="0.25"/>
    <row r="44671" hidden="1" x14ac:dyDescent="0.25"/>
    <row r="44672" hidden="1" x14ac:dyDescent="0.25"/>
    <row r="44673" hidden="1" x14ac:dyDescent="0.25"/>
    <row r="44674" hidden="1" x14ac:dyDescent="0.25"/>
    <row r="44675" hidden="1" x14ac:dyDescent="0.25"/>
    <row r="44676" hidden="1" x14ac:dyDescent="0.25"/>
    <row r="44677" hidden="1" x14ac:dyDescent="0.25"/>
    <row r="44678" hidden="1" x14ac:dyDescent="0.25"/>
    <row r="44679" hidden="1" x14ac:dyDescent="0.25"/>
    <row r="44680" hidden="1" x14ac:dyDescent="0.25"/>
    <row r="44681" hidden="1" x14ac:dyDescent="0.25"/>
    <row r="44682" hidden="1" x14ac:dyDescent="0.25"/>
    <row r="44683" hidden="1" x14ac:dyDescent="0.25"/>
    <row r="44684" hidden="1" x14ac:dyDescent="0.25"/>
    <row r="44685" hidden="1" x14ac:dyDescent="0.25"/>
    <row r="44686" hidden="1" x14ac:dyDescent="0.25"/>
    <row r="44687" hidden="1" x14ac:dyDescent="0.25"/>
    <row r="44688" hidden="1" x14ac:dyDescent="0.25"/>
    <row r="44689" hidden="1" x14ac:dyDescent="0.25"/>
    <row r="44690" hidden="1" x14ac:dyDescent="0.25"/>
    <row r="44691" hidden="1" x14ac:dyDescent="0.25"/>
    <row r="44692" hidden="1" x14ac:dyDescent="0.25"/>
    <row r="44693" hidden="1" x14ac:dyDescent="0.25"/>
    <row r="44694" hidden="1" x14ac:dyDescent="0.25"/>
    <row r="44695" hidden="1" x14ac:dyDescent="0.25"/>
    <row r="44696" hidden="1" x14ac:dyDescent="0.25"/>
    <row r="44697" hidden="1" x14ac:dyDescent="0.25"/>
    <row r="44698" hidden="1" x14ac:dyDescent="0.25"/>
    <row r="44699" hidden="1" x14ac:dyDescent="0.25"/>
    <row r="44700" hidden="1" x14ac:dyDescent="0.25"/>
    <row r="44701" hidden="1" x14ac:dyDescent="0.25"/>
    <row r="44702" hidden="1" x14ac:dyDescent="0.25"/>
    <row r="44703" hidden="1" x14ac:dyDescent="0.25"/>
    <row r="44704" hidden="1" x14ac:dyDescent="0.25"/>
    <row r="44705" hidden="1" x14ac:dyDescent="0.25"/>
    <row r="44706" hidden="1" x14ac:dyDescent="0.25"/>
    <row r="44707" hidden="1" x14ac:dyDescent="0.25"/>
    <row r="44708" hidden="1" x14ac:dyDescent="0.25"/>
    <row r="44709" hidden="1" x14ac:dyDescent="0.25"/>
    <row r="44710" hidden="1" x14ac:dyDescent="0.25"/>
    <row r="44711" hidden="1" x14ac:dyDescent="0.25"/>
    <row r="44712" hidden="1" x14ac:dyDescent="0.25"/>
    <row r="44713" hidden="1" x14ac:dyDescent="0.25"/>
    <row r="44714" hidden="1" x14ac:dyDescent="0.25"/>
    <row r="44715" hidden="1" x14ac:dyDescent="0.25"/>
    <row r="44716" hidden="1" x14ac:dyDescent="0.25"/>
    <row r="44717" hidden="1" x14ac:dyDescent="0.25"/>
    <row r="44718" hidden="1" x14ac:dyDescent="0.25"/>
    <row r="44719" hidden="1" x14ac:dyDescent="0.25"/>
    <row r="44720" hidden="1" x14ac:dyDescent="0.25"/>
    <row r="44721" hidden="1" x14ac:dyDescent="0.25"/>
    <row r="44722" hidden="1" x14ac:dyDescent="0.25"/>
    <row r="44723" hidden="1" x14ac:dyDescent="0.25"/>
    <row r="44724" hidden="1" x14ac:dyDescent="0.25"/>
    <row r="44725" hidden="1" x14ac:dyDescent="0.25"/>
    <row r="44726" hidden="1" x14ac:dyDescent="0.25"/>
    <row r="44727" hidden="1" x14ac:dyDescent="0.25"/>
    <row r="44728" hidden="1" x14ac:dyDescent="0.25"/>
    <row r="44729" hidden="1" x14ac:dyDescent="0.25"/>
    <row r="44730" hidden="1" x14ac:dyDescent="0.25"/>
    <row r="44731" hidden="1" x14ac:dyDescent="0.25"/>
    <row r="44732" hidden="1" x14ac:dyDescent="0.25"/>
    <row r="44733" hidden="1" x14ac:dyDescent="0.25"/>
    <row r="44734" hidden="1" x14ac:dyDescent="0.25"/>
    <row r="44735" hidden="1" x14ac:dyDescent="0.25"/>
    <row r="44736" hidden="1" x14ac:dyDescent="0.25"/>
    <row r="44737" hidden="1" x14ac:dyDescent="0.25"/>
    <row r="44738" hidden="1" x14ac:dyDescent="0.25"/>
    <row r="44739" hidden="1" x14ac:dyDescent="0.25"/>
    <row r="44740" hidden="1" x14ac:dyDescent="0.25"/>
    <row r="44741" hidden="1" x14ac:dyDescent="0.25"/>
    <row r="44742" hidden="1" x14ac:dyDescent="0.25"/>
    <row r="44743" hidden="1" x14ac:dyDescent="0.25"/>
    <row r="44744" hidden="1" x14ac:dyDescent="0.25"/>
    <row r="44745" hidden="1" x14ac:dyDescent="0.25"/>
    <row r="44746" hidden="1" x14ac:dyDescent="0.25"/>
    <row r="44747" hidden="1" x14ac:dyDescent="0.25"/>
    <row r="44748" hidden="1" x14ac:dyDescent="0.25"/>
    <row r="44749" hidden="1" x14ac:dyDescent="0.25"/>
    <row r="44750" hidden="1" x14ac:dyDescent="0.25"/>
    <row r="44751" hidden="1" x14ac:dyDescent="0.25"/>
    <row r="44752" hidden="1" x14ac:dyDescent="0.25"/>
    <row r="44753" hidden="1" x14ac:dyDescent="0.25"/>
    <row r="44754" hidden="1" x14ac:dyDescent="0.25"/>
    <row r="44755" hidden="1" x14ac:dyDescent="0.25"/>
    <row r="44756" hidden="1" x14ac:dyDescent="0.25"/>
    <row r="44757" hidden="1" x14ac:dyDescent="0.25"/>
    <row r="44758" hidden="1" x14ac:dyDescent="0.25"/>
    <row r="44759" hidden="1" x14ac:dyDescent="0.25"/>
    <row r="44760" hidden="1" x14ac:dyDescent="0.25"/>
    <row r="44761" hidden="1" x14ac:dyDescent="0.25"/>
    <row r="44762" hidden="1" x14ac:dyDescent="0.25"/>
    <row r="44763" hidden="1" x14ac:dyDescent="0.25"/>
    <row r="44764" hidden="1" x14ac:dyDescent="0.25"/>
    <row r="44765" hidden="1" x14ac:dyDescent="0.25"/>
    <row r="44766" hidden="1" x14ac:dyDescent="0.25"/>
    <row r="44767" hidden="1" x14ac:dyDescent="0.25"/>
    <row r="44768" hidden="1" x14ac:dyDescent="0.25"/>
    <row r="44769" hidden="1" x14ac:dyDescent="0.25"/>
    <row r="44770" hidden="1" x14ac:dyDescent="0.25"/>
    <row r="44771" hidden="1" x14ac:dyDescent="0.25"/>
    <row r="44772" hidden="1" x14ac:dyDescent="0.25"/>
    <row r="44773" hidden="1" x14ac:dyDescent="0.25"/>
    <row r="44774" hidden="1" x14ac:dyDescent="0.25"/>
    <row r="44775" hidden="1" x14ac:dyDescent="0.25"/>
    <row r="44776" hidden="1" x14ac:dyDescent="0.25"/>
    <row r="44777" hidden="1" x14ac:dyDescent="0.25"/>
    <row r="44778" hidden="1" x14ac:dyDescent="0.25"/>
    <row r="44779" hidden="1" x14ac:dyDescent="0.25"/>
    <row r="44780" hidden="1" x14ac:dyDescent="0.25"/>
    <row r="44781" hidden="1" x14ac:dyDescent="0.25"/>
    <row r="44782" hidden="1" x14ac:dyDescent="0.25"/>
    <row r="44783" hidden="1" x14ac:dyDescent="0.25"/>
    <row r="44784" hidden="1" x14ac:dyDescent="0.25"/>
    <row r="44785" hidden="1" x14ac:dyDescent="0.25"/>
    <row r="44786" hidden="1" x14ac:dyDescent="0.25"/>
    <row r="44787" hidden="1" x14ac:dyDescent="0.25"/>
    <row r="44788" hidden="1" x14ac:dyDescent="0.25"/>
    <row r="44789" hidden="1" x14ac:dyDescent="0.25"/>
    <row r="44790" hidden="1" x14ac:dyDescent="0.25"/>
    <row r="44791" hidden="1" x14ac:dyDescent="0.25"/>
    <row r="44792" hidden="1" x14ac:dyDescent="0.25"/>
    <row r="44793" hidden="1" x14ac:dyDescent="0.25"/>
    <row r="44794" hidden="1" x14ac:dyDescent="0.25"/>
    <row r="44795" hidden="1" x14ac:dyDescent="0.25"/>
    <row r="44796" hidden="1" x14ac:dyDescent="0.25"/>
    <row r="44797" hidden="1" x14ac:dyDescent="0.25"/>
    <row r="44798" hidden="1" x14ac:dyDescent="0.25"/>
    <row r="44799" hidden="1" x14ac:dyDescent="0.25"/>
    <row r="44800" hidden="1" x14ac:dyDescent="0.25"/>
    <row r="44801" hidden="1" x14ac:dyDescent="0.25"/>
    <row r="44802" hidden="1" x14ac:dyDescent="0.25"/>
    <row r="44803" hidden="1" x14ac:dyDescent="0.25"/>
    <row r="44804" hidden="1" x14ac:dyDescent="0.25"/>
    <row r="44805" hidden="1" x14ac:dyDescent="0.25"/>
    <row r="44806" hidden="1" x14ac:dyDescent="0.25"/>
    <row r="44807" hidden="1" x14ac:dyDescent="0.25"/>
    <row r="44808" hidden="1" x14ac:dyDescent="0.25"/>
    <row r="44809" hidden="1" x14ac:dyDescent="0.25"/>
    <row r="44810" hidden="1" x14ac:dyDescent="0.25"/>
    <row r="44811" hidden="1" x14ac:dyDescent="0.25"/>
    <row r="44812" hidden="1" x14ac:dyDescent="0.25"/>
    <row r="44813" hidden="1" x14ac:dyDescent="0.25"/>
    <row r="44814" hidden="1" x14ac:dyDescent="0.25"/>
    <row r="44815" hidden="1" x14ac:dyDescent="0.25"/>
    <row r="44816" hidden="1" x14ac:dyDescent="0.25"/>
    <row r="44817" hidden="1" x14ac:dyDescent="0.25"/>
    <row r="44818" hidden="1" x14ac:dyDescent="0.25"/>
    <row r="44819" hidden="1" x14ac:dyDescent="0.25"/>
    <row r="44820" hidden="1" x14ac:dyDescent="0.25"/>
    <row r="44821" hidden="1" x14ac:dyDescent="0.25"/>
    <row r="44822" hidden="1" x14ac:dyDescent="0.25"/>
    <row r="44823" hidden="1" x14ac:dyDescent="0.25"/>
    <row r="44824" hidden="1" x14ac:dyDescent="0.25"/>
    <row r="44825" hidden="1" x14ac:dyDescent="0.25"/>
    <row r="44826" hidden="1" x14ac:dyDescent="0.25"/>
    <row r="44827" hidden="1" x14ac:dyDescent="0.25"/>
    <row r="44828" hidden="1" x14ac:dyDescent="0.25"/>
    <row r="44829" hidden="1" x14ac:dyDescent="0.25"/>
    <row r="44830" hidden="1" x14ac:dyDescent="0.25"/>
    <row r="44831" hidden="1" x14ac:dyDescent="0.25"/>
    <row r="44832" hidden="1" x14ac:dyDescent="0.25"/>
    <row r="44833" hidden="1" x14ac:dyDescent="0.25"/>
    <row r="44834" hidden="1" x14ac:dyDescent="0.25"/>
    <row r="44835" hidden="1" x14ac:dyDescent="0.25"/>
    <row r="44836" hidden="1" x14ac:dyDescent="0.25"/>
    <row r="44837" hidden="1" x14ac:dyDescent="0.25"/>
    <row r="44838" hidden="1" x14ac:dyDescent="0.25"/>
    <row r="44839" hidden="1" x14ac:dyDescent="0.25"/>
    <row r="44840" hidden="1" x14ac:dyDescent="0.25"/>
    <row r="44841" hidden="1" x14ac:dyDescent="0.25"/>
    <row r="44842" hidden="1" x14ac:dyDescent="0.25"/>
    <row r="44843" hidden="1" x14ac:dyDescent="0.25"/>
    <row r="44844" hidden="1" x14ac:dyDescent="0.25"/>
    <row r="44845" hidden="1" x14ac:dyDescent="0.25"/>
    <row r="44846" hidden="1" x14ac:dyDescent="0.25"/>
    <row r="44847" hidden="1" x14ac:dyDescent="0.25"/>
    <row r="44848" hidden="1" x14ac:dyDescent="0.25"/>
    <row r="44849" hidden="1" x14ac:dyDescent="0.25"/>
    <row r="44850" hidden="1" x14ac:dyDescent="0.25"/>
    <row r="44851" hidden="1" x14ac:dyDescent="0.25"/>
    <row r="44852" hidden="1" x14ac:dyDescent="0.25"/>
    <row r="44853" hidden="1" x14ac:dyDescent="0.25"/>
    <row r="44854" hidden="1" x14ac:dyDescent="0.25"/>
    <row r="44855" hidden="1" x14ac:dyDescent="0.25"/>
    <row r="44856" hidden="1" x14ac:dyDescent="0.25"/>
    <row r="44857" hidden="1" x14ac:dyDescent="0.25"/>
    <row r="44858" hidden="1" x14ac:dyDescent="0.25"/>
    <row r="44859" hidden="1" x14ac:dyDescent="0.25"/>
    <row r="44860" hidden="1" x14ac:dyDescent="0.25"/>
    <row r="44861" hidden="1" x14ac:dyDescent="0.25"/>
    <row r="44862" hidden="1" x14ac:dyDescent="0.25"/>
    <row r="44863" hidden="1" x14ac:dyDescent="0.25"/>
    <row r="44864" hidden="1" x14ac:dyDescent="0.25"/>
    <row r="44865" hidden="1" x14ac:dyDescent="0.25"/>
    <row r="44866" hidden="1" x14ac:dyDescent="0.25"/>
    <row r="44867" hidden="1" x14ac:dyDescent="0.25"/>
    <row r="44868" hidden="1" x14ac:dyDescent="0.25"/>
    <row r="44869" hidden="1" x14ac:dyDescent="0.25"/>
    <row r="44870" hidden="1" x14ac:dyDescent="0.25"/>
    <row r="44871" hidden="1" x14ac:dyDescent="0.25"/>
    <row r="44872" hidden="1" x14ac:dyDescent="0.25"/>
    <row r="44873" hidden="1" x14ac:dyDescent="0.25"/>
    <row r="44874" hidden="1" x14ac:dyDescent="0.25"/>
    <row r="44875" hidden="1" x14ac:dyDescent="0.25"/>
    <row r="44876" hidden="1" x14ac:dyDescent="0.25"/>
    <row r="44877" hidden="1" x14ac:dyDescent="0.25"/>
    <row r="44878" hidden="1" x14ac:dyDescent="0.25"/>
    <row r="44879" hidden="1" x14ac:dyDescent="0.25"/>
    <row r="44880" hidden="1" x14ac:dyDescent="0.25"/>
    <row r="44881" hidden="1" x14ac:dyDescent="0.25"/>
    <row r="44882" hidden="1" x14ac:dyDescent="0.25"/>
    <row r="44883" hidden="1" x14ac:dyDescent="0.25"/>
    <row r="44884" hidden="1" x14ac:dyDescent="0.25"/>
    <row r="44885" hidden="1" x14ac:dyDescent="0.25"/>
    <row r="44886" hidden="1" x14ac:dyDescent="0.25"/>
    <row r="44887" hidden="1" x14ac:dyDescent="0.25"/>
    <row r="44888" hidden="1" x14ac:dyDescent="0.25"/>
    <row r="44889" hidden="1" x14ac:dyDescent="0.25"/>
    <row r="44890" hidden="1" x14ac:dyDescent="0.25"/>
    <row r="44891" hidden="1" x14ac:dyDescent="0.25"/>
    <row r="44892" hidden="1" x14ac:dyDescent="0.25"/>
    <row r="44893" hidden="1" x14ac:dyDescent="0.25"/>
    <row r="44894" hidden="1" x14ac:dyDescent="0.25"/>
    <row r="44895" hidden="1" x14ac:dyDescent="0.25"/>
    <row r="44896" hidden="1" x14ac:dyDescent="0.25"/>
    <row r="44897" hidden="1" x14ac:dyDescent="0.25"/>
    <row r="44898" hidden="1" x14ac:dyDescent="0.25"/>
    <row r="44899" hidden="1" x14ac:dyDescent="0.25"/>
    <row r="44900" hidden="1" x14ac:dyDescent="0.25"/>
    <row r="44901" hidden="1" x14ac:dyDescent="0.25"/>
    <row r="44902" hidden="1" x14ac:dyDescent="0.25"/>
    <row r="44903" hidden="1" x14ac:dyDescent="0.25"/>
    <row r="44904" hidden="1" x14ac:dyDescent="0.25"/>
    <row r="44905" hidden="1" x14ac:dyDescent="0.25"/>
    <row r="44906" hidden="1" x14ac:dyDescent="0.25"/>
    <row r="44907" hidden="1" x14ac:dyDescent="0.25"/>
    <row r="44908" hidden="1" x14ac:dyDescent="0.25"/>
    <row r="44909" hidden="1" x14ac:dyDescent="0.25"/>
    <row r="44910" hidden="1" x14ac:dyDescent="0.25"/>
    <row r="44911" hidden="1" x14ac:dyDescent="0.25"/>
    <row r="44912" hidden="1" x14ac:dyDescent="0.25"/>
    <row r="44913" hidden="1" x14ac:dyDescent="0.25"/>
    <row r="44914" hidden="1" x14ac:dyDescent="0.25"/>
    <row r="44915" hidden="1" x14ac:dyDescent="0.25"/>
    <row r="44916" hidden="1" x14ac:dyDescent="0.25"/>
    <row r="44917" hidden="1" x14ac:dyDescent="0.25"/>
    <row r="44918" hidden="1" x14ac:dyDescent="0.25"/>
    <row r="44919" hidden="1" x14ac:dyDescent="0.25"/>
    <row r="44920" hidden="1" x14ac:dyDescent="0.25"/>
    <row r="44921" hidden="1" x14ac:dyDescent="0.25"/>
    <row r="44922" hidden="1" x14ac:dyDescent="0.25"/>
    <row r="44923" hidden="1" x14ac:dyDescent="0.25"/>
    <row r="44924" hidden="1" x14ac:dyDescent="0.25"/>
    <row r="44925" hidden="1" x14ac:dyDescent="0.25"/>
    <row r="44926" hidden="1" x14ac:dyDescent="0.25"/>
    <row r="44927" hidden="1" x14ac:dyDescent="0.25"/>
    <row r="44928" hidden="1" x14ac:dyDescent="0.25"/>
    <row r="44929" hidden="1" x14ac:dyDescent="0.25"/>
    <row r="44930" hidden="1" x14ac:dyDescent="0.25"/>
    <row r="44931" hidden="1" x14ac:dyDescent="0.25"/>
    <row r="44932" hidden="1" x14ac:dyDescent="0.25"/>
    <row r="44933" hidden="1" x14ac:dyDescent="0.25"/>
    <row r="44934" hidden="1" x14ac:dyDescent="0.25"/>
    <row r="44935" hidden="1" x14ac:dyDescent="0.25"/>
    <row r="44936" hidden="1" x14ac:dyDescent="0.25"/>
    <row r="44937" hidden="1" x14ac:dyDescent="0.25"/>
    <row r="44938" hidden="1" x14ac:dyDescent="0.25"/>
    <row r="44939" hidden="1" x14ac:dyDescent="0.25"/>
    <row r="44940" hidden="1" x14ac:dyDescent="0.25"/>
    <row r="44941" hidden="1" x14ac:dyDescent="0.25"/>
    <row r="44942" hidden="1" x14ac:dyDescent="0.25"/>
    <row r="44943" hidden="1" x14ac:dyDescent="0.25"/>
    <row r="44944" hidden="1" x14ac:dyDescent="0.25"/>
    <row r="44945" hidden="1" x14ac:dyDescent="0.25"/>
    <row r="44946" hidden="1" x14ac:dyDescent="0.25"/>
    <row r="44947" hidden="1" x14ac:dyDescent="0.25"/>
    <row r="44948" hidden="1" x14ac:dyDescent="0.25"/>
    <row r="44949" hidden="1" x14ac:dyDescent="0.25"/>
    <row r="44950" hidden="1" x14ac:dyDescent="0.25"/>
    <row r="44951" hidden="1" x14ac:dyDescent="0.25"/>
    <row r="44952" hidden="1" x14ac:dyDescent="0.25"/>
    <row r="44953" hidden="1" x14ac:dyDescent="0.25"/>
    <row r="44954" hidden="1" x14ac:dyDescent="0.25"/>
    <row r="44955" hidden="1" x14ac:dyDescent="0.25"/>
    <row r="44956" hidden="1" x14ac:dyDescent="0.25"/>
    <row r="44957" hidden="1" x14ac:dyDescent="0.25"/>
    <row r="44958" hidden="1" x14ac:dyDescent="0.25"/>
    <row r="44959" hidden="1" x14ac:dyDescent="0.25"/>
    <row r="44960" hidden="1" x14ac:dyDescent="0.25"/>
    <row r="44961" hidden="1" x14ac:dyDescent="0.25"/>
    <row r="44962" hidden="1" x14ac:dyDescent="0.25"/>
    <row r="44963" hidden="1" x14ac:dyDescent="0.25"/>
    <row r="44964" hidden="1" x14ac:dyDescent="0.25"/>
    <row r="44965" hidden="1" x14ac:dyDescent="0.25"/>
    <row r="44966" hidden="1" x14ac:dyDescent="0.25"/>
    <row r="44967" hidden="1" x14ac:dyDescent="0.25"/>
    <row r="44968" hidden="1" x14ac:dyDescent="0.25"/>
    <row r="44969" hidden="1" x14ac:dyDescent="0.25"/>
    <row r="44970" hidden="1" x14ac:dyDescent="0.25"/>
    <row r="44971" hidden="1" x14ac:dyDescent="0.25"/>
    <row r="44972" hidden="1" x14ac:dyDescent="0.25"/>
    <row r="44973" hidden="1" x14ac:dyDescent="0.25"/>
    <row r="44974" hidden="1" x14ac:dyDescent="0.25"/>
    <row r="44975" hidden="1" x14ac:dyDescent="0.25"/>
    <row r="44976" hidden="1" x14ac:dyDescent="0.25"/>
    <row r="44977" hidden="1" x14ac:dyDescent="0.25"/>
    <row r="44978" hidden="1" x14ac:dyDescent="0.25"/>
    <row r="44979" hidden="1" x14ac:dyDescent="0.25"/>
    <row r="44980" hidden="1" x14ac:dyDescent="0.25"/>
    <row r="44981" hidden="1" x14ac:dyDescent="0.25"/>
    <row r="44982" hidden="1" x14ac:dyDescent="0.25"/>
    <row r="44983" hidden="1" x14ac:dyDescent="0.25"/>
    <row r="44984" hidden="1" x14ac:dyDescent="0.25"/>
    <row r="44985" hidden="1" x14ac:dyDescent="0.25"/>
    <row r="44986" hidden="1" x14ac:dyDescent="0.25"/>
    <row r="44987" hidden="1" x14ac:dyDescent="0.25"/>
    <row r="44988" hidden="1" x14ac:dyDescent="0.25"/>
    <row r="44989" hidden="1" x14ac:dyDescent="0.25"/>
    <row r="44990" hidden="1" x14ac:dyDescent="0.25"/>
    <row r="44991" hidden="1" x14ac:dyDescent="0.25"/>
    <row r="44992" hidden="1" x14ac:dyDescent="0.25"/>
    <row r="44993" hidden="1" x14ac:dyDescent="0.25"/>
    <row r="44994" hidden="1" x14ac:dyDescent="0.25"/>
    <row r="44995" hidden="1" x14ac:dyDescent="0.25"/>
    <row r="44996" hidden="1" x14ac:dyDescent="0.25"/>
    <row r="44997" hidden="1" x14ac:dyDescent="0.25"/>
    <row r="44998" hidden="1" x14ac:dyDescent="0.25"/>
    <row r="44999" hidden="1" x14ac:dyDescent="0.25"/>
    <row r="45000" hidden="1" x14ac:dyDescent="0.25"/>
    <row r="45001" hidden="1" x14ac:dyDescent="0.25"/>
    <row r="45002" hidden="1" x14ac:dyDescent="0.25"/>
    <row r="45003" hidden="1" x14ac:dyDescent="0.25"/>
    <row r="45004" hidden="1" x14ac:dyDescent="0.25"/>
    <row r="45005" hidden="1" x14ac:dyDescent="0.25"/>
    <row r="45006" hidden="1" x14ac:dyDescent="0.25"/>
    <row r="45007" hidden="1" x14ac:dyDescent="0.25"/>
    <row r="45008" hidden="1" x14ac:dyDescent="0.25"/>
    <row r="45009" hidden="1" x14ac:dyDescent="0.25"/>
    <row r="45010" hidden="1" x14ac:dyDescent="0.25"/>
    <row r="45011" hidden="1" x14ac:dyDescent="0.25"/>
    <row r="45012" hidden="1" x14ac:dyDescent="0.25"/>
    <row r="45013" hidden="1" x14ac:dyDescent="0.25"/>
    <row r="45014" hidden="1" x14ac:dyDescent="0.25"/>
    <row r="45015" hidden="1" x14ac:dyDescent="0.25"/>
    <row r="45016" hidden="1" x14ac:dyDescent="0.25"/>
    <row r="45017" hidden="1" x14ac:dyDescent="0.25"/>
    <row r="45018" hidden="1" x14ac:dyDescent="0.25"/>
    <row r="45019" hidden="1" x14ac:dyDescent="0.25"/>
    <row r="45020" hidden="1" x14ac:dyDescent="0.25"/>
    <row r="45021" hidden="1" x14ac:dyDescent="0.25"/>
    <row r="45022" hidden="1" x14ac:dyDescent="0.25"/>
    <row r="45023" hidden="1" x14ac:dyDescent="0.25"/>
    <row r="45024" hidden="1" x14ac:dyDescent="0.25"/>
    <row r="45025" hidden="1" x14ac:dyDescent="0.25"/>
    <row r="45026" hidden="1" x14ac:dyDescent="0.25"/>
    <row r="45027" hidden="1" x14ac:dyDescent="0.25"/>
    <row r="45028" hidden="1" x14ac:dyDescent="0.25"/>
    <row r="45029" hidden="1" x14ac:dyDescent="0.25"/>
    <row r="45030" hidden="1" x14ac:dyDescent="0.25"/>
    <row r="45031" hidden="1" x14ac:dyDescent="0.25"/>
    <row r="45032" hidden="1" x14ac:dyDescent="0.25"/>
    <row r="45033" hidden="1" x14ac:dyDescent="0.25"/>
    <row r="45034" hidden="1" x14ac:dyDescent="0.25"/>
    <row r="45035" hidden="1" x14ac:dyDescent="0.25"/>
    <row r="45036" hidden="1" x14ac:dyDescent="0.25"/>
    <row r="45037" hidden="1" x14ac:dyDescent="0.25"/>
    <row r="45038" hidden="1" x14ac:dyDescent="0.25"/>
    <row r="45039" hidden="1" x14ac:dyDescent="0.25"/>
    <row r="45040" hidden="1" x14ac:dyDescent="0.25"/>
    <row r="45041" hidden="1" x14ac:dyDescent="0.25"/>
    <row r="45042" hidden="1" x14ac:dyDescent="0.25"/>
    <row r="45043" hidden="1" x14ac:dyDescent="0.25"/>
    <row r="45044" hidden="1" x14ac:dyDescent="0.25"/>
    <row r="45045" hidden="1" x14ac:dyDescent="0.25"/>
    <row r="45046" hidden="1" x14ac:dyDescent="0.25"/>
    <row r="45047" hidden="1" x14ac:dyDescent="0.25"/>
    <row r="45048" hidden="1" x14ac:dyDescent="0.25"/>
    <row r="45049" hidden="1" x14ac:dyDescent="0.25"/>
    <row r="45050" hidden="1" x14ac:dyDescent="0.25"/>
    <row r="45051" hidden="1" x14ac:dyDescent="0.25"/>
    <row r="45052" hidden="1" x14ac:dyDescent="0.25"/>
    <row r="45053" hidden="1" x14ac:dyDescent="0.25"/>
    <row r="45054" hidden="1" x14ac:dyDescent="0.25"/>
    <row r="45055" hidden="1" x14ac:dyDescent="0.25"/>
    <row r="45056" hidden="1" x14ac:dyDescent="0.25"/>
    <row r="45057" hidden="1" x14ac:dyDescent="0.25"/>
    <row r="45058" hidden="1" x14ac:dyDescent="0.25"/>
    <row r="45059" hidden="1" x14ac:dyDescent="0.25"/>
    <row r="45060" hidden="1" x14ac:dyDescent="0.25"/>
    <row r="45061" hidden="1" x14ac:dyDescent="0.25"/>
    <row r="45062" hidden="1" x14ac:dyDescent="0.25"/>
    <row r="45063" hidden="1" x14ac:dyDescent="0.25"/>
    <row r="45064" hidden="1" x14ac:dyDescent="0.25"/>
    <row r="45065" hidden="1" x14ac:dyDescent="0.25"/>
    <row r="45066" hidden="1" x14ac:dyDescent="0.25"/>
    <row r="45067" hidden="1" x14ac:dyDescent="0.25"/>
    <row r="45068" hidden="1" x14ac:dyDescent="0.25"/>
    <row r="45069" hidden="1" x14ac:dyDescent="0.25"/>
    <row r="45070" hidden="1" x14ac:dyDescent="0.25"/>
    <row r="45071" hidden="1" x14ac:dyDescent="0.25"/>
    <row r="45072" hidden="1" x14ac:dyDescent="0.25"/>
    <row r="45073" hidden="1" x14ac:dyDescent="0.25"/>
    <row r="45074" hidden="1" x14ac:dyDescent="0.25"/>
    <row r="45075" hidden="1" x14ac:dyDescent="0.25"/>
    <row r="45076" hidden="1" x14ac:dyDescent="0.25"/>
    <row r="45077" hidden="1" x14ac:dyDescent="0.25"/>
    <row r="45078" hidden="1" x14ac:dyDescent="0.25"/>
    <row r="45079" hidden="1" x14ac:dyDescent="0.25"/>
    <row r="45080" hidden="1" x14ac:dyDescent="0.25"/>
    <row r="45081" hidden="1" x14ac:dyDescent="0.25"/>
    <row r="45082" hidden="1" x14ac:dyDescent="0.25"/>
    <row r="45083" hidden="1" x14ac:dyDescent="0.25"/>
    <row r="45084" hidden="1" x14ac:dyDescent="0.25"/>
    <row r="45085" hidden="1" x14ac:dyDescent="0.25"/>
    <row r="45086" hidden="1" x14ac:dyDescent="0.25"/>
    <row r="45087" hidden="1" x14ac:dyDescent="0.25"/>
    <row r="45088" hidden="1" x14ac:dyDescent="0.25"/>
    <row r="45089" hidden="1" x14ac:dyDescent="0.25"/>
    <row r="45090" hidden="1" x14ac:dyDescent="0.25"/>
    <row r="45091" hidden="1" x14ac:dyDescent="0.25"/>
    <row r="45092" hidden="1" x14ac:dyDescent="0.25"/>
    <row r="45093" hidden="1" x14ac:dyDescent="0.25"/>
    <row r="45094" hidden="1" x14ac:dyDescent="0.25"/>
    <row r="45095" hidden="1" x14ac:dyDescent="0.25"/>
    <row r="45096" hidden="1" x14ac:dyDescent="0.25"/>
    <row r="45097" hidden="1" x14ac:dyDescent="0.25"/>
    <row r="45098" hidden="1" x14ac:dyDescent="0.25"/>
    <row r="45099" hidden="1" x14ac:dyDescent="0.25"/>
    <row r="45100" hidden="1" x14ac:dyDescent="0.25"/>
    <row r="45101" hidden="1" x14ac:dyDescent="0.25"/>
    <row r="45102" hidden="1" x14ac:dyDescent="0.25"/>
    <row r="45103" hidden="1" x14ac:dyDescent="0.25"/>
    <row r="45104" hidden="1" x14ac:dyDescent="0.25"/>
    <row r="45105" hidden="1" x14ac:dyDescent="0.25"/>
    <row r="45106" hidden="1" x14ac:dyDescent="0.25"/>
    <row r="45107" hidden="1" x14ac:dyDescent="0.25"/>
    <row r="45108" hidden="1" x14ac:dyDescent="0.25"/>
    <row r="45109" hidden="1" x14ac:dyDescent="0.25"/>
    <row r="45110" hidden="1" x14ac:dyDescent="0.25"/>
    <row r="45111" hidden="1" x14ac:dyDescent="0.25"/>
    <row r="45112" hidden="1" x14ac:dyDescent="0.25"/>
    <row r="45113" hidden="1" x14ac:dyDescent="0.25"/>
    <row r="45114" hidden="1" x14ac:dyDescent="0.25"/>
    <row r="45115" hidden="1" x14ac:dyDescent="0.25"/>
    <row r="45116" hidden="1" x14ac:dyDescent="0.25"/>
    <row r="45117" hidden="1" x14ac:dyDescent="0.25"/>
    <row r="45118" hidden="1" x14ac:dyDescent="0.25"/>
    <row r="45119" hidden="1" x14ac:dyDescent="0.25"/>
    <row r="45120" hidden="1" x14ac:dyDescent="0.25"/>
    <row r="45121" hidden="1" x14ac:dyDescent="0.25"/>
    <row r="45122" hidden="1" x14ac:dyDescent="0.25"/>
    <row r="45123" hidden="1" x14ac:dyDescent="0.25"/>
    <row r="45124" hidden="1" x14ac:dyDescent="0.25"/>
    <row r="45125" hidden="1" x14ac:dyDescent="0.25"/>
    <row r="45126" hidden="1" x14ac:dyDescent="0.25"/>
    <row r="45127" hidden="1" x14ac:dyDescent="0.25"/>
    <row r="45128" hidden="1" x14ac:dyDescent="0.25"/>
    <row r="45129" hidden="1" x14ac:dyDescent="0.25"/>
    <row r="45130" hidden="1" x14ac:dyDescent="0.25"/>
    <row r="45131" hidden="1" x14ac:dyDescent="0.25"/>
    <row r="45132" hidden="1" x14ac:dyDescent="0.25"/>
    <row r="45133" hidden="1" x14ac:dyDescent="0.25"/>
    <row r="45134" hidden="1" x14ac:dyDescent="0.25"/>
    <row r="45135" hidden="1" x14ac:dyDescent="0.25"/>
    <row r="45136" hidden="1" x14ac:dyDescent="0.25"/>
    <row r="45137" hidden="1" x14ac:dyDescent="0.25"/>
    <row r="45138" hidden="1" x14ac:dyDescent="0.25"/>
    <row r="45139" hidden="1" x14ac:dyDescent="0.25"/>
    <row r="45140" hidden="1" x14ac:dyDescent="0.25"/>
    <row r="45141" hidden="1" x14ac:dyDescent="0.25"/>
    <row r="45142" hidden="1" x14ac:dyDescent="0.25"/>
    <row r="45143" hidden="1" x14ac:dyDescent="0.25"/>
    <row r="45144" hidden="1" x14ac:dyDescent="0.25"/>
    <row r="45145" hidden="1" x14ac:dyDescent="0.25"/>
    <row r="45146" hidden="1" x14ac:dyDescent="0.25"/>
    <row r="45147" hidden="1" x14ac:dyDescent="0.25"/>
    <row r="45148" hidden="1" x14ac:dyDescent="0.25"/>
    <row r="45149" hidden="1" x14ac:dyDescent="0.25"/>
    <row r="45150" hidden="1" x14ac:dyDescent="0.25"/>
    <row r="45151" hidden="1" x14ac:dyDescent="0.25"/>
    <row r="45152" hidden="1" x14ac:dyDescent="0.25"/>
    <row r="45153" hidden="1" x14ac:dyDescent="0.25"/>
    <row r="45154" hidden="1" x14ac:dyDescent="0.25"/>
    <row r="45155" hidden="1" x14ac:dyDescent="0.25"/>
    <row r="45156" hidden="1" x14ac:dyDescent="0.25"/>
    <row r="45157" hidden="1" x14ac:dyDescent="0.25"/>
    <row r="45158" hidden="1" x14ac:dyDescent="0.25"/>
    <row r="45159" hidden="1" x14ac:dyDescent="0.25"/>
    <row r="45160" hidden="1" x14ac:dyDescent="0.25"/>
    <row r="45161" hidden="1" x14ac:dyDescent="0.25"/>
    <row r="45162" hidden="1" x14ac:dyDescent="0.25"/>
    <row r="45163" hidden="1" x14ac:dyDescent="0.25"/>
    <row r="45164" hidden="1" x14ac:dyDescent="0.25"/>
    <row r="45165" hidden="1" x14ac:dyDescent="0.25"/>
    <row r="45166" hidden="1" x14ac:dyDescent="0.25"/>
    <row r="45167" hidden="1" x14ac:dyDescent="0.25"/>
    <row r="45168" hidden="1" x14ac:dyDescent="0.25"/>
    <row r="45169" hidden="1" x14ac:dyDescent="0.25"/>
    <row r="45170" hidden="1" x14ac:dyDescent="0.25"/>
    <row r="45171" hidden="1" x14ac:dyDescent="0.25"/>
    <row r="45172" hidden="1" x14ac:dyDescent="0.25"/>
    <row r="45173" hidden="1" x14ac:dyDescent="0.25"/>
    <row r="45174" hidden="1" x14ac:dyDescent="0.25"/>
    <row r="45175" hidden="1" x14ac:dyDescent="0.25"/>
    <row r="45176" hidden="1" x14ac:dyDescent="0.25"/>
    <row r="45177" hidden="1" x14ac:dyDescent="0.25"/>
    <row r="45178" hidden="1" x14ac:dyDescent="0.25"/>
    <row r="45179" hidden="1" x14ac:dyDescent="0.25"/>
    <row r="45180" hidden="1" x14ac:dyDescent="0.25"/>
    <row r="45181" hidden="1" x14ac:dyDescent="0.25"/>
    <row r="45182" hidden="1" x14ac:dyDescent="0.25"/>
    <row r="45183" hidden="1" x14ac:dyDescent="0.25"/>
    <row r="45184" hidden="1" x14ac:dyDescent="0.25"/>
    <row r="45185" hidden="1" x14ac:dyDescent="0.25"/>
    <row r="45186" hidden="1" x14ac:dyDescent="0.25"/>
    <row r="45187" hidden="1" x14ac:dyDescent="0.25"/>
    <row r="45188" hidden="1" x14ac:dyDescent="0.25"/>
    <row r="45189" hidden="1" x14ac:dyDescent="0.25"/>
    <row r="45190" hidden="1" x14ac:dyDescent="0.25"/>
    <row r="45191" hidden="1" x14ac:dyDescent="0.25"/>
    <row r="45192" hidden="1" x14ac:dyDescent="0.25"/>
    <row r="45193" hidden="1" x14ac:dyDescent="0.25"/>
    <row r="45194" hidden="1" x14ac:dyDescent="0.25"/>
    <row r="45195" hidden="1" x14ac:dyDescent="0.25"/>
    <row r="45196" hidden="1" x14ac:dyDescent="0.25"/>
    <row r="45197" hidden="1" x14ac:dyDescent="0.25"/>
    <row r="45198" hidden="1" x14ac:dyDescent="0.25"/>
    <row r="45199" hidden="1" x14ac:dyDescent="0.25"/>
    <row r="45200" hidden="1" x14ac:dyDescent="0.25"/>
    <row r="45201" hidden="1" x14ac:dyDescent="0.25"/>
    <row r="45202" hidden="1" x14ac:dyDescent="0.25"/>
    <row r="45203" hidden="1" x14ac:dyDescent="0.25"/>
    <row r="45204" hidden="1" x14ac:dyDescent="0.25"/>
    <row r="45205" hidden="1" x14ac:dyDescent="0.25"/>
    <row r="45206" hidden="1" x14ac:dyDescent="0.25"/>
    <row r="45207" hidden="1" x14ac:dyDescent="0.25"/>
    <row r="45208" hidden="1" x14ac:dyDescent="0.25"/>
    <row r="45209" hidden="1" x14ac:dyDescent="0.25"/>
    <row r="45210" hidden="1" x14ac:dyDescent="0.25"/>
    <row r="45211" hidden="1" x14ac:dyDescent="0.25"/>
    <row r="45212" hidden="1" x14ac:dyDescent="0.25"/>
    <row r="45213" hidden="1" x14ac:dyDescent="0.25"/>
    <row r="45214" hidden="1" x14ac:dyDescent="0.25"/>
    <row r="45215" hidden="1" x14ac:dyDescent="0.25"/>
    <row r="45216" hidden="1" x14ac:dyDescent="0.25"/>
    <row r="45217" hidden="1" x14ac:dyDescent="0.25"/>
    <row r="45218" hidden="1" x14ac:dyDescent="0.25"/>
    <row r="45219" hidden="1" x14ac:dyDescent="0.25"/>
    <row r="45220" hidden="1" x14ac:dyDescent="0.25"/>
    <row r="45221" hidden="1" x14ac:dyDescent="0.25"/>
    <row r="45222" hidden="1" x14ac:dyDescent="0.25"/>
    <row r="45223" hidden="1" x14ac:dyDescent="0.25"/>
    <row r="45224" hidden="1" x14ac:dyDescent="0.25"/>
    <row r="45225" hidden="1" x14ac:dyDescent="0.25"/>
    <row r="45226" hidden="1" x14ac:dyDescent="0.25"/>
    <row r="45227" hidden="1" x14ac:dyDescent="0.25"/>
    <row r="45228" hidden="1" x14ac:dyDescent="0.25"/>
    <row r="45229" hidden="1" x14ac:dyDescent="0.25"/>
    <row r="45230" hidden="1" x14ac:dyDescent="0.25"/>
    <row r="45231" hidden="1" x14ac:dyDescent="0.25"/>
    <row r="45232" hidden="1" x14ac:dyDescent="0.25"/>
    <row r="45233" hidden="1" x14ac:dyDescent="0.25"/>
    <row r="45234" hidden="1" x14ac:dyDescent="0.25"/>
    <row r="45235" hidden="1" x14ac:dyDescent="0.25"/>
    <row r="45236" hidden="1" x14ac:dyDescent="0.25"/>
    <row r="45237" hidden="1" x14ac:dyDescent="0.25"/>
    <row r="45238" hidden="1" x14ac:dyDescent="0.25"/>
    <row r="45239" hidden="1" x14ac:dyDescent="0.25"/>
    <row r="45240" hidden="1" x14ac:dyDescent="0.25"/>
    <row r="45241" hidden="1" x14ac:dyDescent="0.25"/>
    <row r="45242" hidden="1" x14ac:dyDescent="0.25"/>
    <row r="45243" hidden="1" x14ac:dyDescent="0.25"/>
    <row r="45244" hidden="1" x14ac:dyDescent="0.25"/>
    <row r="45245" hidden="1" x14ac:dyDescent="0.25"/>
    <row r="45246" hidden="1" x14ac:dyDescent="0.25"/>
    <row r="45247" hidden="1" x14ac:dyDescent="0.25"/>
    <row r="45248" hidden="1" x14ac:dyDescent="0.25"/>
    <row r="45249" hidden="1" x14ac:dyDescent="0.25"/>
    <row r="45250" hidden="1" x14ac:dyDescent="0.25"/>
    <row r="45251" hidden="1" x14ac:dyDescent="0.25"/>
    <row r="45252" hidden="1" x14ac:dyDescent="0.25"/>
    <row r="45253" hidden="1" x14ac:dyDescent="0.25"/>
    <row r="45254" hidden="1" x14ac:dyDescent="0.25"/>
    <row r="45255" hidden="1" x14ac:dyDescent="0.25"/>
    <row r="45256" hidden="1" x14ac:dyDescent="0.25"/>
    <row r="45257" hidden="1" x14ac:dyDescent="0.25"/>
    <row r="45258" hidden="1" x14ac:dyDescent="0.25"/>
    <row r="45259" hidden="1" x14ac:dyDescent="0.25"/>
    <row r="45260" hidden="1" x14ac:dyDescent="0.25"/>
    <row r="45261" hidden="1" x14ac:dyDescent="0.25"/>
    <row r="45262" hidden="1" x14ac:dyDescent="0.25"/>
    <row r="45263" hidden="1" x14ac:dyDescent="0.25"/>
    <row r="45264" hidden="1" x14ac:dyDescent="0.25"/>
    <row r="45265" hidden="1" x14ac:dyDescent="0.25"/>
    <row r="45266" hidden="1" x14ac:dyDescent="0.25"/>
    <row r="45267" hidden="1" x14ac:dyDescent="0.25"/>
    <row r="45268" hidden="1" x14ac:dyDescent="0.25"/>
    <row r="45269" hidden="1" x14ac:dyDescent="0.25"/>
    <row r="45270" hidden="1" x14ac:dyDescent="0.25"/>
    <row r="45271" hidden="1" x14ac:dyDescent="0.25"/>
    <row r="45272" hidden="1" x14ac:dyDescent="0.25"/>
    <row r="45273" hidden="1" x14ac:dyDescent="0.25"/>
    <row r="45274" hidden="1" x14ac:dyDescent="0.25"/>
    <row r="45275" hidden="1" x14ac:dyDescent="0.25"/>
    <row r="45276" hidden="1" x14ac:dyDescent="0.25"/>
    <row r="45277" hidden="1" x14ac:dyDescent="0.25"/>
    <row r="45278" hidden="1" x14ac:dyDescent="0.25"/>
    <row r="45279" hidden="1" x14ac:dyDescent="0.25"/>
    <row r="45280" hidden="1" x14ac:dyDescent="0.25"/>
    <row r="45281" hidden="1" x14ac:dyDescent="0.25"/>
    <row r="45282" hidden="1" x14ac:dyDescent="0.25"/>
    <row r="45283" hidden="1" x14ac:dyDescent="0.25"/>
    <row r="45284" hidden="1" x14ac:dyDescent="0.25"/>
    <row r="45285" hidden="1" x14ac:dyDescent="0.25"/>
    <row r="45286" hidden="1" x14ac:dyDescent="0.25"/>
    <row r="45287" hidden="1" x14ac:dyDescent="0.25"/>
    <row r="45288" hidden="1" x14ac:dyDescent="0.25"/>
    <row r="45289" hidden="1" x14ac:dyDescent="0.25"/>
    <row r="45290" hidden="1" x14ac:dyDescent="0.25"/>
    <row r="45291" hidden="1" x14ac:dyDescent="0.25"/>
    <row r="45292" hidden="1" x14ac:dyDescent="0.25"/>
    <row r="45293" hidden="1" x14ac:dyDescent="0.25"/>
    <row r="45294" hidden="1" x14ac:dyDescent="0.25"/>
    <row r="45295" hidden="1" x14ac:dyDescent="0.25"/>
    <row r="45296" hidden="1" x14ac:dyDescent="0.25"/>
    <row r="45297" hidden="1" x14ac:dyDescent="0.25"/>
    <row r="45298" hidden="1" x14ac:dyDescent="0.25"/>
    <row r="45299" hidden="1" x14ac:dyDescent="0.25"/>
    <row r="45300" hidden="1" x14ac:dyDescent="0.25"/>
    <row r="45301" hidden="1" x14ac:dyDescent="0.25"/>
    <row r="45302" hidden="1" x14ac:dyDescent="0.25"/>
    <row r="45303" hidden="1" x14ac:dyDescent="0.25"/>
    <row r="45304" hidden="1" x14ac:dyDescent="0.25"/>
    <row r="45305" hidden="1" x14ac:dyDescent="0.25"/>
    <row r="45306" hidden="1" x14ac:dyDescent="0.25"/>
    <row r="45307" hidden="1" x14ac:dyDescent="0.25"/>
    <row r="45308" hidden="1" x14ac:dyDescent="0.25"/>
    <row r="45309" hidden="1" x14ac:dyDescent="0.25"/>
    <row r="45310" hidden="1" x14ac:dyDescent="0.25"/>
    <row r="45311" hidden="1" x14ac:dyDescent="0.25"/>
    <row r="45312" hidden="1" x14ac:dyDescent="0.25"/>
    <row r="45313" hidden="1" x14ac:dyDescent="0.25"/>
    <row r="45314" hidden="1" x14ac:dyDescent="0.25"/>
    <row r="45315" hidden="1" x14ac:dyDescent="0.25"/>
    <row r="45316" hidden="1" x14ac:dyDescent="0.25"/>
    <row r="45317" hidden="1" x14ac:dyDescent="0.25"/>
    <row r="45318" hidden="1" x14ac:dyDescent="0.25"/>
    <row r="45319" hidden="1" x14ac:dyDescent="0.25"/>
    <row r="45320" hidden="1" x14ac:dyDescent="0.25"/>
    <row r="45321" hidden="1" x14ac:dyDescent="0.25"/>
    <row r="45322" hidden="1" x14ac:dyDescent="0.25"/>
    <row r="45323" hidden="1" x14ac:dyDescent="0.25"/>
    <row r="45324" hidden="1" x14ac:dyDescent="0.25"/>
    <row r="45325" hidden="1" x14ac:dyDescent="0.25"/>
    <row r="45326" hidden="1" x14ac:dyDescent="0.25"/>
    <row r="45327" hidden="1" x14ac:dyDescent="0.25"/>
    <row r="45328" hidden="1" x14ac:dyDescent="0.25"/>
    <row r="45329" hidden="1" x14ac:dyDescent="0.25"/>
    <row r="45330" hidden="1" x14ac:dyDescent="0.25"/>
    <row r="45331" hidden="1" x14ac:dyDescent="0.25"/>
    <row r="45332" hidden="1" x14ac:dyDescent="0.25"/>
    <row r="45333" hidden="1" x14ac:dyDescent="0.25"/>
    <row r="45334" hidden="1" x14ac:dyDescent="0.25"/>
    <row r="45335" hidden="1" x14ac:dyDescent="0.25"/>
    <row r="45336" hidden="1" x14ac:dyDescent="0.25"/>
    <row r="45337" hidden="1" x14ac:dyDescent="0.25"/>
    <row r="45338" hidden="1" x14ac:dyDescent="0.25"/>
    <row r="45339" hidden="1" x14ac:dyDescent="0.25"/>
    <row r="45340" hidden="1" x14ac:dyDescent="0.25"/>
    <row r="45341" hidden="1" x14ac:dyDescent="0.25"/>
    <row r="45342" hidden="1" x14ac:dyDescent="0.25"/>
    <row r="45343" hidden="1" x14ac:dyDescent="0.25"/>
    <row r="45344" hidden="1" x14ac:dyDescent="0.25"/>
    <row r="45345" hidden="1" x14ac:dyDescent="0.25"/>
    <row r="45346" hidden="1" x14ac:dyDescent="0.25"/>
    <row r="45347" hidden="1" x14ac:dyDescent="0.25"/>
    <row r="45348" hidden="1" x14ac:dyDescent="0.25"/>
    <row r="45349" hidden="1" x14ac:dyDescent="0.25"/>
    <row r="45350" hidden="1" x14ac:dyDescent="0.25"/>
    <row r="45351" hidden="1" x14ac:dyDescent="0.25"/>
    <row r="45352" hidden="1" x14ac:dyDescent="0.25"/>
    <row r="45353" hidden="1" x14ac:dyDescent="0.25"/>
    <row r="45354" hidden="1" x14ac:dyDescent="0.25"/>
    <row r="45355" hidden="1" x14ac:dyDescent="0.25"/>
    <row r="45356" hidden="1" x14ac:dyDescent="0.25"/>
    <row r="45357" hidden="1" x14ac:dyDescent="0.25"/>
    <row r="45358" hidden="1" x14ac:dyDescent="0.25"/>
    <row r="45359" hidden="1" x14ac:dyDescent="0.25"/>
    <row r="45360" hidden="1" x14ac:dyDescent="0.25"/>
    <row r="45361" hidden="1" x14ac:dyDescent="0.25"/>
    <row r="45362" hidden="1" x14ac:dyDescent="0.25"/>
    <row r="45363" hidden="1" x14ac:dyDescent="0.25"/>
    <row r="45364" hidden="1" x14ac:dyDescent="0.25"/>
    <row r="45365" hidden="1" x14ac:dyDescent="0.25"/>
    <row r="45366" hidden="1" x14ac:dyDescent="0.25"/>
    <row r="45367" hidden="1" x14ac:dyDescent="0.25"/>
    <row r="45368" hidden="1" x14ac:dyDescent="0.25"/>
    <row r="45369" hidden="1" x14ac:dyDescent="0.25"/>
    <row r="45370" hidden="1" x14ac:dyDescent="0.25"/>
    <row r="45371" hidden="1" x14ac:dyDescent="0.25"/>
    <row r="45372" hidden="1" x14ac:dyDescent="0.25"/>
    <row r="45373" hidden="1" x14ac:dyDescent="0.25"/>
    <row r="45374" hidden="1" x14ac:dyDescent="0.25"/>
    <row r="45375" hidden="1" x14ac:dyDescent="0.25"/>
    <row r="45376" hidden="1" x14ac:dyDescent="0.25"/>
    <row r="45377" hidden="1" x14ac:dyDescent="0.25"/>
    <row r="45378" hidden="1" x14ac:dyDescent="0.25"/>
    <row r="45379" hidden="1" x14ac:dyDescent="0.25"/>
    <row r="45380" hidden="1" x14ac:dyDescent="0.25"/>
    <row r="45381" hidden="1" x14ac:dyDescent="0.25"/>
    <row r="45382" hidden="1" x14ac:dyDescent="0.25"/>
    <row r="45383" hidden="1" x14ac:dyDescent="0.25"/>
    <row r="45384" hidden="1" x14ac:dyDescent="0.25"/>
    <row r="45385" hidden="1" x14ac:dyDescent="0.25"/>
    <row r="45386" hidden="1" x14ac:dyDescent="0.25"/>
    <row r="45387" hidden="1" x14ac:dyDescent="0.25"/>
    <row r="45388" hidden="1" x14ac:dyDescent="0.25"/>
    <row r="45389" hidden="1" x14ac:dyDescent="0.25"/>
    <row r="45390" hidden="1" x14ac:dyDescent="0.25"/>
    <row r="45391" hidden="1" x14ac:dyDescent="0.25"/>
    <row r="45392" hidden="1" x14ac:dyDescent="0.25"/>
    <row r="45393" hidden="1" x14ac:dyDescent="0.25"/>
    <row r="45394" hidden="1" x14ac:dyDescent="0.25"/>
    <row r="45395" hidden="1" x14ac:dyDescent="0.25"/>
    <row r="45396" hidden="1" x14ac:dyDescent="0.25"/>
    <row r="45397" hidden="1" x14ac:dyDescent="0.25"/>
    <row r="45398" hidden="1" x14ac:dyDescent="0.25"/>
    <row r="45399" hidden="1" x14ac:dyDescent="0.25"/>
    <row r="45400" hidden="1" x14ac:dyDescent="0.25"/>
    <row r="45401" hidden="1" x14ac:dyDescent="0.25"/>
    <row r="45402" hidden="1" x14ac:dyDescent="0.25"/>
    <row r="45403" hidden="1" x14ac:dyDescent="0.25"/>
    <row r="45404" hidden="1" x14ac:dyDescent="0.25"/>
    <row r="45405" hidden="1" x14ac:dyDescent="0.25"/>
    <row r="45406" hidden="1" x14ac:dyDescent="0.25"/>
    <row r="45407" hidden="1" x14ac:dyDescent="0.25"/>
    <row r="45408" hidden="1" x14ac:dyDescent="0.25"/>
    <row r="45409" hidden="1" x14ac:dyDescent="0.25"/>
    <row r="45410" hidden="1" x14ac:dyDescent="0.25"/>
    <row r="45411" hidden="1" x14ac:dyDescent="0.25"/>
    <row r="45412" hidden="1" x14ac:dyDescent="0.25"/>
    <row r="45413" hidden="1" x14ac:dyDescent="0.25"/>
    <row r="45414" hidden="1" x14ac:dyDescent="0.25"/>
    <row r="45415" hidden="1" x14ac:dyDescent="0.25"/>
    <row r="45416" hidden="1" x14ac:dyDescent="0.25"/>
    <row r="45417" hidden="1" x14ac:dyDescent="0.25"/>
    <row r="45418" hidden="1" x14ac:dyDescent="0.25"/>
    <row r="45419" hidden="1" x14ac:dyDescent="0.25"/>
    <row r="45420" hidden="1" x14ac:dyDescent="0.25"/>
    <row r="45421" hidden="1" x14ac:dyDescent="0.25"/>
    <row r="45422" hidden="1" x14ac:dyDescent="0.25"/>
    <row r="45423" hidden="1" x14ac:dyDescent="0.25"/>
    <row r="45424" hidden="1" x14ac:dyDescent="0.25"/>
    <row r="45425" hidden="1" x14ac:dyDescent="0.25"/>
    <row r="45426" hidden="1" x14ac:dyDescent="0.25"/>
    <row r="45427" hidden="1" x14ac:dyDescent="0.25"/>
    <row r="45428" hidden="1" x14ac:dyDescent="0.25"/>
    <row r="45429" hidden="1" x14ac:dyDescent="0.25"/>
    <row r="45430" hidden="1" x14ac:dyDescent="0.25"/>
    <row r="45431" hidden="1" x14ac:dyDescent="0.25"/>
    <row r="45432" hidden="1" x14ac:dyDescent="0.25"/>
    <row r="45433" hidden="1" x14ac:dyDescent="0.25"/>
    <row r="45434" hidden="1" x14ac:dyDescent="0.25"/>
    <row r="45435" hidden="1" x14ac:dyDescent="0.25"/>
    <row r="45436" hidden="1" x14ac:dyDescent="0.25"/>
    <row r="45437" hidden="1" x14ac:dyDescent="0.25"/>
    <row r="45438" hidden="1" x14ac:dyDescent="0.25"/>
    <row r="45439" hidden="1" x14ac:dyDescent="0.25"/>
    <row r="45440" hidden="1" x14ac:dyDescent="0.25"/>
    <row r="45441" hidden="1" x14ac:dyDescent="0.25"/>
    <row r="45442" hidden="1" x14ac:dyDescent="0.25"/>
    <row r="45443" hidden="1" x14ac:dyDescent="0.25"/>
    <row r="45444" hidden="1" x14ac:dyDescent="0.25"/>
    <row r="45445" hidden="1" x14ac:dyDescent="0.25"/>
    <row r="45446" hidden="1" x14ac:dyDescent="0.25"/>
    <row r="45447" hidden="1" x14ac:dyDescent="0.25"/>
    <row r="45448" hidden="1" x14ac:dyDescent="0.25"/>
    <row r="45449" hidden="1" x14ac:dyDescent="0.25"/>
    <row r="45450" hidden="1" x14ac:dyDescent="0.25"/>
    <row r="45451" hidden="1" x14ac:dyDescent="0.25"/>
    <row r="45452" hidden="1" x14ac:dyDescent="0.25"/>
    <row r="45453" hidden="1" x14ac:dyDescent="0.25"/>
    <row r="45454" hidden="1" x14ac:dyDescent="0.25"/>
    <row r="45455" hidden="1" x14ac:dyDescent="0.25"/>
    <row r="45456" hidden="1" x14ac:dyDescent="0.25"/>
    <row r="45457" hidden="1" x14ac:dyDescent="0.25"/>
    <row r="45458" hidden="1" x14ac:dyDescent="0.25"/>
    <row r="45459" hidden="1" x14ac:dyDescent="0.25"/>
    <row r="45460" hidden="1" x14ac:dyDescent="0.25"/>
    <row r="45461" hidden="1" x14ac:dyDescent="0.25"/>
    <row r="45462" hidden="1" x14ac:dyDescent="0.25"/>
    <row r="45463" hidden="1" x14ac:dyDescent="0.25"/>
    <row r="45464" hidden="1" x14ac:dyDescent="0.25"/>
    <row r="45465" hidden="1" x14ac:dyDescent="0.25"/>
    <row r="45466" hidden="1" x14ac:dyDescent="0.25"/>
    <row r="45467" hidden="1" x14ac:dyDescent="0.25"/>
    <row r="45468" hidden="1" x14ac:dyDescent="0.25"/>
    <row r="45469" hidden="1" x14ac:dyDescent="0.25"/>
    <row r="45470" hidden="1" x14ac:dyDescent="0.25"/>
    <row r="45471" hidden="1" x14ac:dyDescent="0.25"/>
    <row r="45472" hidden="1" x14ac:dyDescent="0.25"/>
    <row r="45473" hidden="1" x14ac:dyDescent="0.25"/>
    <row r="45474" hidden="1" x14ac:dyDescent="0.25"/>
    <row r="45475" hidden="1" x14ac:dyDescent="0.25"/>
    <row r="45476" hidden="1" x14ac:dyDescent="0.25"/>
    <row r="45477" hidden="1" x14ac:dyDescent="0.25"/>
    <row r="45478" hidden="1" x14ac:dyDescent="0.25"/>
    <row r="45479" hidden="1" x14ac:dyDescent="0.25"/>
    <row r="45480" hidden="1" x14ac:dyDescent="0.25"/>
    <row r="45481" hidden="1" x14ac:dyDescent="0.25"/>
    <row r="45482" hidden="1" x14ac:dyDescent="0.25"/>
    <row r="45483" hidden="1" x14ac:dyDescent="0.25"/>
    <row r="45484" hidden="1" x14ac:dyDescent="0.25"/>
    <row r="45485" hidden="1" x14ac:dyDescent="0.25"/>
    <row r="45486" hidden="1" x14ac:dyDescent="0.25"/>
    <row r="45487" hidden="1" x14ac:dyDescent="0.25"/>
    <row r="45488" hidden="1" x14ac:dyDescent="0.25"/>
    <row r="45489" hidden="1" x14ac:dyDescent="0.25"/>
    <row r="45490" hidden="1" x14ac:dyDescent="0.25"/>
    <row r="45491" hidden="1" x14ac:dyDescent="0.25"/>
    <row r="45492" hidden="1" x14ac:dyDescent="0.25"/>
    <row r="45493" hidden="1" x14ac:dyDescent="0.25"/>
    <row r="45494" hidden="1" x14ac:dyDescent="0.25"/>
    <row r="45495" hidden="1" x14ac:dyDescent="0.25"/>
    <row r="45496" hidden="1" x14ac:dyDescent="0.25"/>
    <row r="45497" hidden="1" x14ac:dyDescent="0.25"/>
    <row r="45498" hidden="1" x14ac:dyDescent="0.25"/>
    <row r="45499" hidden="1" x14ac:dyDescent="0.25"/>
    <row r="45500" hidden="1" x14ac:dyDescent="0.25"/>
    <row r="45501" hidden="1" x14ac:dyDescent="0.25"/>
    <row r="45502" hidden="1" x14ac:dyDescent="0.25"/>
    <row r="45503" hidden="1" x14ac:dyDescent="0.25"/>
    <row r="45504" hidden="1" x14ac:dyDescent="0.25"/>
    <row r="45505" hidden="1" x14ac:dyDescent="0.25"/>
    <row r="45506" hidden="1" x14ac:dyDescent="0.25"/>
    <row r="45507" hidden="1" x14ac:dyDescent="0.25"/>
    <row r="45508" hidden="1" x14ac:dyDescent="0.25"/>
    <row r="45509" hidden="1" x14ac:dyDescent="0.25"/>
    <row r="45510" hidden="1" x14ac:dyDescent="0.25"/>
    <row r="45511" hidden="1" x14ac:dyDescent="0.25"/>
    <row r="45512" hidden="1" x14ac:dyDescent="0.25"/>
    <row r="45513" hidden="1" x14ac:dyDescent="0.25"/>
    <row r="45514" hidden="1" x14ac:dyDescent="0.25"/>
    <row r="45515" hidden="1" x14ac:dyDescent="0.25"/>
    <row r="45516" hidden="1" x14ac:dyDescent="0.25"/>
    <row r="45517" hidden="1" x14ac:dyDescent="0.25"/>
    <row r="45518" hidden="1" x14ac:dyDescent="0.25"/>
    <row r="45519" hidden="1" x14ac:dyDescent="0.25"/>
    <row r="45520" hidden="1" x14ac:dyDescent="0.25"/>
    <row r="45521" hidden="1" x14ac:dyDescent="0.25"/>
    <row r="45522" hidden="1" x14ac:dyDescent="0.25"/>
    <row r="45523" hidden="1" x14ac:dyDescent="0.25"/>
    <row r="45524" hidden="1" x14ac:dyDescent="0.25"/>
    <row r="45525" hidden="1" x14ac:dyDescent="0.25"/>
    <row r="45526" hidden="1" x14ac:dyDescent="0.25"/>
    <row r="45527" hidden="1" x14ac:dyDescent="0.25"/>
    <row r="45528" hidden="1" x14ac:dyDescent="0.25"/>
    <row r="45529" hidden="1" x14ac:dyDescent="0.25"/>
    <row r="45530" hidden="1" x14ac:dyDescent="0.25"/>
    <row r="45531" hidden="1" x14ac:dyDescent="0.25"/>
    <row r="45532" hidden="1" x14ac:dyDescent="0.25"/>
    <row r="45533" hidden="1" x14ac:dyDescent="0.25"/>
    <row r="45534" hidden="1" x14ac:dyDescent="0.25"/>
    <row r="45535" hidden="1" x14ac:dyDescent="0.25"/>
    <row r="45536" hidden="1" x14ac:dyDescent="0.25"/>
    <row r="45537" hidden="1" x14ac:dyDescent="0.25"/>
    <row r="45538" hidden="1" x14ac:dyDescent="0.25"/>
    <row r="45539" hidden="1" x14ac:dyDescent="0.25"/>
    <row r="45540" hidden="1" x14ac:dyDescent="0.25"/>
    <row r="45541" hidden="1" x14ac:dyDescent="0.25"/>
    <row r="45542" hidden="1" x14ac:dyDescent="0.25"/>
    <row r="45543" hidden="1" x14ac:dyDescent="0.25"/>
    <row r="45544" hidden="1" x14ac:dyDescent="0.25"/>
    <row r="45545" hidden="1" x14ac:dyDescent="0.25"/>
    <row r="45546" hidden="1" x14ac:dyDescent="0.25"/>
    <row r="45547" hidden="1" x14ac:dyDescent="0.25"/>
    <row r="45548" hidden="1" x14ac:dyDescent="0.25"/>
    <row r="45549" hidden="1" x14ac:dyDescent="0.25"/>
    <row r="45550" hidden="1" x14ac:dyDescent="0.25"/>
    <row r="45551" hidden="1" x14ac:dyDescent="0.25"/>
    <row r="45552" hidden="1" x14ac:dyDescent="0.25"/>
    <row r="45553" hidden="1" x14ac:dyDescent="0.25"/>
    <row r="45554" hidden="1" x14ac:dyDescent="0.25"/>
    <row r="45555" hidden="1" x14ac:dyDescent="0.25"/>
    <row r="45556" hidden="1" x14ac:dyDescent="0.25"/>
    <row r="45557" hidden="1" x14ac:dyDescent="0.25"/>
    <row r="45558" hidden="1" x14ac:dyDescent="0.25"/>
    <row r="45559" hidden="1" x14ac:dyDescent="0.25"/>
    <row r="45560" hidden="1" x14ac:dyDescent="0.25"/>
    <row r="45561" hidden="1" x14ac:dyDescent="0.25"/>
    <row r="45562" hidden="1" x14ac:dyDescent="0.25"/>
    <row r="45563" hidden="1" x14ac:dyDescent="0.25"/>
    <row r="45564" hidden="1" x14ac:dyDescent="0.25"/>
    <row r="45565" hidden="1" x14ac:dyDescent="0.25"/>
    <row r="45566" hidden="1" x14ac:dyDescent="0.25"/>
    <row r="45567" hidden="1" x14ac:dyDescent="0.25"/>
    <row r="45568" hidden="1" x14ac:dyDescent="0.25"/>
    <row r="45569" hidden="1" x14ac:dyDescent="0.25"/>
    <row r="45570" hidden="1" x14ac:dyDescent="0.25"/>
    <row r="45571" hidden="1" x14ac:dyDescent="0.25"/>
    <row r="45572" hidden="1" x14ac:dyDescent="0.25"/>
    <row r="45573" hidden="1" x14ac:dyDescent="0.25"/>
    <row r="45574" hidden="1" x14ac:dyDescent="0.25"/>
    <row r="45575" hidden="1" x14ac:dyDescent="0.25"/>
    <row r="45576" hidden="1" x14ac:dyDescent="0.25"/>
    <row r="45577" hidden="1" x14ac:dyDescent="0.25"/>
    <row r="45578" hidden="1" x14ac:dyDescent="0.25"/>
    <row r="45579" hidden="1" x14ac:dyDescent="0.25"/>
    <row r="45580" hidden="1" x14ac:dyDescent="0.25"/>
    <row r="45581" hidden="1" x14ac:dyDescent="0.25"/>
    <row r="45582" hidden="1" x14ac:dyDescent="0.25"/>
    <row r="45583" hidden="1" x14ac:dyDescent="0.25"/>
    <row r="45584" hidden="1" x14ac:dyDescent="0.25"/>
    <row r="45585" hidden="1" x14ac:dyDescent="0.25"/>
    <row r="45586" hidden="1" x14ac:dyDescent="0.25"/>
    <row r="45587" hidden="1" x14ac:dyDescent="0.25"/>
    <row r="45588" hidden="1" x14ac:dyDescent="0.25"/>
    <row r="45589" hidden="1" x14ac:dyDescent="0.25"/>
    <row r="45590" hidden="1" x14ac:dyDescent="0.25"/>
    <row r="45591" hidden="1" x14ac:dyDescent="0.25"/>
    <row r="45592" hidden="1" x14ac:dyDescent="0.25"/>
    <row r="45593" hidden="1" x14ac:dyDescent="0.25"/>
    <row r="45594" hidden="1" x14ac:dyDescent="0.25"/>
    <row r="45595" hidden="1" x14ac:dyDescent="0.25"/>
    <row r="45596" hidden="1" x14ac:dyDescent="0.25"/>
    <row r="45597" hidden="1" x14ac:dyDescent="0.25"/>
    <row r="45598" hidden="1" x14ac:dyDescent="0.25"/>
    <row r="45599" hidden="1" x14ac:dyDescent="0.25"/>
    <row r="45600" hidden="1" x14ac:dyDescent="0.25"/>
    <row r="45601" hidden="1" x14ac:dyDescent="0.25"/>
    <row r="45602" hidden="1" x14ac:dyDescent="0.25"/>
    <row r="45603" hidden="1" x14ac:dyDescent="0.25"/>
    <row r="45604" hidden="1" x14ac:dyDescent="0.25"/>
    <row r="45605" hidden="1" x14ac:dyDescent="0.25"/>
    <row r="45606" hidden="1" x14ac:dyDescent="0.25"/>
    <row r="45607" hidden="1" x14ac:dyDescent="0.25"/>
    <row r="45608" hidden="1" x14ac:dyDescent="0.25"/>
    <row r="45609" hidden="1" x14ac:dyDescent="0.25"/>
    <row r="45610" hidden="1" x14ac:dyDescent="0.25"/>
    <row r="45611" hidden="1" x14ac:dyDescent="0.25"/>
    <row r="45612" hidden="1" x14ac:dyDescent="0.25"/>
    <row r="45613" hidden="1" x14ac:dyDescent="0.25"/>
    <row r="45614" hidden="1" x14ac:dyDescent="0.25"/>
    <row r="45615" hidden="1" x14ac:dyDescent="0.25"/>
    <row r="45616" hidden="1" x14ac:dyDescent="0.25"/>
    <row r="45617" hidden="1" x14ac:dyDescent="0.25"/>
    <row r="45618" hidden="1" x14ac:dyDescent="0.25"/>
    <row r="45619" hidden="1" x14ac:dyDescent="0.25"/>
    <row r="45620" hidden="1" x14ac:dyDescent="0.25"/>
    <row r="45621" hidden="1" x14ac:dyDescent="0.25"/>
    <row r="45622" hidden="1" x14ac:dyDescent="0.25"/>
    <row r="45623" hidden="1" x14ac:dyDescent="0.25"/>
    <row r="45624" hidden="1" x14ac:dyDescent="0.25"/>
    <row r="45625" hidden="1" x14ac:dyDescent="0.25"/>
    <row r="45626" hidden="1" x14ac:dyDescent="0.25"/>
    <row r="45627" hidden="1" x14ac:dyDescent="0.25"/>
    <row r="45628" hidden="1" x14ac:dyDescent="0.25"/>
    <row r="45629" hidden="1" x14ac:dyDescent="0.25"/>
    <row r="45630" hidden="1" x14ac:dyDescent="0.25"/>
    <row r="45631" hidden="1" x14ac:dyDescent="0.25"/>
    <row r="45632" hidden="1" x14ac:dyDescent="0.25"/>
    <row r="45633" hidden="1" x14ac:dyDescent="0.25"/>
    <row r="45634" hidden="1" x14ac:dyDescent="0.25"/>
    <row r="45635" hidden="1" x14ac:dyDescent="0.25"/>
    <row r="45636" hidden="1" x14ac:dyDescent="0.25"/>
    <row r="45637" hidden="1" x14ac:dyDescent="0.25"/>
    <row r="45638" hidden="1" x14ac:dyDescent="0.25"/>
    <row r="45639" hidden="1" x14ac:dyDescent="0.25"/>
    <row r="45640" hidden="1" x14ac:dyDescent="0.25"/>
    <row r="45641" hidden="1" x14ac:dyDescent="0.25"/>
    <row r="45642" hidden="1" x14ac:dyDescent="0.25"/>
    <row r="45643" hidden="1" x14ac:dyDescent="0.25"/>
    <row r="45644" hidden="1" x14ac:dyDescent="0.25"/>
    <row r="45645" hidden="1" x14ac:dyDescent="0.25"/>
    <row r="45646" hidden="1" x14ac:dyDescent="0.25"/>
    <row r="45647" hidden="1" x14ac:dyDescent="0.25"/>
    <row r="45648" hidden="1" x14ac:dyDescent="0.25"/>
    <row r="45649" hidden="1" x14ac:dyDescent="0.25"/>
    <row r="45650" hidden="1" x14ac:dyDescent="0.25"/>
    <row r="45651" hidden="1" x14ac:dyDescent="0.25"/>
    <row r="45652" hidden="1" x14ac:dyDescent="0.25"/>
    <row r="45653" hidden="1" x14ac:dyDescent="0.25"/>
    <row r="45654" hidden="1" x14ac:dyDescent="0.25"/>
    <row r="45655" hidden="1" x14ac:dyDescent="0.25"/>
    <row r="45656" hidden="1" x14ac:dyDescent="0.25"/>
    <row r="45657" hidden="1" x14ac:dyDescent="0.25"/>
    <row r="45658" hidden="1" x14ac:dyDescent="0.25"/>
    <row r="45659" hidden="1" x14ac:dyDescent="0.25"/>
    <row r="45660" hidden="1" x14ac:dyDescent="0.25"/>
    <row r="45661" hidden="1" x14ac:dyDescent="0.25"/>
    <row r="45662" hidden="1" x14ac:dyDescent="0.25"/>
    <row r="45663" hidden="1" x14ac:dyDescent="0.25"/>
    <row r="45664" hidden="1" x14ac:dyDescent="0.25"/>
    <row r="45665" hidden="1" x14ac:dyDescent="0.25"/>
    <row r="45666" hidden="1" x14ac:dyDescent="0.25"/>
    <row r="45667" hidden="1" x14ac:dyDescent="0.25"/>
    <row r="45668" hidden="1" x14ac:dyDescent="0.25"/>
    <row r="45669" hidden="1" x14ac:dyDescent="0.25"/>
    <row r="45670" hidden="1" x14ac:dyDescent="0.25"/>
    <row r="45671" hidden="1" x14ac:dyDescent="0.25"/>
    <row r="45672" hidden="1" x14ac:dyDescent="0.25"/>
    <row r="45673" hidden="1" x14ac:dyDescent="0.25"/>
    <row r="45674" hidden="1" x14ac:dyDescent="0.25"/>
    <row r="45675" hidden="1" x14ac:dyDescent="0.25"/>
    <row r="45676" hidden="1" x14ac:dyDescent="0.25"/>
    <row r="45677" hidden="1" x14ac:dyDescent="0.25"/>
    <row r="45678" hidden="1" x14ac:dyDescent="0.25"/>
    <row r="45679" hidden="1" x14ac:dyDescent="0.25"/>
    <row r="45680" hidden="1" x14ac:dyDescent="0.25"/>
    <row r="45681" hidden="1" x14ac:dyDescent="0.25"/>
    <row r="45682" hidden="1" x14ac:dyDescent="0.25"/>
    <row r="45683" hidden="1" x14ac:dyDescent="0.25"/>
    <row r="45684" hidden="1" x14ac:dyDescent="0.25"/>
    <row r="45685" hidden="1" x14ac:dyDescent="0.25"/>
    <row r="45686" hidden="1" x14ac:dyDescent="0.25"/>
    <row r="45687" hidden="1" x14ac:dyDescent="0.25"/>
    <row r="45688" hidden="1" x14ac:dyDescent="0.25"/>
    <row r="45689" hidden="1" x14ac:dyDescent="0.25"/>
    <row r="45690" hidden="1" x14ac:dyDescent="0.25"/>
    <row r="45691" hidden="1" x14ac:dyDescent="0.25"/>
    <row r="45692" hidden="1" x14ac:dyDescent="0.25"/>
    <row r="45693" hidden="1" x14ac:dyDescent="0.25"/>
    <row r="45694" hidden="1" x14ac:dyDescent="0.25"/>
    <row r="45695" hidden="1" x14ac:dyDescent="0.25"/>
    <row r="45696" hidden="1" x14ac:dyDescent="0.25"/>
    <row r="45697" hidden="1" x14ac:dyDescent="0.25"/>
    <row r="45698" hidden="1" x14ac:dyDescent="0.25"/>
    <row r="45699" hidden="1" x14ac:dyDescent="0.25"/>
    <row r="45700" hidden="1" x14ac:dyDescent="0.25"/>
    <row r="45701" hidden="1" x14ac:dyDescent="0.25"/>
    <row r="45702" hidden="1" x14ac:dyDescent="0.25"/>
    <row r="45703" hidden="1" x14ac:dyDescent="0.25"/>
    <row r="45704" hidden="1" x14ac:dyDescent="0.25"/>
    <row r="45705" hidden="1" x14ac:dyDescent="0.25"/>
    <row r="45706" hidden="1" x14ac:dyDescent="0.25"/>
    <row r="45707" hidden="1" x14ac:dyDescent="0.25"/>
    <row r="45708" hidden="1" x14ac:dyDescent="0.25"/>
    <row r="45709" hidden="1" x14ac:dyDescent="0.25"/>
    <row r="45710" hidden="1" x14ac:dyDescent="0.25"/>
    <row r="45711" hidden="1" x14ac:dyDescent="0.25"/>
    <row r="45712" hidden="1" x14ac:dyDescent="0.25"/>
    <row r="45713" hidden="1" x14ac:dyDescent="0.25"/>
    <row r="45714" hidden="1" x14ac:dyDescent="0.25"/>
    <row r="45715" hidden="1" x14ac:dyDescent="0.25"/>
    <row r="45716" hidden="1" x14ac:dyDescent="0.25"/>
    <row r="45717" hidden="1" x14ac:dyDescent="0.25"/>
    <row r="45718" hidden="1" x14ac:dyDescent="0.25"/>
    <row r="45719" hidden="1" x14ac:dyDescent="0.25"/>
    <row r="45720" hidden="1" x14ac:dyDescent="0.25"/>
    <row r="45721" hidden="1" x14ac:dyDescent="0.25"/>
    <row r="45722" hidden="1" x14ac:dyDescent="0.25"/>
    <row r="45723" hidden="1" x14ac:dyDescent="0.25"/>
    <row r="45724" hidden="1" x14ac:dyDescent="0.25"/>
    <row r="45725" hidden="1" x14ac:dyDescent="0.25"/>
    <row r="45726" hidden="1" x14ac:dyDescent="0.25"/>
    <row r="45727" hidden="1" x14ac:dyDescent="0.25"/>
    <row r="45728" hidden="1" x14ac:dyDescent="0.25"/>
    <row r="45729" hidden="1" x14ac:dyDescent="0.25"/>
    <row r="45730" hidden="1" x14ac:dyDescent="0.25"/>
    <row r="45731" hidden="1" x14ac:dyDescent="0.25"/>
    <row r="45732" hidden="1" x14ac:dyDescent="0.25"/>
    <row r="45733" hidden="1" x14ac:dyDescent="0.25"/>
    <row r="45734" hidden="1" x14ac:dyDescent="0.25"/>
    <row r="45735" hidden="1" x14ac:dyDescent="0.25"/>
    <row r="45736" hidden="1" x14ac:dyDescent="0.25"/>
    <row r="45737" hidden="1" x14ac:dyDescent="0.25"/>
    <row r="45738" hidden="1" x14ac:dyDescent="0.25"/>
    <row r="45739" hidden="1" x14ac:dyDescent="0.25"/>
    <row r="45740" hidden="1" x14ac:dyDescent="0.25"/>
    <row r="45741" hidden="1" x14ac:dyDescent="0.25"/>
    <row r="45742" hidden="1" x14ac:dyDescent="0.25"/>
    <row r="45743" hidden="1" x14ac:dyDescent="0.25"/>
    <row r="45744" hidden="1" x14ac:dyDescent="0.25"/>
    <row r="45745" hidden="1" x14ac:dyDescent="0.25"/>
    <row r="45746" hidden="1" x14ac:dyDescent="0.25"/>
    <row r="45747" hidden="1" x14ac:dyDescent="0.25"/>
    <row r="45748" hidden="1" x14ac:dyDescent="0.25"/>
    <row r="45749" hidden="1" x14ac:dyDescent="0.25"/>
    <row r="45750" hidden="1" x14ac:dyDescent="0.25"/>
    <row r="45751" hidden="1" x14ac:dyDescent="0.25"/>
    <row r="45752" hidden="1" x14ac:dyDescent="0.25"/>
    <row r="45753" hidden="1" x14ac:dyDescent="0.25"/>
    <row r="45754" hidden="1" x14ac:dyDescent="0.25"/>
    <row r="45755" hidden="1" x14ac:dyDescent="0.25"/>
    <row r="45756" hidden="1" x14ac:dyDescent="0.25"/>
    <row r="45757" hidden="1" x14ac:dyDescent="0.25"/>
    <row r="45758" hidden="1" x14ac:dyDescent="0.25"/>
    <row r="45759" hidden="1" x14ac:dyDescent="0.25"/>
    <row r="45760" hidden="1" x14ac:dyDescent="0.25"/>
    <row r="45761" hidden="1" x14ac:dyDescent="0.25"/>
    <row r="45762" hidden="1" x14ac:dyDescent="0.25"/>
    <row r="45763" hidden="1" x14ac:dyDescent="0.25"/>
    <row r="45764" hidden="1" x14ac:dyDescent="0.25"/>
    <row r="45765" hidden="1" x14ac:dyDescent="0.25"/>
    <row r="45766" hidden="1" x14ac:dyDescent="0.25"/>
    <row r="45767" hidden="1" x14ac:dyDescent="0.25"/>
    <row r="45768" hidden="1" x14ac:dyDescent="0.25"/>
    <row r="45769" hidden="1" x14ac:dyDescent="0.25"/>
    <row r="45770" hidden="1" x14ac:dyDescent="0.25"/>
    <row r="45771" hidden="1" x14ac:dyDescent="0.25"/>
    <row r="45772" hidden="1" x14ac:dyDescent="0.25"/>
    <row r="45773" hidden="1" x14ac:dyDescent="0.25"/>
    <row r="45774" hidden="1" x14ac:dyDescent="0.25"/>
    <row r="45775" hidden="1" x14ac:dyDescent="0.25"/>
    <row r="45776" hidden="1" x14ac:dyDescent="0.25"/>
    <row r="45777" hidden="1" x14ac:dyDescent="0.25"/>
    <row r="45778" hidden="1" x14ac:dyDescent="0.25"/>
    <row r="45779" hidden="1" x14ac:dyDescent="0.25"/>
    <row r="45780" hidden="1" x14ac:dyDescent="0.25"/>
    <row r="45781" hidden="1" x14ac:dyDescent="0.25"/>
    <row r="45782" hidden="1" x14ac:dyDescent="0.25"/>
    <row r="45783" hidden="1" x14ac:dyDescent="0.25"/>
    <row r="45784" hidden="1" x14ac:dyDescent="0.25"/>
    <row r="45785" hidden="1" x14ac:dyDescent="0.25"/>
    <row r="45786" hidden="1" x14ac:dyDescent="0.25"/>
    <row r="45787" hidden="1" x14ac:dyDescent="0.25"/>
    <row r="45788" hidden="1" x14ac:dyDescent="0.25"/>
    <row r="45789" hidden="1" x14ac:dyDescent="0.25"/>
    <row r="45790" hidden="1" x14ac:dyDescent="0.25"/>
    <row r="45791" hidden="1" x14ac:dyDescent="0.25"/>
    <row r="45792" hidden="1" x14ac:dyDescent="0.25"/>
    <row r="45793" hidden="1" x14ac:dyDescent="0.25"/>
    <row r="45794" hidden="1" x14ac:dyDescent="0.25"/>
    <row r="45795" hidden="1" x14ac:dyDescent="0.25"/>
    <row r="45796" hidden="1" x14ac:dyDescent="0.25"/>
    <row r="45797" hidden="1" x14ac:dyDescent="0.25"/>
    <row r="45798" hidden="1" x14ac:dyDescent="0.25"/>
    <row r="45799" hidden="1" x14ac:dyDescent="0.25"/>
    <row r="45800" hidden="1" x14ac:dyDescent="0.25"/>
    <row r="45801" hidden="1" x14ac:dyDescent="0.25"/>
    <row r="45802" hidden="1" x14ac:dyDescent="0.25"/>
    <row r="45803" hidden="1" x14ac:dyDescent="0.25"/>
    <row r="45804" hidden="1" x14ac:dyDescent="0.25"/>
    <row r="45805" hidden="1" x14ac:dyDescent="0.25"/>
    <row r="45806" hidden="1" x14ac:dyDescent="0.25"/>
    <row r="45807" hidden="1" x14ac:dyDescent="0.25"/>
    <row r="45808" hidden="1" x14ac:dyDescent="0.25"/>
    <row r="45809" hidden="1" x14ac:dyDescent="0.25"/>
    <row r="45810" hidden="1" x14ac:dyDescent="0.25"/>
    <row r="45811" hidden="1" x14ac:dyDescent="0.25"/>
    <row r="45812" hidden="1" x14ac:dyDescent="0.25"/>
    <row r="45813" hidden="1" x14ac:dyDescent="0.25"/>
    <row r="45814" hidden="1" x14ac:dyDescent="0.25"/>
    <row r="45815" hidden="1" x14ac:dyDescent="0.25"/>
    <row r="45816" hidden="1" x14ac:dyDescent="0.25"/>
    <row r="45817" hidden="1" x14ac:dyDescent="0.25"/>
    <row r="45818" hidden="1" x14ac:dyDescent="0.25"/>
    <row r="45819" hidden="1" x14ac:dyDescent="0.25"/>
    <row r="45820" hidden="1" x14ac:dyDescent="0.25"/>
    <row r="45821" hidden="1" x14ac:dyDescent="0.25"/>
    <row r="45822" hidden="1" x14ac:dyDescent="0.25"/>
    <row r="45823" hidden="1" x14ac:dyDescent="0.25"/>
    <row r="45824" hidden="1" x14ac:dyDescent="0.25"/>
    <row r="45825" hidden="1" x14ac:dyDescent="0.25"/>
    <row r="45826" hidden="1" x14ac:dyDescent="0.25"/>
    <row r="45827" hidden="1" x14ac:dyDescent="0.25"/>
    <row r="45828" hidden="1" x14ac:dyDescent="0.25"/>
    <row r="45829" hidden="1" x14ac:dyDescent="0.25"/>
    <row r="45830" hidden="1" x14ac:dyDescent="0.25"/>
    <row r="45831" hidden="1" x14ac:dyDescent="0.25"/>
    <row r="45832" hidden="1" x14ac:dyDescent="0.25"/>
    <row r="45833" hidden="1" x14ac:dyDescent="0.25"/>
    <row r="45834" hidden="1" x14ac:dyDescent="0.25"/>
    <row r="45835" hidden="1" x14ac:dyDescent="0.25"/>
    <row r="45836" hidden="1" x14ac:dyDescent="0.25"/>
    <row r="45837" hidden="1" x14ac:dyDescent="0.25"/>
    <row r="45838" hidden="1" x14ac:dyDescent="0.25"/>
    <row r="45839" hidden="1" x14ac:dyDescent="0.25"/>
    <row r="45840" hidden="1" x14ac:dyDescent="0.25"/>
    <row r="45841" hidden="1" x14ac:dyDescent="0.25"/>
    <row r="45842" hidden="1" x14ac:dyDescent="0.25"/>
    <row r="45843" hidden="1" x14ac:dyDescent="0.25"/>
    <row r="45844" hidden="1" x14ac:dyDescent="0.25"/>
    <row r="45845" hidden="1" x14ac:dyDescent="0.25"/>
    <row r="45846" hidden="1" x14ac:dyDescent="0.25"/>
    <row r="45847" hidden="1" x14ac:dyDescent="0.25"/>
    <row r="45848" hidden="1" x14ac:dyDescent="0.25"/>
    <row r="45849" hidden="1" x14ac:dyDescent="0.25"/>
    <row r="45850" hidden="1" x14ac:dyDescent="0.25"/>
    <row r="45851" hidden="1" x14ac:dyDescent="0.25"/>
    <row r="45852" hidden="1" x14ac:dyDescent="0.25"/>
    <row r="45853" hidden="1" x14ac:dyDescent="0.25"/>
    <row r="45854" hidden="1" x14ac:dyDescent="0.25"/>
    <row r="45855" hidden="1" x14ac:dyDescent="0.25"/>
    <row r="45856" hidden="1" x14ac:dyDescent="0.25"/>
    <row r="45857" hidden="1" x14ac:dyDescent="0.25"/>
    <row r="45858" hidden="1" x14ac:dyDescent="0.25"/>
    <row r="45859" hidden="1" x14ac:dyDescent="0.25"/>
    <row r="45860" hidden="1" x14ac:dyDescent="0.25"/>
    <row r="45861" hidden="1" x14ac:dyDescent="0.25"/>
    <row r="45862" hidden="1" x14ac:dyDescent="0.25"/>
    <row r="45863" hidden="1" x14ac:dyDescent="0.25"/>
    <row r="45864" hidden="1" x14ac:dyDescent="0.25"/>
    <row r="45865" hidden="1" x14ac:dyDescent="0.25"/>
    <row r="45866" hidden="1" x14ac:dyDescent="0.25"/>
    <row r="45867" hidden="1" x14ac:dyDescent="0.25"/>
    <row r="45868" hidden="1" x14ac:dyDescent="0.25"/>
    <row r="45869" hidden="1" x14ac:dyDescent="0.25"/>
    <row r="45870" hidden="1" x14ac:dyDescent="0.25"/>
    <row r="45871" hidden="1" x14ac:dyDescent="0.25"/>
    <row r="45872" hidden="1" x14ac:dyDescent="0.25"/>
    <row r="45873" hidden="1" x14ac:dyDescent="0.25"/>
    <row r="45874" hidden="1" x14ac:dyDescent="0.25"/>
    <row r="45875" hidden="1" x14ac:dyDescent="0.25"/>
    <row r="45876" hidden="1" x14ac:dyDescent="0.25"/>
    <row r="45877" hidden="1" x14ac:dyDescent="0.25"/>
    <row r="45878" hidden="1" x14ac:dyDescent="0.25"/>
    <row r="45879" hidden="1" x14ac:dyDescent="0.25"/>
    <row r="45880" hidden="1" x14ac:dyDescent="0.25"/>
    <row r="45881" hidden="1" x14ac:dyDescent="0.25"/>
    <row r="45882" hidden="1" x14ac:dyDescent="0.25"/>
    <row r="45883" hidden="1" x14ac:dyDescent="0.25"/>
    <row r="45884" hidden="1" x14ac:dyDescent="0.25"/>
    <row r="45885" hidden="1" x14ac:dyDescent="0.25"/>
    <row r="45886" hidden="1" x14ac:dyDescent="0.25"/>
    <row r="45887" hidden="1" x14ac:dyDescent="0.25"/>
    <row r="45888" hidden="1" x14ac:dyDescent="0.25"/>
    <row r="45889" hidden="1" x14ac:dyDescent="0.25"/>
    <row r="45890" hidden="1" x14ac:dyDescent="0.25"/>
    <row r="45891" hidden="1" x14ac:dyDescent="0.25"/>
    <row r="45892" hidden="1" x14ac:dyDescent="0.25"/>
    <row r="45893" hidden="1" x14ac:dyDescent="0.25"/>
    <row r="45894" hidden="1" x14ac:dyDescent="0.25"/>
    <row r="45895" hidden="1" x14ac:dyDescent="0.25"/>
    <row r="45896" hidden="1" x14ac:dyDescent="0.25"/>
    <row r="45897" hidden="1" x14ac:dyDescent="0.25"/>
    <row r="45898" hidden="1" x14ac:dyDescent="0.25"/>
    <row r="45899" hidden="1" x14ac:dyDescent="0.25"/>
    <row r="45900" hidden="1" x14ac:dyDescent="0.25"/>
    <row r="45901" hidden="1" x14ac:dyDescent="0.25"/>
    <row r="45902" hidden="1" x14ac:dyDescent="0.25"/>
    <row r="45903" hidden="1" x14ac:dyDescent="0.25"/>
    <row r="45904" hidden="1" x14ac:dyDescent="0.25"/>
    <row r="45905" hidden="1" x14ac:dyDescent="0.25"/>
    <row r="45906" hidden="1" x14ac:dyDescent="0.25"/>
    <row r="45907" hidden="1" x14ac:dyDescent="0.25"/>
    <row r="45908" hidden="1" x14ac:dyDescent="0.25"/>
    <row r="45909" hidden="1" x14ac:dyDescent="0.25"/>
    <row r="45910" hidden="1" x14ac:dyDescent="0.25"/>
    <row r="45911" hidden="1" x14ac:dyDescent="0.25"/>
    <row r="45912" hidden="1" x14ac:dyDescent="0.25"/>
    <row r="45913" hidden="1" x14ac:dyDescent="0.25"/>
    <row r="45914" hidden="1" x14ac:dyDescent="0.25"/>
    <row r="45915" hidden="1" x14ac:dyDescent="0.25"/>
    <row r="45916" hidden="1" x14ac:dyDescent="0.25"/>
    <row r="45917" hidden="1" x14ac:dyDescent="0.25"/>
    <row r="45918" hidden="1" x14ac:dyDescent="0.25"/>
    <row r="45919" hidden="1" x14ac:dyDescent="0.25"/>
    <row r="45920" hidden="1" x14ac:dyDescent="0.25"/>
    <row r="45921" hidden="1" x14ac:dyDescent="0.25"/>
    <row r="45922" hidden="1" x14ac:dyDescent="0.25"/>
    <row r="45923" hidden="1" x14ac:dyDescent="0.25"/>
    <row r="45924" hidden="1" x14ac:dyDescent="0.25"/>
    <row r="45925" hidden="1" x14ac:dyDescent="0.25"/>
    <row r="45926" hidden="1" x14ac:dyDescent="0.25"/>
    <row r="45927" hidden="1" x14ac:dyDescent="0.25"/>
    <row r="45928" hidden="1" x14ac:dyDescent="0.25"/>
    <row r="45929" hidden="1" x14ac:dyDescent="0.25"/>
    <row r="45930" hidden="1" x14ac:dyDescent="0.25"/>
    <row r="45931" hidden="1" x14ac:dyDescent="0.25"/>
    <row r="45932" hidden="1" x14ac:dyDescent="0.25"/>
    <row r="45933" hidden="1" x14ac:dyDescent="0.25"/>
    <row r="45934" hidden="1" x14ac:dyDescent="0.25"/>
    <row r="45935" hidden="1" x14ac:dyDescent="0.25"/>
    <row r="45936" hidden="1" x14ac:dyDescent="0.25"/>
    <row r="45937" hidden="1" x14ac:dyDescent="0.25"/>
    <row r="45938" hidden="1" x14ac:dyDescent="0.25"/>
    <row r="45939" hidden="1" x14ac:dyDescent="0.25"/>
    <row r="45940" hidden="1" x14ac:dyDescent="0.25"/>
    <row r="45941" hidden="1" x14ac:dyDescent="0.25"/>
    <row r="45942" hidden="1" x14ac:dyDescent="0.25"/>
    <row r="45943" hidden="1" x14ac:dyDescent="0.25"/>
    <row r="45944" hidden="1" x14ac:dyDescent="0.25"/>
    <row r="45945" hidden="1" x14ac:dyDescent="0.25"/>
    <row r="45946" hidden="1" x14ac:dyDescent="0.25"/>
    <row r="45947" hidden="1" x14ac:dyDescent="0.25"/>
    <row r="45948" hidden="1" x14ac:dyDescent="0.25"/>
    <row r="45949" hidden="1" x14ac:dyDescent="0.25"/>
    <row r="45950" hidden="1" x14ac:dyDescent="0.25"/>
    <row r="45951" hidden="1" x14ac:dyDescent="0.25"/>
    <row r="45952" hidden="1" x14ac:dyDescent="0.25"/>
    <row r="45953" hidden="1" x14ac:dyDescent="0.25"/>
    <row r="45954" hidden="1" x14ac:dyDescent="0.25"/>
    <row r="45955" hidden="1" x14ac:dyDescent="0.25"/>
    <row r="45956" hidden="1" x14ac:dyDescent="0.25"/>
    <row r="45957" hidden="1" x14ac:dyDescent="0.25"/>
    <row r="45958" hidden="1" x14ac:dyDescent="0.25"/>
    <row r="45959" hidden="1" x14ac:dyDescent="0.25"/>
    <row r="45960" hidden="1" x14ac:dyDescent="0.25"/>
    <row r="45961" hidden="1" x14ac:dyDescent="0.25"/>
    <row r="45962" hidden="1" x14ac:dyDescent="0.25"/>
    <row r="45963" hidden="1" x14ac:dyDescent="0.25"/>
    <row r="45964" hidden="1" x14ac:dyDescent="0.25"/>
    <row r="45965" hidden="1" x14ac:dyDescent="0.25"/>
    <row r="45966" hidden="1" x14ac:dyDescent="0.25"/>
    <row r="45967" hidden="1" x14ac:dyDescent="0.25"/>
    <row r="45968" hidden="1" x14ac:dyDescent="0.25"/>
    <row r="45969" hidden="1" x14ac:dyDescent="0.25"/>
    <row r="45970" hidden="1" x14ac:dyDescent="0.25"/>
    <row r="45971" hidden="1" x14ac:dyDescent="0.25"/>
    <row r="45972" hidden="1" x14ac:dyDescent="0.25"/>
    <row r="45973" hidden="1" x14ac:dyDescent="0.25"/>
    <row r="45974" hidden="1" x14ac:dyDescent="0.25"/>
    <row r="45975" hidden="1" x14ac:dyDescent="0.25"/>
    <row r="45976" hidden="1" x14ac:dyDescent="0.25"/>
    <row r="45977" hidden="1" x14ac:dyDescent="0.25"/>
    <row r="45978" hidden="1" x14ac:dyDescent="0.25"/>
    <row r="45979" hidden="1" x14ac:dyDescent="0.25"/>
    <row r="45980" hidden="1" x14ac:dyDescent="0.25"/>
    <row r="45981" hidden="1" x14ac:dyDescent="0.25"/>
    <row r="45982" hidden="1" x14ac:dyDescent="0.25"/>
    <row r="45983" hidden="1" x14ac:dyDescent="0.25"/>
    <row r="45984" hidden="1" x14ac:dyDescent="0.25"/>
    <row r="45985" hidden="1" x14ac:dyDescent="0.25"/>
    <row r="45986" hidden="1" x14ac:dyDescent="0.25"/>
    <row r="45987" hidden="1" x14ac:dyDescent="0.25"/>
    <row r="45988" hidden="1" x14ac:dyDescent="0.25"/>
    <row r="45989" hidden="1" x14ac:dyDescent="0.25"/>
    <row r="45990" hidden="1" x14ac:dyDescent="0.25"/>
    <row r="45991" hidden="1" x14ac:dyDescent="0.25"/>
    <row r="45992" hidden="1" x14ac:dyDescent="0.25"/>
    <row r="45993" hidden="1" x14ac:dyDescent="0.25"/>
    <row r="45994" hidden="1" x14ac:dyDescent="0.25"/>
    <row r="45995" hidden="1" x14ac:dyDescent="0.25"/>
    <row r="45996" hidden="1" x14ac:dyDescent="0.25"/>
    <row r="45997" hidden="1" x14ac:dyDescent="0.25"/>
    <row r="45998" hidden="1" x14ac:dyDescent="0.25"/>
    <row r="45999" hidden="1" x14ac:dyDescent="0.25"/>
    <row r="46000" hidden="1" x14ac:dyDescent="0.25"/>
    <row r="46001" hidden="1" x14ac:dyDescent="0.25"/>
    <row r="46002" hidden="1" x14ac:dyDescent="0.25"/>
    <row r="46003" hidden="1" x14ac:dyDescent="0.25"/>
    <row r="46004" hidden="1" x14ac:dyDescent="0.25"/>
    <row r="46005" hidden="1" x14ac:dyDescent="0.25"/>
    <row r="46006" hidden="1" x14ac:dyDescent="0.25"/>
    <row r="46007" hidden="1" x14ac:dyDescent="0.25"/>
    <row r="46008" hidden="1" x14ac:dyDescent="0.25"/>
    <row r="46009" hidden="1" x14ac:dyDescent="0.25"/>
    <row r="46010" hidden="1" x14ac:dyDescent="0.25"/>
    <row r="46011" hidden="1" x14ac:dyDescent="0.25"/>
    <row r="46012" hidden="1" x14ac:dyDescent="0.25"/>
    <row r="46013" hidden="1" x14ac:dyDescent="0.25"/>
    <row r="46014" hidden="1" x14ac:dyDescent="0.25"/>
    <row r="46015" hidden="1" x14ac:dyDescent="0.25"/>
    <row r="46016" hidden="1" x14ac:dyDescent="0.25"/>
    <row r="46017" hidden="1" x14ac:dyDescent="0.25"/>
    <row r="46018" hidden="1" x14ac:dyDescent="0.25"/>
    <row r="46019" hidden="1" x14ac:dyDescent="0.25"/>
    <row r="46020" hidden="1" x14ac:dyDescent="0.25"/>
    <row r="46021" hidden="1" x14ac:dyDescent="0.25"/>
    <row r="46022" hidden="1" x14ac:dyDescent="0.25"/>
    <row r="46023" hidden="1" x14ac:dyDescent="0.25"/>
    <row r="46024" hidden="1" x14ac:dyDescent="0.25"/>
    <row r="46025" hidden="1" x14ac:dyDescent="0.25"/>
    <row r="46026" hidden="1" x14ac:dyDescent="0.25"/>
    <row r="46027" hidden="1" x14ac:dyDescent="0.25"/>
    <row r="46028" hidden="1" x14ac:dyDescent="0.25"/>
    <row r="46029" hidden="1" x14ac:dyDescent="0.25"/>
    <row r="46030" hidden="1" x14ac:dyDescent="0.25"/>
    <row r="46031" hidden="1" x14ac:dyDescent="0.25"/>
    <row r="46032" hidden="1" x14ac:dyDescent="0.25"/>
    <row r="46033" hidden="1" x14ac:dyDescent="0.25"/>
    <row r="46034" hidden="1" x14ac:dyDescent="0.25"/>
    <row r="46035" hidden="1" x14ac:dyDescent="0.25"/>
    <row r="46036" hidden="1" x14ac:dyDescent="0.25"/>
    <row r="46037" hidden="1" x14ac:dyDescent="0.25"/>
    <row r="46038" hidden="1" x14ac:dyDescent="0.25"/>
    <row r="46039" hidden="1" x14ac:dyDescent="0.25"/>
    <row r="46040" hidden="1" x14ac:dyDescent="0.25"/>
    <row r="46041" hidden="1" x14ac:dyDescent="0.25"/>
    <row r="46042" hidden="1" x14ac:dyDescent="0.25"/>
    <row r="46043" hidden="1" x14ac:dyDescent="0.25"/>
    <row r="46044" hidden="1" x14ac:dyDescent="0.25"/>
    <row r="46045" hidden="1" x14ac:dyDescent="0.25"/>
    <row r="46046" hidden="1" x14ac:dyDescent="0.25"/>
    <row r="46047" hidden="1" x14ac:dyDescent="0.25"/>
    <row r="46048" hidden="1" x14ac:dyDescent="0.25"/>
    <row r="46049" hidden="1" x14ac:dyDescent="0.25"/>
    <row r="46050" hidden="1" x14ac:dyDescent="0.25"/>
    <row r="46051" hidden="1" x14ac:dyDescent="0.25"/>
    <row r="46052" hidden="1" x14ac:dyDescent="0.25"/>
    <row r="46053" hidden="1" x14ac:dyDescent="0.25"/>
    <row r="46054" hidden="1" x14ac:dyDescent="0.25"/>
    <row r="46055" hidden="1" x14ac:dyDescent="0.25"/>
    <row r="46056" hidden="1" x14ac:dyDescent="0.25"/>
    <row r="46057" hidden="1" x14ac:dyDescent="0.25"/>
    <row r="46058" hidden="1" x14ac:dyDescent="0.25"/>
    <row r="46059" hidden="1" x14ac:dyDescent="0.25"/>
    <row r="46060" hidden="1" x14ac:dyDescent="0.25"/>
    <row r="46061" hidden="1" x14ac:dyDescent="0.25"/>
    <row r="46062" hidden="1" x14ac:dyDescent="0.25"/>
    <row r="46063" hidden="1" x14ac:dyDescent="0.25"/>
    <row r="46064" hidden="1" x14ac:dyDescent="0.25"/>
    <row r="46065" hidden="1" x14ac:dyDescent="0.25"/>
    <row r="46066" hidden="1" x14ac:dyDescent="0.25"/>
    <row r="46067" hidden="1" x14ac:dyDescent="0.25"/>
    <row r="46068" hidden="1" x14ac:dyDescent="0.25"/>
    <row r="46069" hidden="1" x14ac:dyDescent="0.25"/>
    <row r="46070" hidden="1" x14ac:dyDescent="0.25"/>
    <row r="46071" hidden="1" x14ac:dyDescent="0.25"/>
    <row r="46072" hidden="1" x14ac:dyDescent="0.25"/>
    <row r="46073" hidden="1" x14ac:dyDescent="0.25"/>
    <row r="46074" hidden="1" x14ac:dyDescent="0.25"/>
    <row r="46075" hidden="1" x14ac:dyDescent="0.25"/>
    <row r="46076" hidden="1" x14ac:dyDescent="0.25"/>
    <row r="46077" hidden="1" x14ac:dyDescent="0.25"/>
    <row r="46078" hidden="1" x14ac:dyDescent="0.25"/>
    <row r="46079" hidden="1" x14ac:dyDescent="0.25"/>
    <row r="46080" hidden="1" x14ac:dyDescent="0.25"/>
    <row r="46081" hidden="1" x14ac:dyDescent="0.25"/>
    <row r="46082" hidden="1" x14ac:dyDescent="0.25"/>
    <row r="46083" hidden="1" x14ac:dyDescent="0.25"/>
    <row r="46084" hidden="1" x14ac:dyDescent="0.25"/>
    <row r="46085" hidden="1" x14ac:dyDescent="0.25"/>
    <row r="46086" hidden="1" x14ac:dyDescent="0.25"/>
    <row r="46087" hidden="1" x14ac:dyDescent="0.25"/>
    <row r="46088" hidden="1" x14ac:dyDescent="0.25"/>
    <row r="46089" hidden="1" x14ac:dyDescent="0.25"/>
    <row r="46090" hidden="1" x14ac:dyDescent="0.25"/>
    <row r="46091" hidden="1" x14ac:dyDescent="0.25"/>
    <row r="46092" hidden="1" x14ac:dyDescent="0.25"/>
    <row r="46093" hidden="1" x14ac:dyDescent="0.25"/>
    <row r="46094" hidden="1" x14ac:dyDescent="0.25"/>
    <row r="46095" hidden="1" x14ac:dyDescent="0.25"/>
    <row r="46096" hidden="1" x14ac:dyDescent="0.25"/>
    <row r="46097" hidden="1" x14ac:dyDescent="0.25"/>
    <row r="46098" hidden="1" x14ac:dyDescent="0.25"/>
    <row r="46099" hidden="1" x14ac:dyDescent="0.25"/>
    <row r="46100" hidden="1" x14ac:dyDescent="0.25"/>
    <row r="46101" hidden="1" x14ac:dyDescent="0.25"/>
    <row r="46102" hidden="1" x14ac:dyDescent="0.25"/>
    <row r="46103" hidden="1" x14ac:dyDescent="0.25"/>
    <row r="46104" hidden="1" x14ac:dyDescent="0.25"/>
    <row r="46105" hidden="1" x14ac:dyDescent="0.25"/>
    <row r="46106" hidden="1" x14ac:dyDescent="0.25"/>
    <row r="46107" hidden="1" x14ac:dyDescent="0.25"/>
    <row r="46108" hidden="1" x14ac:dyDescent="0.25"/>
    <row r="46109" hidden="1" x14ac:dyDescent="0.25"/>
    <row r="46110" hidden="1" x14ac:dyDescent="0.25"/>
    <row r="46111" hidden="1" x14ac:dyDescent="0.25"/>
    <row r="46112" hidden="1" x14ac:dyDescent="0.25"/>
    <row r="46113" hidden="1" x14ac:dyDescent="0.25"/>
    <row r="46114" hidden="1" x14ac:dyDescent="0.25"/>
    <row r="46115" hidden="1" x14ac:dyDescent="0.25"/>
    <row r="46116" hidden="1" x14ac:dyDescent="0.25"/>
    <row r="46117" hidden="1" x14ac:dyDescent="0.25"/>
    <row r="46118" hidden="1" x14ac:dyDescent="0.25"/>
    <row r="46119" hidden="1" x14ac:dyDescent="0.25"/>
    <row r="46120" hidden="1" x14ac:dyDescent="0.25"/>
    <row r="46121" hidden="1" x14ac:dyDescent="0.25"/>
    <row r="46122" hidden="1" x14ac:dyDescent="0.25"/>
    <row r="46123" hidden="1" x14ac:dyDescent="0.25"/>
    <row r="46124" hidden="1" x14ac:dyDescent="0.25"/>
    <row r="46125" hidden="1" x14ac:dyDescent="0.25"/>
    <row r="46126" hidden="1" x14ac:dyDescent="0.25"/>
    <row r="46127" hidden="1" x14ac:dyDescent="0.25"/>
    <row r="46128" hidden="1" x14ac:dyDescent="0.25"/>
    <row r="46129" hidden="1" x14ac:dyDescent="0.25"/>
    <row r="46130" hidden="1" x14ac:dyDescent="0.25"/>
    <row r="46131" hidden="1" x14ac:dyDescent="0.25"/>
    <row r="46132" hidden="1" x14ac:dyDescent="0.25"/>
    <row r="46133" hidden="1" x14ac:dyDescent="0.25"/>
    <row r="46134" hidden="1" x14ac:dyDescent="0.25"/>
    <row r="46135" hidden="1" x14ac:dyDescent="0.25"/>
    <row r="46136" hidden="1" x14ac:dyDescent="0.25"/>
    <row r="46137" hidden="1" x14ac:dyDescent="0.25"/>
    <row r="46138" hidden="1" x14ac:dyDescent="0.25"/>
    <row r="46139" hidden="1" x14ac:dyDescent="0.25"/>
    <row r="46140" hidden="1" x14ac:dyDescent="0.25"/>
    <row r="46141" hidden="1" x14ac:dyDescent="0.25"/>
    <row r="46142" hidden="1" x14ac:dyDescent="0.25"/>
    <row r="46143" hidden="1" x14ac:dyDescent="0.25"/>
    <row r="46144" hidden="1" x14ac:dyDescent="0.25"/>
    <row r="46145" hidden="1" x14ac:dyDescent="0.25"/>
    <row r="46146" hidden="1" x14ac:dyDescent="0.25"/>
    <row r="46147" hidden="1" x14ac:dyDescent="0.25"/>
    <row r="46148" hidden="1" x14ac:dyDescent="0.25"/>
    <row r="46149" hidden="1" x14ac:dyDescent="0.25"/>
    <row r="46150" hidden="1" x14ac:dyDescent="0.25"/>
    <row r="46151" hidden="1" x14ac:dyDescent="0.25"/>
    <row r="46152" hidden="1" x14ac:dyDescent="0.25"/>
    <row r="46153" hidden="1" x14ac:dyDescent="0.25"/>
    <row r="46154" hidden="1" x14ac:dyDescent="0.25"/>
    <row r="46155" hidden="1" x14ac:dyDescent="0.25"/>
    <row r="46156" hidden="1" x14ac:dyDescent="0.25"/>
    <row r="46157" hidden="1" x14ac:dyDescent="0.25"/>
    <row r="46158" hidden="1" x14ac:dyDescent="0.25"/>
    <row r="46159" hidden="1" x14ac:dyDescent="0.25"/>
    <row r="46160" hidden="1" x14ac:dyDescent="0.25"/>
    <row r="46161" hidden="1" x14ac:dyDescent="0.25"/>
    <row r="46162" hidden="1" x14ac:dyDescent="0.25"/>
    <row r="46163" hidden="1" x14ac:dyDescent="0.25"/>
    <row r="46164" hidden="1" x14ac:dyDescent="0.25"/>
    <row r="46165" hidden="1" x14ac:dyDescent="0.25"/>
    <row r="46166" hidden="1" x14ac:dyDescent="0.25"/>
    <row r="46167" hidden="1" x14ac:dyDescent="0.25"/>
    <row r="46168" hidden="1" x14ac:dyDescent="0.25"/>
    <row r="46169" hidden="1" x14ac:dyDescent="0.25"/>
    <row r="46170" hidden="1" x14ac:dyDescent="0.25"/>
    <row r="46171" hidden="1" x14ac:dyDescent="0.25"/>
    <row r="46172" hidden="1" x14ac:dyDescent="0.25"/>
    <row r="46173" hidden="1" x14ac:dyDescent="0.25"/>
    <row r="46174" hidden="1" x14ac:dyDescent="0.25"/>
    <row r="46175" hidden="1" x14ac:dyDescent="0.25"/>
    <row r="46176" hidden="1" x14ac:dyDescent="0.25"/>
    <row r="46177" hidden="1" x14ac:dyDescent="0.25"/>
    <row r="46178" hidden="1" x14ac:dyDescent="0.25"/>
    <row r="46179" hidden="1" x14ac:dyDescent="0.25"/>
    <row r="46180" hidden="1" x14ac:dyDescent="0.25"/>
    <row r="46181" hidden="1" x14ac:dyDescent="0.25"/>
    <row r="46182" hidden="1" x14ac:dyDescent="0.25"/>
    <row r="46183" hidden="1" x14ac:dyDescent="0.25"/>
    <row r="46184" hidden="1" x14ac:dyDescent="0.25"/>
    <row r="46185" hidden="1" x14ac:dyDescent="0.25"/>
    <row r="46186" hidden="1" x14ac:dyDescent="0.25"/>
    <row r="46187" hidden="1" x14ac:dyDescent="0.25"/>
    <row r="46188" hidden="1" x14ac:dyDescent="0.25"/>
    <row r="46189" hidden="1" x14ac:dyDescent="0.25"/>
    <row r="46190" hidden="1" x14ac:dyDescent="0.25"/>
    <row r="46191" hidden="1" x14ac:dyDescent="0.25"/>
    <row r="46192" hidden="1" x14ac:dyDescent="0.25"/>
    <row r="46193" hidden="1" x14ac:dyDescent="0.25"/>
    <row r="46194" hidden="1" x14ac:dyDescent="0.25"/>
    <row r="46195" hidden="1" x14ac:dyDescent="0.25"/>
    <row r="46196" hidden="1" x14ac:dyDescent="0.25"/>
    <row r="46197" hidden="1" x14ac:dyDescent="0.25"/>
    <row r="46198" hidden="1" x14ac:dyDescent="0.25"/>
    <row r="46199" hidden="1" x14ac:dyDescent="0.25"/>
    <row r="46200" hidden="1" x14ac:dyDescent="0.25"/>
    <row r="46201" hidden="1" x14ac:dyDescent="0.25"/>
    <row r="46202" hidden="1" x14ac:dyDescent="0.25"/>
    <row r="46203" hidden="1" x14ac:dyDescent="0.25"/>
    <row r="46204" hidden="1" x14ac:dyDescent="0.25"/>
    <row r="46205" hidden="1" x14ac:dyDescent="0.25"/>
    <row r="46206" hidden="1" x14ac:dyDescent="0.25"/>
    <row r="46207" hidden="1" x14ac:dyDescent="0.25"/>
    <row r="46208" hidden="1" x14ac:dyDescent="0.25"/>
    <row r="46209" hidden="1" x14ac:dyDescent="0.25"/>
    <row r="46210" hidden="1" x14ac:dyDescent="0.25"/>
    <row r="46211" hidden="1" x14ac:dyDescent="0.25"/>
    <row r="46212" hidden="1" x14ac:dyDescent="0.25"/>
    <row r="46213" hidden="1" x14ac:dyDescent="0.25"/>
    <row r="46214" hidden="1" x14ac:dyDescent="0.25"/>
    <row r="46215" hidden="1" x14ac:dyDescent="0.25"/>
    <row r="46216" hidden="1" x14ac:dyDescent="0.25"/>
    <row r="46217" hidden="1" x14ac:dyDescent="0.25"/>
    <row r="46218" hidden="1" x14ac:dyDescent="0.25"/>
    <row r="46219" hidden="1" x14ac:dyDescent="0.25"/>
    <row r="46220" hidden="1" x14ac:dyDescent="0.25"/>
    <row r="46221" hidden="1" x14ac:dyDescent="0.25"/>
    <row r="46222" hidden="1" x14ac:dyDescent="0.25"/>
    <row r="46223" hidden="1" x14ac:dyDescent="0.25"/>
    <row r="46224" hidden="1" x14ac:dyDescent="0.25"/>
    <row r="46225" hidden="1" x14ac:dyDescent="0.25"/>
    <row r="46226" hidden="1" x14ac:dyDescent="0.25"/>
    <row r="46227" hidden="1" x14ac:dyDescent="0.25"/>
    <row r="46228" hidden="1" x14ac:dyDescent="0.25"/>
    <row r="46229" hidden="1" x14ac:dyDescent="0.25"/>
    <row r="46230" hidden="1" x14ac:dyDescent="0.25"/>
    <row r="46231" hidden="1" x14ac:dyDescent="0.25"/>
    <row r="46232" hidden="1" x14ac:dyDescent="0.25"/>
    <row r="46233" hidden="1" x14ac:dyDescent="0.25"/>
    <row r="46234" hidden="1" x14ac:dyDescent="0.25"/>
    <row r="46235" hidden="1" x14ac:dyDescent="0.25"/>
    <row r="46236" hidden="1" x14ac:dyDescent="0.25"/>
    <row r="46237" hidden="1" x14ac:dyDescent="0.25"/>
    <row r="46238" hidden="1" x14ac:dyDescent="0.25"/>
    <row r="46239" hidden="1" x14ac:dyDescent="0.25"/>
    <row r="46240" hidden="1" x14ac:dyDescent="0.25"/>
    <row r="46241" hidden="1" x14ac:dyDescent="0.25"/>
    <row r="46242" hidden="1" x14ac:dyDescent="0.25"/>
    <row r="46243" hidden="1" x14ac:dyDescent="0.25"/>
    <row r="46244" hidden="1" x14ac:dyDescent="0.25"/>
    <row r="46245" hidden="1" x14ac:dyDescent="0.25"/>
    <row r="46246" hidden="1" x14ac:dyDescent="0.25"/>
    <row r="46247" hidden="1" x14ac:dyDescent="0.25"/>
    <row r="46248" hidden="1" x14ac:dyDescent="0.25"/>
    <row r="46249" hidden="1" x14ac:dyDescent="0.25"/>
    <row r="46250" hidden="1" x14ac:dyDescent="0.25"/>
    <row r="46251" hidden="1" x14ac:dyDescent="0.25"/>
    <row r="46252" hidden="1" x14ac:dyDescent="0.25"/>
    <row r="46253" hidden="1" x14ac:dyDescent="0.25"/>
    <row r="46254" hidden="1" x14ac:dyDescent="0.25"/>
    <row r="46255" hidden="1" x14ac:dyDescent="0.25"/>
    <row r="46256" hidden="1" x14ac:dyDescent="0.25"/>
    <row r="46257" hidden="1" x14ac:dyDescent="0.25"/>
    <row r="46258" hidden="1" x14ac:dyDescent="0.25"/>
    <row r="46259" hidden="1" x14ac:dyDescent="0.25"/>
    <row r="46260" hidden="1" x14ac:dyDescent="0.25"/>
    <row r="46261" hidden="1" x14ac:dyDescent="0.25"/>
    <row r="46262" hidden="1" x14ac:dyDescent="0.25"/>
    <row r="46263" hidden="1" x14ac:dyDescent="0.25"/>
    <row r="46264" hidden="1" x14ac:dyDescent="0.25"/>
    <row r="46265" hidden="1" x14ac:dyDescent="0.25"/>
    <row r="46266" hidden="1" x14ac:dyDescent="0.25"/>
    <row r="46267" hidden="1" x14ac:dyDescent="0.25"/>
    <row r="46268" hidden="1" x14ac:dyDescent="0.25"/>
    <row r="46269" hidden="1" x14ac:dyDescent="0.25"/>
    <row r="46270" hidden="1" x14ac:dyDescent="0.25"/>
    <row r="46271" hidden="1" x14ac:dyDescent="0.25"/>
    <row r="46272" hidden="1" x14ac:dyDescent="0.25"/>
    <row r="46273" hidden="1" x14ac:dyDescent="0.25"/>
    <row r="46274" hidden="1" x14ac:dyDescent="0.25"/>
    <row r="46275" hidden="1" x14ac:dyDescent="0.25"/>
    <row r="46276" hidden="1" x14ac:dyDescent="0.25"/>
    <row r="46277" hidden="1" x14ac:dyDescent="0.25"/>
    <row r="46278" hidden="1" x14ac:dyDescent="0.25"/>
    <row r="46279" hidden="1" x14ac:dyDescent="0.25"/>
    <row r="46280" hidden="1" x14ac:dyDescent="0.25"/>
    <row r="46281" hidden="1" x14ac:dyDescent="0.25"/>
    <row r="46282" hidden="1" x14ac:dyDescent="0.25"/>
    <row r="46283" hidden="1" x14ac:dyDescent="0.25"/>
    <row r="46284" hidden="1" x14ac:dyDescent="0.25"/>
    <row r="46285" hidden="1" x14ac:dyDescent="0.25"/>
    <row r="46286" hidden="1" x14ac:dyDescent="0.25"/>
    <row r="46287" hidden="1" x14ac:dyDescent="0.25"/>
    <row r="46288" hidden="1" x14ac:dyDescent="0.25"/>
    <row r="46289" hidden="1" x14ac:dyDescent="0.25"/>
    <row r="46290" hidden="1" x14ac:dyDescent="0.25"/>
    <row r="46291" hidden="1" x14ac:dyDescent="0.25"/>
    <row r="46292" hidden="1" x14ac:dyDescent="0.25"/>
    <row r="46293" hidden="1" x14ac:dyDescent="0.25"/>
    <row r="46294" hidden="1" x14ac:dyDescent="0.25"/>
    <row r="46295" hidden="1" x14ac:dyDescent="0.25"/>
    <row r="46296" hidden="1" x14ac:dyDescent="0.25"/>
    <row r="46297" hidden="1" x14ac:dyDescent="0.25"/>
    <row r="46298" hidden="1" x14ac:dyDescent="0.25"/>
    <row r="46299" hidden="1" x14ac:dyDescent="0.25"/>
    <row r="46300" hidden="1" x14ac:dyDescent="0.25"/>
    <row r="46301" hidden="1" x14ac:dyDescent="0.25"/>
    <row r="46302" hidden="1" x14ac:dyDescent="0.25"/>
    <row r="46303" hidden="1" x14ac:dyDescent="0.25"/>
    <row r="46304" hidden="1" x14ac:dyDescent="0.25"/>
    <row r="46305" hidden="1" x14ac:dyDescent="0.25"/>
    <row r="46306" hidden="1" x14ac:dyDescent="0.25"/>
    <row r="46307" hidden="1" x14ac:dyDescent="0.25"/>
    <row r="46308" hidden="1" x14ac:dyDescent="0.25"/>
    <row r="46309" hidden="1" x14ac:dyDescent="0.25"/>
    <row r="46310" hidden="1" x14ac:dyDescent="0.25"/>
    <row r="46311" hidden="1" x14ac:dyDescent="0.25"/>
    <row r="46312" hidden="1" x14ac:dyDescent="0.25"/>
    <row r="46313" hidden="1" x14ac:dyDescent="0.25"/>
    <row r="46314" hidden="1" x14ac:dyDescent="0.25"/>
    <row r="46315" hidden="1" x14ac:dyDescent="0.25"/>
    <row r="46316" hidden="1" x14ac:dyDescent="0.25"/>
    <row r="46317" hidden="1" x14ac:dyDescent="0.25"/>
    <row r="46318" hidden="1" x14ac:dyDescent="0.25"/>
    <row r="46319" hidden="1" x14ac:dyDescent="0.25"/>
    <row r="46320" hidden="1" x14ac:dyDescent="0.25"/>
    <row r="46321" hidden="1" x14ac:dyDescent="0.25"/>
    <row r="46322" hidden="1" x14ac:dyDescent="0.25"/>
    <row r="46323" hidden="1" x14ac:dyDescent="0.25"/>
    <row r="46324" hidden="1" x14ac:dyDescent="0.25"/>
    <row r="46325" hidden="1" x14ac:dyDescent="0.25"/>
    <row r="46326" hidden="1" x14ac:dyDescent="0.25"/>
    <row r="46327" hidden="1" x14ac:dyDescent="0.25"/>
    <row r="46328" hidden="1" x14ac:dyDescent="0.25"/>
    <row r="46329" hidden="1" x14ac:dyDescent="0.25"/>
    <row r="46330" hidden="1" x14ac:dyDescent="0.25"/>
    <row r="46331" hidden="1" x14ac:dyDescent="0.25"/>
    <row r="46332" hidden="1" x14ac:dyDescent="0.25"/>
    <row r="46333" hidden="1" x14ac:dyDescent="0.25"/>
    <row r="46334" hidden="1" x14ac:dyDescent="0.25"/>
    <row r="46335" hidden="1" x14ac:dyDescent="0.25"/>
    <row r="46336" hidden="1" x14ac:dyDescent="0.25"/>
    <row r="46337" hidden="1" x14ac:dyDescent="0.25"/>
    <row r="46338" hidden="1" x14ac:dyDescent="0.25"/>
    <row r="46339" hidden="1" x14ac:dyDescent="0.25"/>
    <row r="46340" hidden="1" x14ac:dyDescent="0.25"/>
    <row r="46341" hidden="1" x14ac:dyDescent="0.25"/>
    <row r="46342" hidden="1" x14ac:dyDescent="0.25"/>
    <row r="46343" hidden="1" x14ac:dyDescent="0.25"/>
    <row r="46344" hidden="1" x14ac:dyDescent="0.25"/>
    <row r="46345" hidden="1" x14ac:dyDescent="0.25"/>
    <row r="46346" hidden="1" x14ac:dyDescent="0.25"/>
    <row r="46347" hidden="1" x14ac:dyDescent="0.25"/>
    <row r="46348" hidden="1" x14ac:dyDescent="0.25"/>
    <row r="46349" hidden="1" x14ac:dyDescent="0.25"/>
    <row r="46350" hidden="1" x14ac:dyDescent="0.25"/>
    <row r="46351" hidden="1" x14ac:dyDescent="0.25"/>
    <row r="46352" hidden="1" x14ac:dyDescent="0.25"/>
    <row r="46353" hidden="1" x14ac:dyDescent="0.25"/>
    <row r="46354" hidden="1" x14ac:dyDescent="0.25"/>
    <row r="46355" hidden="1" x14ac:dyDescent="0.25"/>
    <row r="46356" hidden="1" x14ac:dyDescent="0.25"/>
    <row r="46357" hidden="1" x14ac:dyDescent="0.25"/>
    <row r="46358" hidden="1" x14ac:dyDescent="0.25"/>
    <row r="46359" hidden="1" x14ac:dyDescent="0.25"/>
    <row r="46360" hidden="1" x14ac:dyDescent="0.25"/>
    <row r="46361" hidden="1" x14ac:dyDescent="0.25"/>
    <row r="46362" hidden="1" x14ac:dyDescent="0.25"/>
    <row r="46363" hidden="1" x14ac:dyDescent="0.25"/>
    <row r="46364" hidden="1" x14ac:dyDescent="0.25"/>
    <row r="46365" hidden="1" x14ac:dyDescent="0.25"/>
    <row r="46366" hidden="1" x14ac:dyDescent="0.25"/>
    <row r="46367" hidden="1" x14ac:dyDescent="0.25"/>
    <row r="46368" hidden="1" x14ac:dyDescent="0.25"/>
    <row r="46369" hidden="1" x14ac:dyDescent="0.25"/>
    <row r="46370" hidden="1" x14ac:dyDescent="0.25"/>
    <row r="46371" hidden="1" x14ac:dyDescent="0.25"/>
    <row r="46372" hidden="1" x14ac:dyDescent="0.25"/>
    <row r="46373" hidden="1" x14ac:dyDescent="0.25"/>
    <row r="46374" hidden="1" x14ac:dyDescent="0.25"/>
    <row r="46375" hidden="1" x14ac:dyDescent="0.25"/>
    <row r="46376" hidden="1" x14ac:dyDescent="0.25"/>
    <row r="46377" hidden="1" x14ac:dyDescent="0.25"/>
    <row r="46378" hidden="1" x14ac:dyDescent="0.25"/>
    <row r="46379" hidden="1" x14ac:dyDescent="0.25"/>
    <row r="46380" hidden="1" x14ac:dyDescent="0.25"/>
    <row r="46381" hidden="1" x14ac:dyDescent="0.25"/>
    <row r="46382" hidden="1" x14ac:dyDescent="0.25"/>
    <row r="46383" hidden="1" x14ac:dyDescent="0.25"/>
    <row r="46384" hidden="1" x14ac:dyDescent="0.25"/>
    <row r="46385" hidden="1" x14ac:dyDescent="0.25"/>
    <row r="46386" hidden="1" x14ac:dyDescent="0.25"/>
    <row r="46387" hidden="1" x14ac:dyDescent="0.25"/>
    <row r="46388" hidden="1" x14ac:dyDescent="0.25"/>
    <row r="46389" hidden="1" x14ac:dyDescent="0.25"/>
    <row r="46390" hidden="1" x14ac:dyDescent="0.25"/>
    <row r="46391" hidden="1" x14ac:dyDescent="0.25"/>
    <row r="46392" hidden="1" x14ac:dyDescent="0.25"/>
    <row r="46393" hidden="1" x14ac:dyDescent="0.25"/>
    <row r="46394" hidden="1" x14ac:dyDescent="0.25"/>
    <row r="46395" hidden="1" x14ac:dyDescent="0.25"/>
    <row r="46396" hidden="1" x14ac:dyDescent="0.25"/>
    <row r="46397" hidden="1" x14ac:dyDescent="0.25"/>
    <row r="46398" hidden="1" x14ac:dyDescent="0.25"/>
    <row r="46399" hidden="1" x14ac:dyDescent="0.25"/>
    <row r="46400" hidden="1" x14ac:dyDescent="0.25"/>
    <row r="46401" hidden="1" x14ac:dyDescent="0.25"/>
    <row r="46402" hidden="1" x14ac:dyDescent="0.25"/>
    <row r="46403" hidden="1" x14ac:dyDescent="0.25"/>
    <row r="46404" hidden="1" x14ac:dyDescent="0.25"/>
    <row r="46405" hidden="1" x14ac:dyDescent="0.25"/>
    <row r="46406" hidden="1" x14ac:dyDescent="0.25"/>
    <row r="46407" hidden="1" x14ac:dyDescent="0.25"/>
    <row r="46408" hidden="1" x14ac:dyDescent="0.25"/>
    <row r="46409" hidden="1" x14ac:dyDescent="0.25"/>
    <row r="46410" hidden="1" x14ac:dyDescent="0.25"/>
    <row r="46411" hidden="1" x14ac:dyDescent="0.25"/>
    <row r="46412" hidden="1" x14ac:dyDescent="0.25"/>
    <row r="46413" hidden="1" x14ac:dyDescent="0.25"/>
    <row r="46414" hidden="1" x14ac:dyDescent="0.25"/>
    <row r="46415" hidden="1" x14ac:dyDescent="0.25"/>
    <row r="46416" hidden="1" x14ac:dyDescent="0.25"/>
    <row r="46417" hidden="1" x14ac:dyDescent="0.25"/>
    <row r="46418" hidden="1" x14ac:dyDescent="0.25"/>
    <row r="46419" hidden="1" x14ac:dyDescent="0.25"/>
    <row r="46420" hidden="1" x14ac:dyDescent="0.25"/>
    <row r="46421" hidden="1" x14ac:dyDescent="0.25"/>
    <row r="46422" hidden="1" x14ac:dyDescent="0.25"/>
    <row r="46423" hidden="1" x14ac:dyDescent="0.25"/>
    <row r="46424" hidden="1" x14ac:dyDescent="0.25"/>
    <row r="46425" hidden="1" x14ac:dyDescent="0.25"/>
    <row r="46426" hidden="1" x14ac:dyDescent="0.25"/>
    <row r="46427" hidden="1" x14ac:dyDescent="0.25"/>
    <row r="46428" hidden="1" x14ac:dyDescent="0.25"/>
    <row r="46429" hidden="1" x14ac:dyDescent="0.25"/>
    <row r="46430" hidden="1" x14ac:dyDescent="0.25"/>
    <row r="46431" hidden="1" x14ac:dyDescent="0.25"/>
    <row r="46432" hidden="1" x14ac:dyDescent="0.25"/>
    <row r="46433" hidden="1" x14ac:dyDescent="0.25"/>
    <row r="46434" hidden="1" x14ac:dyDescent="0.25"/>
    <row r="46435" hidden="1" x14ac:dyDescent="0.25"/>
    <row r="46436" hidden="1" x14ac:dyDescent="0.25"/>
    <row r="46437" hidden="1" x14ac:dyDescent="0.25"/>
    <row r="46438" hidden="1" x14ac:dyDescent="0.25"/>
    <row r="46439" hidden="1" x14ac:dyDescent="0.25"/>
    <row r="46440" hidden="1" x14ac:dyDescent="0.25"/>
    <row r="46441" hidden="1" x14ac:dyDescent="0.25"/>
    <row r="46442" hidden="1" x14ac:dyDescent="0.25"/>
    <row r="46443" hidden="1" x14ac:dyDescent="0.25"/>
    <row r="46444" hidden="1" x14ac:dyDescent="0.25"/>
    <row r="46445" hidden="1" x14ac:dyDescent="0.25"/>
    <row r="46446" hidden="1" x14ac:dyDescent="0.25"/>
    <row r="46447" hidden="1" x14ac:dyDescent="0.25"/>
    <row r="46448" hidden="1" x14ac:dyDescent="0.25"/>
    <row r="46449" hidden="1" x14ac:dyDescent="0.25"/>
    <row r="46450" hidden="1" x14ac:dyDescent="0.25"/>
    <row r="46451" hidden="1" x14ac:dyDescent="0.25"/>
    <row r="46452" hidden="1" x14ac:dyDescent="0.25"/>
    <row r="46453" hidden="1" x14ac:dyDescent="0.25"/>
    <row r="46454" hidden="1" x14ac:dyDescent="0.25"/>
    <row r="46455" hidden="1" x14ac:dyDescent="0.25"/>
    <row r="46456" hidden="1" x14ac:dyDescent="0.25"/>
    <row r="46457" hidden="1" x14ac:dyDescent="0.25"/>
    <row r="46458" hidden="1" x14ac:dyDescent="0.25"/>
    <row r="46459" hidden="1" x14ac:dyDescent="0.25"/>
    <row r="46460" hidden="1" x14ac:dyDescent="0.25"/>
    <row r="46461" hidden="1" x14ac:dyDescent="0.25"/>
    <row r="46462" hidden="1" x14ac:dyDescent="0.25"/>
    <row r="46463" hidden="1" x14ac:dyDescent="0.25"/>
    <row r="46464" hidden="1" x14ac:dyDescent="0.25"/>
    <row r="46465" hidden="1" x14ac:dyDescent="0.25"/>
    <row r="46466" hidden="1" x14ac:dyDescent="0.25"/>
    <row r="46467" hidden="1" x14ac:dyDescent="0.25"/>
    <row r="46468" hidden="1" x14ac:dyDescent="0.25"/>
    <row r="46469" hidden="1" x14ac:dyDescent="0.25"/>
    <row r="46470" hidden="1" x14ac:dyDescent="0.25"/>
    <row r="46471" hidden="1" x14ac:dyDescent="0.25"/>
    <row r="46472" hidden="1" x14ac:dyDescent="0.25"/>
    <row r="46473" hidden="1" x14ac:dyDescent="0.25"/>
    <row r="46474" hidden="1" x14ac:dyDescent="0.25"/>
    <row r="46475" hidden="1" x14ac:dyDescent="0.25"/>
    <row r="46476" hidden="1" x14ac:dyDescent="0.25"/>
    <row r="46477" hidden="1" x14ac:dyDescent="0.25"/>
    <row r="46478" hidden="1" x14ac:dyDescent="0.25"/>
    <row r="46479" hidden="1" x14ac:dyDescent="0.25"/>
    <row r="46480" hidden="1" x14ac:dyDescent="0.25"/>
    <row r="46481" hidden="1" x14ac:dyDescent="0.25"/>
    <row r="46482" hidden="1" x14ac:dyDescent="0.25"/>
    <row r="46483" hidden="1" x14ac:dyDescent="0.25"/>
    <row r="46484" hidden="1" x14ac:dyDescent="0.25"/>
    <row r="46485" hidden="1" x14ac:dyDescent="0.25"/>
    <row r="46486" hidden="1" x14ac:dyDescent="0.25"/>
    <row r="46487" hidden="1" x14ac:dyDescent="0.25"/>
    <row r="46488" hidden="1" x14ac:dyDescent="0.25"/>
    <row r="46489" hidden="1" x14ac:dyDescent="0.25"/>
    <row r="46490" hidden="1" x14ac:dyDescent="0.25"/>
    <row r="46491" hidden="1" x14ac:dyDescent="0.25"/>
    <row r="46492" hidden="1" x14ac:dyDescent="0.25"/>
    <row r="46493" hidden="1" x14ac:dyDescent="0.25"/>
    <row r="46494" hidden="1" x14ac:dyDescent="0.25"/>
    <row r="46495" hidden="1" x14ac:dyDescent="0.25"/>
    <row r="46496" hidden="1" x14ac:dyDescent="0.25"/>
    <row r="46497" hidden="1" x14ac:dyDescent="0.25"/>
    <row r="46498" hidden="1" x14ac:dyDescent="0.25"/>
    <row r="46499" hidden="1" x14ac:dyDescent="0.25"/>
    <row r="46500" hidden="1" x14ac:dyDescent="0.25"/>
    <row r="46501" hidden="1" x14ac:dyDescent="0.25"/>
    <row r="46502" hidden="1" x14ac:dyDescent="0.25"/>
    <row r="46503" hidden="1" x14ac:dyDescent="0.25"/>
    <row r="46504" hidden="1" x14ac:dyDescent="0.25"/>
    <row r="46505" hidden="1" x14ac:dyDescent="0.25"/>
    <row r="46506" hidden="1" x14ac:dyDescent="0.25"/>
    <row r="46507" hidden="1" x14ac:dyDescent="0.25"/>
    <row r="46508" hidden="1" x14ac:dyDescent="0.25"/>
    <row r="46509" hidden="1" x14ac:dyDescent="0.25"/>
    <row r="46510" hidden="1" x14ac:dyDescent="0.25"/>
    <row r="46511" hidden="1" x14ac:dyDescent="0.25"/>
    <row r="46512" hidden="1" x14ac:dyDescent="0.25"/>
    <row r="46513" hidden="1" x14ac:dyDescent="0.25"/>
    <row r="46514" hidden="1" x14ac:dyDescent="0.25"/>
    <row r="46515" hidden="1" x14ac:dyDescent="0.25"/>
    <row r="46516" hidden="1" x14ac:dyDescent="0.25"/>
    <row r="46517" hidden="1" x14ac:dyDescent="0.25"/>
    <row r="46518" hidden="1" x14ac:dyDescent="0.25"/>
    <row r="46519" hidden="1" x14ac:dyDescent="0.25"/>
    <row r="46520" hidden="1" x14ac:dyDescent="0.25"/>
    <row r="46521" hidden="1" x14ac:dyDescent="0.25"/>
    <row r="46522" hidden="1" x14ac:dyDescent="0.25"/>
    <row r="46523" hidden="1" x14ac:dyDescent="0.25"/>
    <row r="46524" hidden="1" x14ac:dyDescent="0.25"/>
    <row r="46525" hidden="1" x14ac:dyDescent="0.25"/>
    <row r="46526" hidden="1" x14ac:dyDescent="0.25"/>
    <row r="46527" hidden="1" x14ac:dyDescent="0.25"/>
    <row r="46528" hidden="1" x14ac:dyDescent="0.25"/>
    <row r="46529" hidden="1" x14ac:dyDescent="0.25"/>
    <row r="46530" hidden="1" x14ac:dyDescent="0.25"/>
    <row r="46531" hidden="1" x14ac:dyDescent="0.25"/>
    <row r="46532" hidden="1" x14ac:dyDescent="0.25"/>
    <row r="46533" hidden="1" x14ac:dyDescent="0.25"/>
    <row r="46534" hidden="1" x14ac:dyDescent="0.25"/>
    <row r="46535" hidden="1" x14ac:dyDescent="0.25"/>
    <row r="46536" hidden="1" x14ac:dyDescent="0.25"/>
    <row r="46537" hidden="1" x14ac:dyDescent="0.25"/>
    <row r="46538" hidden="1" x14ac:dyDescent="0.25"/>
    <row r="46539" hidden="1" x14ac:dyDescent="0.25"/>
    <row r="46540" hidden="1" x14ac:dyDescent="0.25"/>
    <row r="46541" hidden="1" x14ac:dyDescent="0.25"/>
    <row r="46542" hidden="1" x14ac:dyDescent="0.25"/>
    <row r="46543" hidden="1" x14ac:dyDescent="0.25"/>
    <row r="46544" hidden="1" x14ac:dyDescent="0.25"/>
    <row r="46545" hidden="1" x14ac:dyDescent="0.25"/>
    <row r="46546" hidden="1" x14ac:dyDescent="0.25"/>
    <row r="46547" hidden="1" x14ac:dyDescent="0.25"/>
    <row r="46548" hidden="1" x14ac:dyDescent="0.25"/>
    <row r="46549" hidden="1" x14ac:dyDescent="0.25"/>
    <row r="46550" hidden="1" x14ac:dyDescent="0.25"/>
    <row r="46551" hidden="1" x14ac:dyDescent="0.25"/>
    <row r="46552" hidden="1" x14ac:dyDescent="0.25"/>
    <row r="46553" hidden="1" x14ac:dyDescent="0.25"/>
    <row r="46554" hidden="1" x14ac:dyDescent="0.25"/>
    <row r="46555" hidden="1" x14ac:dyDescent="0.25"/>
    <row r="46556" hidden="1" x14ac:dyDescent="0.25"/>
    <row r="46557" hidden="1" x14ac:dyDescent="0.25"/>
    <row r="46558" hidden="1" x14ac:dyDescent="0.25"/>
    <row r="46559" hidden="1" x14ac:dyDescent="0.25"/>
    <row r="46560" hidden="1" x14ac:dyDescent="0.25"/>
    <row r="46561" hidden="1" x14ac:dyDescent="0.25"/>
    <row r="46562" hidden="1" x14ac:dyDescent="0.25"/>
    <row r="46563" hidden="1" x14ac:dyDescent="0.25"/>
    <row r="46564" hidden="1" x14ac:dyDescent="0.25"/>
    <row r="46565" hidden="1" x14ac:dyDescent="0.25"/>
    <row r="46566" hidden="1" x14ac:dyDescent="0.25"/>
    <row r="46567" hidden="1" x14ac:dyDescent="0.25"/>
    <row r="46568" hidden="1" x14ac:dyDescent="0.25"/>
    <row r="46569" hidden="1" x14ac:dyDescent="0.25"/>
    <row r="46570" hidden="1" x14ac:dyDescent="0.25"/>
    <row r="46571" hidden="1" x14ac:dyDescent="0.25"/>
    <row r="46572" hidden="1" x14ac:dyDescent="0.25"/>
    <row r="46573" hidden="1" x14ac:dyDescent="0.25"/>
    <row r="46574" hidden="1" x14ac:dyDescent="0.25"/>
    <row r="46575" hidden="1" x14ac:dyDescent="0.25"/>
    <row r="46576" hidden="1" x14ac:dyDescent="0.25"/>
    <row r="46577" hidden="1" x14ac:dyDescent="0.25"/>
    <row r="46578" hidden="1" x14ac:dyDescent="0.25"/>
    <row r="46579" hidden="1" x14ac:dyDescent="0.25"/>
    <row r="46580" hidden="1" x14ac:dyDescent="0.25"/>
    <row r="46581" hidden="1" x14ac:dyDescent="0.25"/>
    <row r="46582" hidden="1" x14ac:dyDescent="0.25"/>
    <row r="46583" hidden="1" x14ac:dyDescent="0.25"/>
    <row r="46584" hidden="1" x14ac:dyDescent="0.25"/>
    <row r="46585" hidden="1" x14ac:dyDescent="0.25"/>
    <row r="46586" hidden="1" x14ac:dyDescent="0.25"/>
    <row r="46587" hidden="1" x14ac:dyDescent="0.25"/>
    <row r="46588" hidden="1" x14ac:dyDescent="0.25"/>
    <row r="46589" hidden="1" x14ac:dyDescent="0.25"/>
    <row r="46590" hidden="1" x14ac:dyDescent="0.25"/>
    <row r="46591" hidden="1" x14ac:dyDescent="0.25"/>
    <row r="46592" hidden="1" x14ac:dyDescent="0.25"/>
    <row r="46593" hidden="1" x14ac:dyDescent="0.25"/>
    <row r="46594" hidden="1" x14ac:dyDescent="0.25"/>
    <row r="46595" hidden="1" x14ac:dyDescent="0.25"/>
    <row r="46596" hidden="1" x14ac:dyDescent="0.25"/>
    <row r="46597" hidden="1" x14ac:dyDescent="0.25"/>
    <row r="46598" hidden="1" x14ac:dyDescent="0.25"/>
    <row r="46599" hidden="1" x14ac:dyDescent="0.25"/>
    <row r="46600" hidden="1" x14ac:dyDescent="0.25"/>
    <row r="46601" hidden="1" x14ac:dyDescent="0.25"/>
    <row r="46602" hidden="1" x14ac:dyDescent="0.25"/>
    <row r="46603" hidden="1" x14ac:dyDescent="0.25"/>
    <row r="46604" hidden="1" x14ac:dyDescent="0.25"/>
    <row r="46605" hidden="1" x14ac:dyDescent="0.25"/>
    <row r="46606" hidden="1" x14ac:dyDescent="0.25"/>
    <row r="46607" hidden="1" x14ac:dyDescent="0.25"/>
    <row r="46608" hidden="1" x14ac:dyDescent="0.25"/>
    <row r="46609" hidden="1" x14ac:dyDescent="0.25"/>
    <row r="46610" hidden="1" x14ac:dyDescent="0.25"/>
    <row r="46611" hidden="1" x14ac:dyDescent="0.25"/>
    <row r="46612" hidden="1" x14ac:dyDescent="0.25"/>
    <row r="46613" hidden="1" x14ac:dyDescent="0.25"/>
    <row r="46614" hidden="1" x14ac:dyDescent="0.25"/>
    <row r="46615" hidden="1" x14ac:dyDescent="0.25"/>
    <row r="46616" hidden="1" x14ac:dyDescent="0.25"/>
    <row r="46617" hidden="1" x14ac:dyDescent="0.25"/>
    <row r="46618" hidden="1" x14ac:dyDescent="0.25"/>
    <row r="46619" hidden="1" x14ac:dyDescent="0.25"/>
    <row r="46620" hidden="1" x14ac:dyDescent="0.25"/>
    <row r="46621" hidden="1" x14ac:dyDescent="0.25"/>
    <row r="46622" hidden="1" x14ac:dyDescent="0.25"/>
    <row r="46623" hidden="1" x14ac:dyDescent="0.25"/>
    <row r="46624" hidden="1" x14ac:dyDescent="0.25"/>
    <row r="46625" hidden="1" x14ac:dyDescent="0.25"/>
    <row r="46626" hidden="1" x14ac:dyDescent="0.25"/>
    <row r="46627" hidden="1" x14ac:dyDescent="0.25"/>
    <row r="46628" hidden="1" x14ac:dyDescent="0.25"/>
    <row r="46629" hidden="1" x14ac:dyDescent="0.25"/>
    <row r="46630" hidden="1" x14ac:dyDescent="0.25"/>
    <row r="46631" hidden="1" x14ac:dyDescent="0.25"/>
    <row r="46632" hidden="1" x14ac:dyDescent="0.25"/>
    <row r="46633" hidden="1" x14ac:dyDescent="0.25"/>
    <row r="46634" hidden="1" x14ac:dyDescent="0.25"/>
    <row r="46635" hidden="1" x14ac:dyDescent="0.25"/>
    <row r="46636" hidden="1" x14ac:dyDescent="0.25"/>
    <row r="46637" hidden="1" x14ac:dyDescent="0.25"/>
    <row r="46638" hidden="1" x14ac:dyDescent="0.25"/>
    <row r="46639" hidden="1" x14ac:dyDescent="0.25"/>
    <row r="46640" hidden="1" x14ac:dyDescent="0.25"/>
    <row r="46641" hidden="1" x14ac:dyDescent="0.25"/>
    <row r="46642" hidden="1" x14ac:dyDescent="0.25"/>
    <row r="46643" hidden="1" x14ac:dyDescent="0.25"/>
    <row r="46644" hidden="1" x14ac:dyDescent="0.25"/>
    <row r="46645" hidden="1" x14ac:dyDescent="0.25"/>
    <row r="46646" hidden="1" x14ac:dyDescent="0.25"/>
    <row r="46647" hidden="1" x14ac:dyDescent="0.25"/>
    <row r="46648" hidden="1" x14ac:dyDescent="0.25"/>
    <row r="46649" hidden="1" x14ac:dyDescent="0.25"/>
    <row r="46650" hidden="1" x14ac:dyDescent="0.25"/>
    <row r="46651" hidden="1" x14ac:dyDescent="0.25"/>
    <row r="46652" hidden="1" x14ac:dyDescent="0.25"/>
    <row r="46653" hidden="1" x14ac:dyDescent="0.25"/>
    <row r="46654" hidden="1" x14ac:dyDescent="0.25"/>
    <row r="46655" hidden="1" x14ac:dyDescent="0.25"/>
    <row r="46656" hidden="1" x14ac:dyDescent="0.25"/>
    <row r="46657" hidden="1" x14ac:dyDescent="0.25"/>
    <row r="46658" hidden="1" x14ac:dyDescent="0.25"/>
    <row r="46659" hidden="1" x14ac:dyDescent="0.25"/>
    <row r="46660" hidden="1" x14ac:dyDescent="0.25"/>
    <row r="46661" hidden="1" x14ac:dyDescent="0.25"/>
    <row r="46662" hidden="1" x14ac:dyDescent="0.25"/>
    <row r="46663" hidden="1" x14ac:dyDescent="0.25"/>
    <row r="46664" hidden="1" x14ac:dyDescent="0.25"/>
    <row r="46665" hidden="1" x14ac:dyDescent="0.25"/>
    <row r="46666" hidden="1" x14ac:dyDescent="0.25"/>
    <row r="46667" hidden="1" x14ac:dyDescent="0.25"/>
    <row r="46668" hidden="1" x14ac:dyDescent="0.25"/>
    <row r="46669" hidden="1" x14ac:dyDescent="0.25"/>
    <row r="46670" hidden="1" x14ac:dyDescent="0.25"/>
    <row r="46671" hidden="1" x14ac:dyDescent="0.25"/>
    <row r="46672" hidden="1" x14ac:dyDescent="0.25"/>
    <row r="46673" hidden="1" x14ac:dyDescent="0.25"/>
    <row r="46674" hidden="1" x14ac:dyDescent="0.25"/>
    <row r="46675" hidden="1" x14ac:dyDescent="0.25"/>
    <row r="46676" hidden="1" x14ac:dyDescent="0.25"/>
    <row r="46677" hidden="1" x14ac:dyDescent="0.25"/>
    <row r="46678" hidden="1" x14ac:dyDescent="0.25"/>
    <row r="46679" hidden="1" x14ac:dyDescent="0.25"/>
    <row r="46680" hidden="1" x14ac:dyDescent="0.25"/>
    <row r="46681" hidden="1" x14ac:dyDescent="0.25"/>
    <row r="46682" hidden="1" x14ac:dyDescent="0.25"/>
    <row r="46683" hidden="1" x14ac:dyDescent="0.25"/>
    <row r="46684" hidden="1" x14ac:dyDescent="0.25"/>
    <row r="46685" hidden="1" x14ac:dyDescent="0.25"/>
    <row r="46686" hidden="1" x14ac:dyDescent="0.25"/>
    <row r="46687" hidden="1" x14ac:dyDescent="0.25"/>
    <row r="46688" hidden="1" x14ac:dyDescent="0.25"/>
    <row r="46689" hidden="1" x14ac:dyDescent="0.25"/>
    <row r="46690" hidden="1" x14ac:dyDescent="0.25"/>
    <row r="46691" hidden="1" x14ac:dyDescent="0.25"/>
    <row r="46692" hidden="1" x14ac:dyDescent="0.25"/>
    <row r="46693" hidden="1" x14ac:dyDescent="0.25"/>
    <row r="46694" hidden="1" x14ac:dyDescent="0.25"/>
    <row r="46695" hidden="1" x14ac:dyDescent="0.25"/>
    <row r="46696" hidden="1" x14ac:dyDescent="0.25"/>
    <row r="46697" hidden="1" x14ac:dyDescent="0.25"/>
    <row r="46698" hidden="1" x14ac:dyDescent="0.25"/>
    <row r="46699" hidden="1" x14ac:dyDescent="0.25"/>
    <row r="46700" hidden="1" x14ac:dyDescent="0.25"/>
    <row r="46701" hidden="1" x14ac:dyDescent="0.25"/>
    <row r="46702" hidden="1" x14ac:dyDescent="0.25"/>
    <row r="46703" hidden="1" x14ac:dyDescent="0.25"/>
    <row r="46704" hidden="1" x14ac:dyDescent="0.25"/>
    <row r="46705" hidden="1" x14ac:dyDescent="0.25"/>
    <row r="46706" hidden="1" x14ac:dyDescent="0.25"/>
    <row r="46707" hidden="1" x14ac:dyDescent="0.25"/>
    <row r="46708" hidden="1" x14ac:dyDescent="0.25"/>
    <row r="46709" hidden="1" x14ac:dyDescent="0.25"/>
    <row r="46710" hidden="1" x14ac:dyDescent="0.25"/>
    <row r="46711" hidden="1" x14ac:dyDescent="0.25"/>
    <row r="46712" hidden="1" x14ac:dyDescent="0.25"/>
    <row r="46713" hidden="1" x14ac:dyDescent="0.25"/>
    <row r="46714" hidden="1" x14ac:dyDescent="0.25"/>
    <row r="46715" hidden="1" x14ac:dyDescent="0.25"/>
    <row r="46716" hidden="1" x14ac:dyDescent="0.25"/>
    <row r="46717" hidden="1" x14ac:dyDescent="0.25"/>
    <row r="46718" hidden="1" x14ac:dyDescent="0.25"/>
    <row r="46719" hidden="1" x14ac:dyDescent="0.25"/>
    <row r="46720" hidden="1" x14ac:dyDescent="0.25"/>
    <row r="46721" hidden="1" x14ac:dyDescent="0.25"/>
    <row r="46722" hidden="1" x14ac:dyDescent="0.25"/>
    <row r="46723" hidden="1" x14ac:dyDescent="0.25"/>
    <row r="46724" hidden="1" x14ac:dyDescent="0.25"/>
    <row r="46725" hidden="1" x14ac:dyDescent="0.25"/>
    <row r="46726" hidden="1" x14ac:dyDescent="0.25"/>
    <row r="46727" hidden="1" x14ac:dyDescent="0.25"/>
    <row r="46728" hidden="1" x14ac:dyDescent="0.25"/>
    <row r="46729" hidden="1" x14ac:dyDescent="0.25"/>
    <row r="46730" hidden="1" x14ac:dyDescent="0.25"/>
    <row r="46731" hidden="1" x14ac:dyDescent="0.25"/>
    <row r="46732" hidden="1" x14ac:dyDescent="0.25"/>
    <row r="46733" hidden="1" x14ac:dyDescent="0.25"/>
    <row r="46734" hidden="1" x14ac:dyDescent="0.25"/>
    <row r="46735" hidden="1" x14ac:dyDescent="0.25"/>
    <row r="46736" hidden="1" x14ac:dyDescent="0.25"/>
    <row r="46737" hidden="1" x14ac:dyDescent="0.25"/>
    <row r="46738" hidden="1" x14ac:dyDescent="0.25"/>
    <row r="46739" hidden="1" x14ac:dyDescent="0.25"/>
    <row r="46740" hidden="1" x14ac:dyDescent="0.25"/>
    <row r="46741" hidden="1" x14ac:dyDescent="0.25"/>
    <row r="46742" hidden="1" x14ac:dyDescent="0.25"/>
    <row r="46743" hidden="1" x14ac:dyDescent="0.25"/>
    <row r="46744" hidden="1" x14ac:dyDescent="0.25"/>
    <row r="46745" hidden="1" x14ac:dyDescent="0.25"/>
    <row r="46746" hidden="1" x14ac:dyDescent="0.25"/>
    <row r="46747" hidden="1" x14ac:dyDescent="0.25"/>
    <row r="46748" hidden="1" x14ac:dyDescent="0.25"/>
    <row r="46749" hidden="1" x14ac:dyDescent="0.25"/>
    <row r="46750" hidden="1" x14ac:dyDescent="0.25"/>
    <row r="46751" hidden="1" x14ac:dyDescent="0.25"/>
    <row r="46752" hidden="1" x14ac:dyDescent="0.25"/>
    <row r="46753" hidden="1" x14ac:dyDescent="0.25"/>
    <row r="46754" hidden="1" x14ac:dyDescent="0.25"/>
    <row r="46755" hidden="1" x14ac:dyDescent="0.25"/>
    <row r="46756" hidden="1" x14ac:dyDescent="0.25"/>
    <row r="46757" hidden="1" x14ac:dyDescent="0.25"/>
    <row r="46758" hidden="1" x14ac:dyDescent="0.25"/>
    <row r="46759" hidden="1" x14ac:dyDescent="0.25"/>
    <row r="46760" hidden="1" x14ac:dyDescent="0.25"/>
    <row r="46761" hidden="1" x14ac:dyDescent="0.25"/>
    <row r="46762" hidden="1" x14ac:dyDescent="0.25"/>
    <row r="46763" hidden="1" x14ac:dyDescent="0.25"/>
    <row r="46764" hidden="1" x14ac:dyDescent="0.25"/>
    <row r="46765" hidden="1" x14ac:dyDescent="0.25"/>
    <row r="46766" hidden="1" x14ac:dyDescent="0.25"/>
    <row r="46767" hidden="1" x14ac:dyDescent="0.25"/>
    <row r="46768" hidden="1" x14ac:dyDescent="0.25"/>
    <row r="46769" hidden="1" x14ac:dyDescent="0.25"/>
    <row r="46770" hidden="1" x14ac:dyDescent="0.25"/>
    <row r="46771" hidden="1" x14ac:dyDescent="0.25"/>
    <row r="46772" hidden="1" x14ac:dyDescent="0.25"/>
    <row r="46773" hidden="1" x14ac:dyDescent="0.25"/>
    <row r="46774" hidden="1" x14ac:dyDescent="0.25"/>
    <row r="46775" hidden="1" x14ac:dyDescent="0.25"/>
    <row r="46776" hidden="1" x14ac:dyDescent="0.25"/>
    <row r="46777" hidden="1" x14ac:dyDescent="0.25"/>
    <row r="46778" hidden="1" x14ac:dyDescent="0.25"/>
    <row r="46779" hidden="1" x14ac:dyDescent="0.25"/>
    <row r="46780" hidden="1" x14ac:dyDescent="0.25"/>
    <row r="46781" hidden="1" x14ac:dyDescent="0.25"/>
    <row r="46782" hidden="1" x14ac:dyDescent="0.25"/>
    <row r="46783" hidden="1" x14ac:dyDescent="0.25"/>
    <row r="46784" hidden="1" x14ac:dyDescent="0.25"/>
    <row r="46785" hidden="1" x14ac:dyDescent="0.25"/>
    <row r="46786" hidden="1" x14ac:dyDescent="0.25"/>
    <row r="46787" hidden="1" x14ac:dyDescent="0.25"/>
    <row r="46788" hidden="1" x14ac:dyDescent="0.25"/>
    <row r="46789" hidden="1" x14ac:dyDescent="0.25"/>
    <row r="46790" hidden="1" x14ac:dyDescent="0.25"/>
    <row r="46791" hidden="1" x14ac:dyDescent="0.25"/>
    <row r="46792" hidden="1" x14ac:dyDescent="0.25"/>
    <row r="46793" hidden="1" x14ac:dyDescent="0.25"/>
    <row r="46794" hidden="1" x14ac:dyDescent="0.25"/>
    <row r="46795" hidden="1" x14ac:dyDescent="0.25"/>
    <row r="46796" hidden="1" x14ac:dyDescent="0.25"/>
    <row r="46797" hidden="1" x14ac:dyDescent="0.25"/>
    <row r="46798" hidden="1" x14ac:dyDescent="0.25"/>
    <row r="46799" hidden="1" x14ac:dyDescent="0.25"/>
    <row r="46800" hidden="1" x14ac:dyDescent="0.25"/>
    <row r="46801" hidden="1" x14ac:dyDescent="0.25"/>
    <row r="46802" hidden="1" x14ac:dyDescent="0.25"/>
    <row r="46803" hidden="1" x14ac:dyDescent="0.25"/>
    <row r="46804" hidden="1" x14ac:dyDescent="0.25"/>
    <row r="46805" hidden="1" x14ac:dyDescent="0.25"/>
    <row r="46806" hidden="1" x14ac:dyDescent="0.25"/>
    <row r="46807" hidden="1" x14ac:dyDescent="0.25"/>
    <row r="46808" hidden="1" x14ac:dyDescent="0.25"/>
    <row r="46809" hidden="1" x14ac:dyDescent="0.25"/>
    <row r="46810" hidden="1" x14ac:dyDescent="0.25"/>
    <row r="46811" hidden="1" x14ac:dyDescent="0.25"/>
    <row r="46812" hidden="1" x14ac:dyDescent="0.25"/>
    <row r="46813" hidden="1" x14ac:dyDescent="0.25"/>
    <row r="46814" hidden="1" x14ac:dyDescent="0.25"/>
    <row r="46815" hidden="1" x14ac:dyDescent="0.25"/>
    <row r="46816" hidden="1" x14ac:dyDescent="0.25"/>
    <row r="46817" hidden="1" x14ac:dyDescent="0.25"/>
    <row r="46818" hidden="1" x14ac:dyDescent="0.25"/>
    <row r="46819" hidden="1" x14ac:dyDescent="0.25"/>
    <row r="46820" hidden="1" x14ac:dyDescent="0.25"/>
    <row r="46821" hidden="1" x14ac:dyDescent="0.25"/>
    <row r="46822" hidden="1" x14ac:dyDescent="0.25"/>
    <row r="46823" hidden="1" x14ac:dyDescent="0.25"/>
    <row r="46824" hidden="1" x14ac:dyDescent="0.25"/>
    <row r="46825" hidden="1" x14ac:dyDescent="0.25"/>
    <row r="46826" hidden="1" x14ac:dyDescent="0.25"/>
    <row r="46827" hidden="1" x14ac:dyDescent="0.25"/>
    <row r="46828" hidden="1" x14ac:dyDescent="0.25"/>
    <row r="46829" hidden="1" x14ac:dyDescent="0.25"/>
    <row r="46830" hidden="1" x14ac:dyDescent="0.25"/>
    <row r="46831" hidden="1" x14ac:dyDescent="0.25"/>
    <row r="46832" hidden="1" x14ac:dyDescent="0.25"/>
    <row r="46833" hidden="1" x14ac:dyDescent="0.25"/>
    <row r="46834" hidden="1" x14ac:dyDescent="0.25"/>
    <row r="46835" hidden="1" x14ac:dyDescent="0.25"/>
    <row r="46836" hidden="1" x14ac:dyDescent="0.25"/>
    <row r="46837" hidden="1" x14ac:dyDescent="0.25"/>
    <row r="46838" hidden="1" x14ac:dyDescent="0.25"/>
    <row r="46839" hidden="1" x14ac:dyDescent="0.25"/>
    <row r="46840" hidden="1" x14ac:dyDescent="0.25"/>
    <row r="46841" hidden="1" x14ac:dyDescent="0.25"/>
    <row r="46842" hidden="1" x14ac:dyDescent="0.25"/>
    <row r="46843" hidden="1" x14ac:dyDescent="0.25"/>
    <row r="46844" hidden="1" x14ac:dyDescent="0.25"/>
    <row r="46845" hidden="1" x14ac:dyDescent="0.25"/>
    <row r="46846" hidden="1" x14ac:dyDescent="0.25"/>
    <row r="46847" hidden="1" x14ac:dyDescent="0.25"/>
    <row r="46848" hidden="1" x14ac:dyDescent="0.25"/>
    <row r="46849" hidden="1" x14ac:dyDescent="0.25"/>
    <row r="46850" hidden="1" x14ac:dyDescent="0.25"/>
    <row r="46851" hidden="1" x14ac:dyDescent="0.25"/>
    <row r="46852" hidden="1" x14ac:dyDescent="0.25"/>
    <row r="46853" hidden="1" x14ac:dyDescent="0.25"/>
    <row r="46854" hidden="1" x14ac:dyDescent="0.25"/>
    <row r="46855" hidden="1" x14ac:dyDescent="0.25"/>
    <row r="46856" hidden="1" x14ac:dyDescent="0.25"/>
    <row r="46857" hidden="1" x14ac:dyDescent="0.25"/>
    <row r="46858" hidden="1" x14ac:dyDescent="0.25"/>
    <row r="46859" hidden="1" x14ac:dyDescent="0.25"/>
    <row r="46860" hidden="1" x14ac:dyDescent="0.25"/>
    <row r="46861" hidden="1" x14ac:dyDescent="0.25"/>
    <row r="46862" hidden="1" x14ac:dyDescent="0.25"/>
    <row r="46863" hidden="1" x14ac:dyDescent="0.25"/>
    <row r="46864" hidden="1" x14ac:dyDescent="0.25"/>
    <row r="46865" hidden="1" x14ac:dyDescent="0.25"/>
    <row r="46866" hidden="1" x14ac:dyDescent="0.25"/>
    <row r="46867" hidden="1" x14ac:dyDescent="0.25"/>
    <row r="46868" hidden="1" x14ac:dyDescent="0.25"/>
    <row r="46869" hidden="1" x14ac:dyDescent="0.25"/>
    <row r="46870" hidden="1" x14ac:dyDescent="0.25"/>
    <row r="46871" hidden="1" x14ac:dyDescent="0.25"/>
    <row r="46872" hidden="1" x14ac:dyDescent="0.25"/>
    <row r="46873" hidden="1" x14ac:dyDescent="0.25"/>
    <row r="46874" hidden="1" x14ac:dyDescent="0.25"/>
    <row r="46875" hidden="1" x14ac:dyDescent="0.25"/>
    <row r="46876" hidden="1" x14ac:dyDescent="0.25"/>
    <row r="46877" hidden="1" x14ac:dyDescent="0.25"/>
    <row r="46878" hidden="1" x14ac:dyDescent="0.25"/>
    <row r="46879" hidden="1" x14ac:dyDescent="0.25"/>
    <row r="46880" hidden="1" x14ac:dyDescent="0.25"/>
    <row r="46881" hidden="1" x14ac:dyDescent="0.25"/>
    <row r="46882" hidden="1" x14ac:dyDescent="0.25"/>
    <row r="46883" hidden="1" x14ac:dyDescent="0.25"/>
    <row r="46884" hidden="1" x14ac:dyDescent="0.25"/>
    <row r="46885" hidden="1" x14ac:dyDescent="0.25"/>
    <row r="46886" hidden="1" x14ac:dyDescent="0.25"/>
    <row r="46887" hidden="1" x14ac:dyDescent="0.25"/>
    <row r="46888" hidden="1" x14ac:dyDescent="0.25"/>
    <row r="46889" hidden="1" x14ac:dyDescent="0.25"/>
    <row r="46890" hidden="1" x14ac:dyDescent="0.25"/>
    <row r="46891" hidden="1" x14ac:dyDescent="0.25"/>
    <row r="46892" hidden="1" x14ac:dyDescent="0.25"/>
    <row r="46893" hidden="1" x14ac:dyDescent="0.25"/>
    <row r="46894" hidden="1" x14ac:dyDescent="0.25"/>
    <row r="46895" hidden="1" x14ac:dyDescent="0.25"/>
    <row r="46896" hidden="1" x14ac:dyDescent="0.25"/>
    <row r="46897" hidden="1" x14ac:dyDescent="0.25"/>
    <row r="46898" hidden="1" x14ac:dyDescent="0.25"/>
    <row r="46899" hidden="1" x14ac:dyDescent="0.25"/>
    <row r="46900" hidden="1" x14ac:dyDescent="0.25"/>
    <row r="46901" hidden="1" x14ac:dyDescent="0.25"/>
    <row r="46902" hidden="1" x14ac:dyDescent="0.25"/>
    <row r="46903" hidden="1" x14ac:dyDescent="0.25"/>
    <row r="46904" hidden="1" x14ac:dyDescent="0.25"/>
    <row r="46905" hidden="1" x14ac:dyDescent="0.25"/>
    <row r="46906" hidden="1" x14ac:dyDescent="0.25"/>
    <row r="46907" hidden="1" x14ac:dyDescent="0.25"/>
    <row r="46908" hidden="1" x14ac:dyDescent="0.25"/>
    <row r="46909" hidden="1" x14ac:dyDescent="0.25"/>
    <row r="46910" hidden="1" x14ac:dyDescent="0.25"/>
    <row r="46911" hidden="1" x14ac:dyDescent="0.25"/>
    <row r="46912" hidden="1" x14ac:dyDescent="0.25"/>
    <row r="46913" hidden="1" x14ac:dyDescent="0.25"/>
    <row r="46914" hidden="1" x14ac:dyDescent="0.25"/>
    <row r="46915" hidden="1" x14ac:dyDescent="0.25"/>
    <row r="46916" hidden="1" x14ac:dyDescent="0.25"/>
    <row r="46917" hidden="1" x14ac:dyDescent="0.25"/>
    <row r="46918" hidden="1" x14ac:dyDescent="0.25"/>
    <row r="46919" hidden="1" x14ac:dyDescent="0.25"/>
    <row r="46920" hidden="1" x14ac:dyDescent="0.25"/>
    <row r="46921" hidden="1" x14ac:dyDescent="0.25"/>
    <row r="46922" hidden="1" x14ac:dyDescent="0.25"/>
    <row r="46923" hidden="1" x14ac:dyDescent="0.25"/>
    <row r="46924" hidden="1" x14ac:dyDescent="0.25"/>
    <row r="46925" hidden="1" x14ac:dyDescent="0.25"/>
    <row r="46926" hidden="1" x14ac:dyDescent="0.25"/>
    <row r="46927" hidden="1" x14ac:dyDescent="0.25"/>
    <row r="46928" hidden="1" x14ac:dyDescent="0.25"/>
    <row r="46929" hidden="1" x14ac:dyDescent="0.25"/>
    <row r="46930" hidden="1" x14ac:dyDescent="0.25"/>
    <row r="46931" hidden="1" x14ac:dyDescent="0.25"/>
    <row r="46932" hidden="1" x14ac:dyDescent="0.25"/>
    <row r="46933" hidden="1" x14ac:dyDescent="0.25"/>
    <row r="46934" hidden="1" x14ac:dyDescent="0.25"/>
    <row r="46935" hidden="1" x14ac:dyDescent="0.25"/>
    <row r="46936" hidden="1" x14ac:dyDescent="0.25"/>
    <row r="46937" hidden="1" x14ac:dyDescent="0.25"/>
    <row r="46938" hidden="1" x14ac:dyDescent="0.25"/>
    <row r="46939" hidden="1" x14ac:dyDescent="0.25"/>
    <row r="46940" hidden="1" x14ac:dyDescent="0.25"/>
    <row r="46941" hidden="1" x14ac:dyDescent="0.25"/>
    <row r="46942" hidden="1" x14ac:dyDescent="0.25"/>
    <row r="46943" hidden="1" x14ac:dyDescent="0.25"/>
    <row r="46944" hidden="1" x14ac:dyDescent="0.25"/>
    <row r="46945" hidden="1" x14ac:dyDescent="0.25"/>
    <row r="46946" hidden="1" x14ac:dyDescent="0.25"/>
    <row r="46947" hidden="1" x14ac:dyDescent="0.25"/>
    <row r="46948" hidden="1" x14ac:dyDescent="0.25"/>
    <row r="46949" hidden="1" x14ac:dyDescent="0.25"/>
    <row r="46950" hidden="1" x14ac:dyDescent="0.25"/>
    <row r="46951" hidden="1" x14ac:dyDescent="0.25"/>
    <row r="46952" hidden="1" x14ac:dyDescent="0.25"/>
    <row r="46953" hidden="1" x14ac:dyDescent="0.25"/>
    <row r="46954" hidden="1" x14ac:dyDescent="0.25"/>
    <row r="46955" hidden="1" x14ac:dyDescent="0.25"/>
    <row r="46956" hidden="1" x14ac:dyDescent="0.25"/>
    <row r="46957" hidden="1" x14ac:dyDescent="0.25"/>
    <row r="46958" hidden="1" x14ac:dyDescent="0.25"/>
    <row r="46959" hidden="1" x14ac:dyDescent="0.25"/>
    <row r="46960" hidden="1" x14ac:dyDescent="0.25"/>
    <row r="46961" hidden="1" x14ac:dyDescent="0.25"/>
    <row r="46962" hidden="1" x14ac:dyDescent="0.25"/>
    <row r="46963" hidden="1" x14ac:dyDescent="0.25"/>
    <row r="46964" hidden="1" x14ac:dyDescent="0.25"/>
    <row r="46965" hidden="1" x14ac:dyDescent="0.25"/>
    <row r="46966" hidden="1" x14ac:dyDescent="0.25"/>
    <row r="46967" hidden="1" x14ac:dyDescent="0.25"/>
    <row r="46968" hidden="1" x14ac:dyDescent="0.25"/>
    <row r="46969" hidden="1" x14ac:dyDescent="0.25"/>
    <row r="46970" hidden="1" x14ac:dyDescent="0.25"/>
    <row r="46971" hidden="1" x14ac:dyDescent="0.25"/>
    <row r="46972" hidden="1" x14ac:dyDescent="0.25"/>
    <row r="46973" hidden="1" x14ac:dyDescent="0.25"/>
    <row r="46974" hidden="1" x14ac:dyDescent="0.25"/>
    <row r="46975" hidden="1" x14ac:dyDescent="0.25"/>
    <row r="46976" hidden="1" x14ac:dyDescent="0.25"/>
    <row r="46977" hidden="1" x14ac:dyDescent="0.25"/>
    <row r="46978" hidden="1" x14ac:dyDescent="0.25"/>
    <row r="46979" hidden="1" x14ac:dyDescent="0.25"/>
    <row r="46980" hidden="1" x14ac:dyDescent="0.25"/>
    <row r="46981" hidden="1" x14ac:dyDescent="0.25"/>
    <row r="46982" hidden="1" x14ac:dyDescent="0.25"/>
    <row r="46983" hidden="1" x14ac:dyDescent="0.25"/>
    <row r="46984" hidden="1" x14ac:dyDescent="0.25"/>
    <row r="46985" hidden="1" x14ac:dyDescent="0.25"/>
    <row r="46986" hidden="1" x14ac:dyDescent="0.25"/>
    <row r="46987" hidden="1" x14ac:dyDescent="0.25"/>
    <row r="46988" hidden="1" x14ac:dyDescent="0.25"/>
    <row r="46989" hidden="1" x14ac:dyDescent="0.25"/>
    <row r="46990" hidden="1" x14ac:dyDescent="0.25"/>
    <row r="46991" hidden="1" x14ac:dyDescent="0.25"/>
    <row r="46992" hidden="1" x14ac:dyDescent="0.25"/>
    <row r="46993" hidden="1" x14ac:dyDescent="0.25"/>
    <row r="46994" hidden="1" x14ac:dyDescent="0.25"/>
    <row r="46995" hidden="1" x14ac:dyDescent="0.25"/>
    <row r="46996" hidden="1" x14ac:dyDescent="0.25"/>
    <row r="46997" hidden="1" x14ac:dyDescent="0.25"/>
    <row r="46998" hidden="1" x14ac:dyDescent="0.25"/>
    <row r="46999" hidden="1" x14ac:dyDescent="0.25"/>
    <row r="47000" hidden="1" x14ac:dyDescent="0.25"/>
    <row r="47001" hidden="1" x14ac:dyDescent="0.25"/>
    <row r="47002" hidden="1" x14ac:dyDescent="0.25"/>
    <row r="47003" hidden="1" x14ac:dyDescent="0.25"/>
    <row r="47004" hidden="1" x14ac:dyDescent="0.25"/>
    <row r="47005" hidden="1" x14ac:dyDescent="0.25"/>
    <row r="47006" hidden="1" x14ac:dyDescent="0.25"/>
    <row r="47007" hidden="1" x14ac:dyDescent="0.25"/>
    <row r="47008" hidden="1" x14ac:dyDescent="0.25"/>
    <row r="47009" hidden="1" x14ac:dyDescent="0.25"/>
    <row r="47010" hidden="1" x14ac:dyDescent="0.25"/>
    <row r="47011" hidden="1" x14ac:dyDescent="0.25"/>
    <row r="47012" hidden="1" x14ac:dyDescent="0.25"/>
    <row r="47013" hidden="1" x14ac:dyDescent="0.25"/>
    <row r="47014" hidden="1" x14ac:dyDescent="0.25"/>
    <row r="47015" hidden="1" x14ac:dyDescent="0.25"/>
    <row r="47016" hidden="1" x14ac:dyDescent="0.25"/>
    <row r="47017" hidden="1" x14ac:dyDescent="0.25"/>
    <row r="47018" hidden="1" x14ac:dyDescent="0.25"/>
    <row r="47019" hidden="1" x14ac:dyDescent="0.25"/>
    <row r="47020" hidden="1" x14ac:dyDescent="0.25"/>
    <row r="47021" hidden="1" x14ac:dyDescent="0.25"/>
    <row r="47022" hidden="1" x14ac:dyDescent="0.25"/>
    <row r="47023" hidden="1" x14ac:dyDescent="0.25"/>
    <row r="47024" hidden="1" x14ac:dyDescent="0.25"/>
    <row r="47025" hidden="1" x14ac:dyDescent="0.25"/>
    <row r="47026" hidden="1" x14ac:dyDescent="0.25"/>
    <row r="47027" hidden="1" x14ac:dyDescent="0.25"/>
    <row r="47028" hidden="1" x14ac:dyDescent="0.25"/>
    <row r="47029" hidden="1" x14ac:dyDescent="0.25"/>
    <row r="47030" hidden="1" x14ac:dyDescent="0.25"/>
    <row r="47031" hidden="1" x14ac:dyDescent="0.25"/>
    <row r="47032" hidden="1" x14ac:dyDescent="0.25"/>
    <row r="47033" hidden="1" x14ac:dyDescent="0.25"/>
    <row r="47034" hidden="1" x14ac:dyDescent="0.25"/>
    <row r="47035" hidden="1" x14ac:dyDescent="0.25"/>
    <row r="47036" hidden="1" x14ac:dyDescent="0.25"/>
    <row r="47037" hidden="1" x14ac:dyDescent="0.25"/>
    <row r="47038" hidden="1" x14ac:dyDescent="0.25"/>
    <row r="47039" hidden="1" x14ac:dyDescent="0.25"/>
    <row r="47040" hidden="1" x14ac:dyDescent="0.25"/>
    <row r="47041" hidden="1" x14ac:dyDescent="0.25"/>
    <row r="47042" hidden="1" x14ac:dyDescent="0.25"/>
    <row r="47043" hidden="1" x14ac:dyDescent="0.25"/>
    <row r="47044" hidden="1" x14ac:dyDescent="0.25"/>
    <row r="47045" hidden="1" x14ac:dyDescent="0.25"/>
    <row r="47046" hidden="1" x14ac:dyDescent="0.25"/>
    <row r="47047" hidden="1" x14ac:dyDescent="0.25"/>
    <row r="47048" hidden="1" x14ac:dyDescent="0.25"/>
    <row r="47049" hidden="1" x14ac:dyDescent="0.25"/>
    <row r="47050" hidden="1" x14ac:dyDescent="0.25"/>
    <row r="47051" hidden="1" x14ac:dyDescent="0.25"/>
    <row r="47052" hidden="1" x14ac:dyDescent="0.25"/>
    <row r="47053" hidden="1" x14ac:dyDescent="0.25"/>
    <row r="47054" hidden="1" x14ac:dyDescent="0.25"/>
    <row r="47055" hidden="1" x14ac:dyDescent="0.25"/>
    <row r="47056" hidden="1" x14ac:dyDescent="0.25"/>
    <row r="47057" hidden="1" x14ac:dyDescent="0.25"/>
    <row r="47058" hidden="1" x14ac:dyDescent="0.25"/>
    <row r="47059" hidden="1" x14ac:dyDescent="0.25"/>
    <row r="47060" hidden="1" x14ac:dyDescent="0.25"/>
    <row r="47061" hidden="1" x14ac:dyDescent="0.25"/>
    <row r="47062" hidden="1" x14ac:dyDescent="0.25"/>
    <row r="47063" hidden="1" x14ac:dyDescent="0.25"/>
    <row r="47064" hidden="1" x14ac:dyDescent="0.25"/>
    <row r="47065" hidden="1" x14ac:dyDescent="0.25"/>
    <row r="47066" hidden="1" x14ac:dyDescent="0.25"/>
    <row r="47067" hidden="1" x14ac:dyDescent="0.25"/>
    <row r="47068" hidden="1" x14ac:dyDescent="0.25"/>
    <row r="47069" hidden="1" x14ac:dyDescent="0.25"/>
    <row r="47070" hidden="1" x14ac:dyDescent="0.25"/>
    <row r="47071" hidden="1" x14ac:dyDescent="0.25"/>
    <row r="47072" hidden="1" x14ac:dyDescent="0.25"/>
    <row r="47073" hidden="1" x14ac:dyDescent="0.25"/>
    <row r="47074" hidden="1" x14ac:dyDescent="0.25"/>
    <row r="47075" hidden="1" x14ac:dyDescent="0.25"/>
    <row r="47076" hidden="1" x14ac:dyDescent="0.25"/>
    <row r="47077" hidden="1" x14ac:dyDescent="0.25"/>
    <row r="47078" hidden="1" x14ac:dyDescent="0.25"/>
    <row r="47079" hidden="1" x14ac:dyDescent="0.25"/>
    <row r="47080" hidden="1" x14ac:dyDescent="0.25"/>
    <row r="47081" hidden="1" x14ac:dyDescent="0.25"/>
    <row r="47082" hidden="1" x14ac:dyDescent="0.25"/>
    <row r="47083" hidden="1" x14ac:dyDescent="0.25"/>
    <row r="47084" hidden="1" x14ac:dyDescent="0.25"/>
    <row r="47085" hidden="1" x14ac:dyDescent="0.25"/>
    <row r="47086" hidden="1" x14ac:dyDescent="0.25"/>
    <row r="47087" hidden="1" x14ac:dyDescent="0.25"/>
    <row r="47088" hidden="1" x14ac:dyDescent="0.25"/>
    <row r="47089" hidden="1" x14ac:dyDescent="0.25"/>
    <row r="47090" hidden="1" x14ac:dyDescent="0.25"/>
    <row r="47091" hidden="1" x14ac:dyDescent="0.25"/>
    <row r="47092" hidden="1" x14ac:dyDescent="0.25"/>
    <row r="47093" hidden="1" x14ac:dyDescent="0.25"/>
    <row r="47094" hidden="1" x14ac:dyDescent="0.25"/>
    <row r="47095" hidden="1" x14ac:dyDescent="0.25"/>
    <row r="47096" hidden="1" x14ac:dyDescent="0.25"/>
    <row r="47097" hidden="1" x14ac:dyDescent="0.25"/>
    <row r="47098" hidden="1" x14ac:dyDescent="0.25"/>
    <row r="47099" hidden="1" x14ac:dyDescent="0.25"/>
    <row r="47100" hidden="1" x14ac:dyDescent="0.25"/>
    <row r="47101" hidden="1" x14ac:dyDescent="0.25"/>
    <row r="47102" hidden="1" x14ac:dyDescent="0.25"/>
    <row r="47103" hidden="1" x14ac:dyDescent="0.25"/>
    <row r="47104" hidden="1" x14ac:dyDescent="0.25"/>
    <row r="47105" hidden="1" x14ac:dyDescent="0.25"/>
    <row r="47106" hidden="1" x14ac:dyDescent="0.25"/>
    <row r="47107" hidden="1" x14ac:dyDescent="0.25"/>
    <row r="47108" hidden="1" x14ac:dyDescent="0.25"/>
    <row r="47109" hidden="1" x14ac:dyDescent="0.25"/>
    <row r="47110" hidden="1" x14ac:dyDescent="0.25"/>
    <row r="47111" hidden="1" x14ac:dyDescent="0.25"/>
    <row r="47112" hidden="1" x14ac:dyDescent="0.25"/>
    <row r="47113" hidden="1" x14ac:dyDescent="0.25"/>
    <row r="47114" hidden="1" x14ac:dyDescent="0.25"/>
    <row r="47115" hidden="1" x14ac:dyDescent="0.25"/>
    <row r="47116" hidden="1" x14ac:dyDescent="0.25"/>
    <row r="47117" hidden="1" x14ac:dyDescent="0.25"/>
    <row r="47118" hidden="1" x14ac:dyDescent="0.25"/>
    <row r="47119" hidden="1" x14ac:dyDescent="0.25"/>
    <row r="47120" hidden="1" x14ac:dyDescent="0.25"/>
    <row r="47121" hidden="1" x14ac:dyDescent="0.25"/>
    <row r="47122" hidden="1" x14ac:dyDescent="0.25"/>
    <row r="47123" hidden="1" x14ac:dyDescent="0.25"/>
    <row r="47124" hidden="1" x14ac:dyDescent="0.25"/>
    <row r="47125" hidden="1" x14ac:dyDescent="0.25"/>
    <row r="47126" hidden="1" x14ac:dyDescent="0.25"/>
    <row r="47127" hidden="1" x14ac:dyDescent="0.25"/>
    <row r="47128" hidden="1" x14ac:dyDescent="0.25"/>
    <row r="47129" hidden="1" x14ac:dyDescent="0.25"/>
    <row r="47130" hidden="1" x14ac:dyDescent="0.25"/>
    <row r="47131" hidden="1" x14ac:dyDescent="0.25"/>
    <row r="47132" hidden="1" x14ac:dyDescent="0.25"/>
    <row r="47133" hidden="1" x14ac:dyDescent="0.25"/>
    <row r="47134" hidden="1" x14ac:dyDescent="0.25"/>
    <row r="47135" hidden="1" x14ac:dyDescent="0.25"/>
    <row r="47136" hidden="1" x14ac:dyDescent="0.25"/>
    <row r="47137" hidden="1" x14ac:dyDescent="0.25"/>
    <row r="47138" hidden="1" x14ac:dyDescent="0.25"/>
    <row r="47139" hidden="1" x14ac:dyDescent="0.25"/>
    <row r="47140" hidden="1" x14ac:dyDescent="0.25"/>
    <row r="47141" hidden="1" x14ac:dyDescent="0.25"/>
    <row r="47142" hidden="1" x14ac:dyDescent="0.25"/>
    <row r="47143" hidden="1" x14ac:dyDescent="0.25"/>
    <row r="47144" hidden="1" x14ac:dyDescent="0.25"/>
    <row r="47145" hidden="1" x14ac:dyDescent="0.25"/>
    <row r="47146" hidden="1" x14ac:dyDescent="0.25"/>
    <row r="47147" hidden="1" x14ac:dyDescent="0.25"/>
    <row r="47148" hidden="1" x14ac:dyDescent="0.25"/>
    <row r="47149" hidden="1" x14ac:dyDescent="0.25"/>
    <row r="47150" hidden="1" x14ac:dyDescent="0.25"/>
    <row r="47151" hidden="1" x14ac:dyDescent="0.25"/>
    <row r="47152" hidden="1" x14ac:dyDescent="0.25"/>
    <row r="47153" hidden="1" x14ac:dyDescent="0.25"/>
    <row r="47154" hidden="1" x14ac:dyDescent="0.25"/>
    <row r="47155" hidden="1" x14ac:dyDescent="0.25"/>
    <row r="47156" hidden="1" x14ac:dyDescent="0.25"/>
    <row r="47157" hidden="1" x14ac:dyDescent="0.25"/>
    <row r="47158" hidden="1" x14ac:dyDescent="0.25"/>
    <row r="47159" hidden="1" x14ac:dyDescent="0.25"/>
    <row r="47160" hidden="1" x14ac:dyDescent="0.25"/>
    <row r="47161" hidden="1" x14ac:dyDescent="0.25"/>
    <row r="47162" hidden="1" x14ac:dyDescent="0.25"/>
    <row r="47163" hidden="1" x14ac:dyDescent="0.25"/>
    <row r="47164" hidden="1" x14ac:dyDescent="0.25"/>
    <row r="47165" hidden="1" x14ac:dyDescent="0.25"/>
    <row r="47166" hidden="1" x14ac:dyDescent="0.25"/>
    <row r="47167" hidden="1" x14ac:dyDescent="0.25"/>
    <row r="47168" hidden="1" x14ac:dyDescent="0.25"/>
    <row r="47169" hidden="1" x14ac:dyDescent="0.25"/>
    <row r="47170" hidden="1" x14ac:dyDescent="0.25"/>
    <row r="47171" hidden="1" x14ac:dyDescent="0.25"/>
    <row r="47172" hidden="1" x14ac:dyDescent="0.25"/>
    <row r="47173" hidden="1" x14ac:dyDescent="0.25"/>
    <row r="47174" hidden="1" x14ac:dyDescent="0.25"/>
    <row r="47175" hidden="1" x14ac:dyDescent="0.25"/>
    <row r="47176" hidden="1" x14ac:dyDescent="0.25"/>
    <row r="47177" hidden="1" x14ac:dyDescent="0.25"/>
    <row r="47178" hidden="1" x14ac:dyDescent="0.25"/>
    <row r="47179" hidden="1" x14ac:dyDescent="0.25"/>
    <row r="47180" hidden="1" x14ac:dyDescent="0.25"/>
    <row r="47181" hidden="1" x14ac:dyDescent="0.25"/>
    <row r="47182" hidden="1" x14ac:dyDescent="0.25"/>
    <row r="47183" hidden="1" x14ac:dyDescent="0.25"/>
    <row r="47184" hidden="1" x14ac:dyDescent="0.25"/>
    <row r="47185" hidden="1" x14ac:dyDescent="0.25"/>
    <row r="47186" hidden="1" x14ac:dyDescent="0.25"/>
    <row r="47187" hidden="1" x14ac:dyDescent="0.25"/>
    <row r="47188" hidden="1" x14ac:dyDescent="0.25"/>
    <row r="47189" hidden="1" x14ac:dyDescent="0.25"/>
    <row r="47190" hidden="1" x14ac:dyDescent="0.25"/>
    <row r="47191" hidden="1" x14ac:dyDescent="0.25"/>
    <row r="47192" hidden="1" x14ac:dyDescent="0.25"/>
    <row r="47193" hidden="1" x14ac:dyDescent="0.25"/>
    <row r="47194" hidden="1" x14ac:dyDescent="0.25"/>
    <row r="47195" hidden="1" x14ac:dyDescent="0.25"/>
    <row r="47196" hidden="1" x14ac:dyDescent="0.25"/>
    <row r="47197" hidden="1" x14ac:dyDescent="0.25"/>
    <row r="47198" hidden="1" x14ac:dyDescent="0.25"/>
    <row r="47199" hidden="1" x14ac:dyDescent="0.25"/>
    <row r="47200" hidden="1" x14ac:dyDescent="0.25"/>
    <row r="47201" hidden="1" x14ac:dyDescent="0.25"/>
    <row r="47202" hidden="1" x14ac:dyDescent="0.25"/>
    <row r="47203" hidden="1" x14ac:dyDescent="0.25"/>
    <row r="47204" hidden="1" x14ac:dyDescent="0.25"/>
    <row r="47205" hidden="1" x14ac:dyDescent="0.25"/>
    <row r="47206" hidden="1" x14ac:dyDescent="0.25"/>
    <row r="47207" hidden="1" x14ac:dyDescent="0.25"/>
    <row r="47208" hidden="1" x14ac:dyDescent="0.25"/>
    <row r="47209" hidden="1" x14ac:dyDescent="0.25"/>
    <row r="47210" hidden="1" x14ac:dyDescent="0.25"/>
    <row r="47211" hidden="1" x14ac:dyDescent="0.25"/>
    <row r="47212" hidden="1" x14ac:dyDescent="0.25"/>
    <row r="47213" hidden="1" x14ac:dyDescent="0.25"/>
    <row r="47214" hidden="1" x14ac:dyDescent="0.25"/>
    <row r="47215" hidden="1" x14ac:dyDescent="0.25"/>
    <row r="47216" hidden="1" x14ac:dyDescent="0.25"/>
    <row r="47217" hidden="1" x14ac:dyDescent="0.25"/>
    <row r="47218" hidden="1" x14ac:dyDescent="0.25"/>
    <row r="47219" hidden="1" x14ac:dyDescent="0.25"/>
    <row r="47220" hidden="1" x14ac:dyDescent="0.25"/>
    <row r="47221" hidden="1" x14ac:dyDescent="0.25"/>
    <row r="47222" hidden="1" x14ac:dyDescent="0.25"/>
    <row r="47223" hidden="1" x14ac:dyDescent="0.25"/>
    <row r="47224" hidden="1" x14ac:dyDescent="0.25"/>
    <row r="47225" hidden="1" x14ac:dyDescent="0.25"/>
    <row r="47226" hidden="1" x14ac:dyDescent="0.25"/>
    <row r="47227" hidden="1" x14ac:dyDescent="0.25"/>
    <row r="47228" hidden="1" x14ac:dyDescent="0.25"/>
    <row r="47229" hidden="1" x14ac:dyDescent="0.25"/>
    <row r="47230" hidden="1" x14ac:dyDescent="0.25"/>
    <row r="47231" hidden="1" x14ac:dyDescent="0.25"/>
    <row r="47232" hidden="1" x14ac:dyDescent="0.25"/>
    <row r="47233" hidden="1" x14ac:dyDescent="0.25"/>
    <row r="47234" hidden="1" x14ac:dyDescent="0.25"/>
    <row r="47235" hidden="1" x14ac:dyDescent="0.25"/>
    <row r="47236" hidden="1" x14ac:dyDescent="0.25"/>
    <row r="47237" hidden="1" x14ac:dyDescent="0.25"/>
    <row r="47238" hidden="1" x14ac:dyDescent="0.25"/>
    <row r="47239" hidden="1" x14ac:dyDescent="0.25"/>
    <row r="47240" hidden="1" x14ac:dyDescent="0.25"/>
    <row r="47241" hidden="1" x14ac:dyDescent="0.25"/>
    <row r="47242" hidden="1" x14ac:dyDescent="0.25"/>
    <row r="47243" hidden="1" x14ac:dyDescent="0.25"/>
    <row r="47244" hidden="1" x14ac:dyDescent="0.25"/>
    <row r="47245" hidden="1" x14ac:dyDescent="0.25"/>
    <row r="47246" hidden="1" x14ac:dyDescent="0.25"/>
    <row r="47247" hidden="1" x14ac:dyDescent="0.25"/>
    <row r="47248" hidden="1" x14ac:dyDescent="0.25"/>
    <row r="47249" hidden="1" x14ac:dyDescent="0.25"/>
    <row r="47250" hidden="1" x14ac:dyDescent="0.25"/>
    <row r="47251" hidden="1" x14ac:dyDescent="0.25"/>
    <row r="47252" hidden="1" x14ac:dyDescent="0.25"/>
    <row r="47253" hidden="1" x14ac:dyDescent="0.25"/>
    <row r="47254" hidden="1" x14ac:dyDescent="0.25"/>
    <row r="47255" hidden="1" x14ac:dyDescent="0.25"/>
    <row r="47256" hidden="1" x14ac:dyDescent="0.25"/>
    <row r="47257" hidden="1" x14ac:dyDescent="0.25"/>
    <row r="47258" hidden="1" x14ac:dyDescent="0.25"/>
    <row r="47259" hidden="1" x14ac:dyDescent="0.25"/>
    <row r="47260" hidden="1" x14ac:dyDescent="0.25"/>
    <row r="47261" hidden="1" x14ac:dyDescent="0.25"/>
    <row r="47262" hidden="1" x14ac:dyDescent="0.25"/>
    <row r="47263" hidden="1" x14ac:dyDescent="0.25"/>
    <row r="47264" hidden="1" x14ac:dyDescent="0.25"/>
    <row r="47265" hidden="1" x14ac:dyDescent="0.25"/>
    <row r="47266" hidden="1" x14ac:dyDescent="0.25"/>
    <row r="47267" hidden="1" x14ac:dyDescent="0.25"/>
    <row r="47268" hidden="1" x14ac:dyDescent="0.25"/>
    <row r="47269" hidden="1" x14ac:dyDescent="0.25"/>
    <row r="47270" hidden="1" x14ac:dyDescent="0.25"/>
    <row r="47271" hidden="1" x14ac:dyDescent="0.25"/>
    <row r="47272" hidden="1" x14ac:dyDescent="0.25"/>
    <row r="47273" hidden="1" x14ac:dyDescent="0.25"/>
    <row r="47274" hidden="1" x14ac:dyDescent="0.25"/>
    <row r="47275" hidden="1" x14ac:dyDescent="0.25"/>
    <row r="47276" hidden="1" x14ac:dyDescent="0.25"/>
    <row r="47277" hidden="1" x14ac:dyDescent="0.25"/>
    <row r="47278" hidden="1" x14ac:dyDescent="0.25"/>
    <row r="47279" hidden="1" x14ac:dyDescent="0.25"/>
    <row r="47280" hidden="1" x14ac:dyDescent="0.25"/>
    <row r="47281" hidden="1" x14ac:dyDescent="0.25"/>
    <row r="47282" hidden="1" x14ac:dyDescent="0.25"/>
    <row r="47283" hidden="1" x14ac:dyDescent="0.25"/>
    <row r="47284" hidden="1" x14ac:dyDescent="0.25"/>
    <row r="47285" hidden="1" x14ac:dyDescent="0.25"/>
    <row r="47286" hidden="1" x14ac:dyDescent="0.25"/>
    <row r="47287" hidden="1" x14ac:dyDescent="0.25"/>
    <row r="47288" hidden="1" x14ac:dyDescent="0.25"/>
    <row r="47289" hidden="1" x14ac:dyDescent="0.25"/>
    <row r="47290" hidden="1" x14ac:dyDescent="0.25"/>
    <row r="47291" hidden="1" x14ac:dyDescent="0.25"/>
    <row r="47292" hidden="1" x14ac:dyDescent="0.25"/>
    <row r="47293" hidden="1" x14ac:dyDescent="0.25"/>
    <row r="47294" hidden="1" x14ac:dyDescent="0.25"/>
    <row r="47295" hidden="1" x14ac:dyDescent="0.25"/>
    <row r="47296" hidden="1" x14ac:dyDescent="0.25"/>
    <row r="47297" hidden="1" x14ac:dyDescent="0.25"/>
    <row r="47298" hidden="1" x14ac:dyDescent="0.25"/>
    <row r="47299" hidden="1" x14ac:dyDescent="0.25"/>
    <row r="47300" hidden="1" x14ac:dyDescent="0.25"/>
    <row r="47301" hidden="1" x14ac:dyDescent="0.25"/>
    <row r="47302" hidden="1" x14ac:dyDescent="0.25"/>
    <row r="47303" hidden="1" x14ac:dyDescent="0.25"/>
    <row r="47304" hidden="1" x14ac:dyDescent="0.25"/>
    <row r="47305" hidden="1" x14ac:dyDescent="0.25"/>
    <row r="47306" hidden="1" x14ac:dyDescent="0.25"/>
    <row r="47307" hidden="1" x14ac:dyDescent="0.25"/>
    <row r="47308" hidden="1" x14ac:dyDescent="0.25"/>
    <row r="47309" hidden="1" x14ac:dyDescent="0.25"/>
    <row r="47310" hidden="1" x14ac:dyDescent="0.25"/>
    <row r="47311" hidden="1" x14ac:dyDescent="0.25"/>
    <row r="47312" hidden="1" x14ac:dyDescent="0.25"/>
    <row r="47313" hidden="1" x14ac:dyDescent="0.25"/>
    <row r="47314" hidden="1" x14ac:dyDescent="0.25"/>
    <row r="47315" hidden="1" x14ac:dyDescent="0.25"/>
    <row r="47316" hidden="1" x14ac:dyDescent="0.25"/>
    <row r="47317" hidden="1" x14ac:dyDescent="0.25"/>
    <row r="47318" hidden="1" x14ac:dyDescent="0.25"/>
    <row r="47319" hidden="1" x14ac:dyDescent="0.25"/>
    <row r="47320" hidden="1" x14ac:dyDescent="0.25"/>
    <row r="47321" hidden="1" x14ac:dyDescent="0.25"/>
    <row r="47322" hidden="1" x14ac:dyDescent="0.25"/>
    <row r="47323" hidden="1" x14ac:dyDescent="0.25"/>
    <row r="47324" hidden="1" x14ac:dyDescent="0.25"/>
    <row r="47325" hidden="1" x14ac:dyDescent="0.25"/>
    <row r="47326" hidden="1" x14ac:dyDescent="0.25"/>
    <row r="47327" hidden="1" x14ac:dyDescent="0.25"/>
    <row r="47328" hidden="1" x14ac:dyDescent="0.25"/>
    <row r="47329" hidden="1" x14ac:dyDescent="0.25"/>
    <row r="47330" hidden="1" x14ac:dyDescent="0.25"/>
    <row r="47331" hidden="1" x14ac:dyDescent="0.25"/>
    <row r="47332" hidden="1" x14ac:dyDescent="0.25"/>
    <row r="47333" hidden="1" x14ac:dyDescent="0.25"/>
    <row r="47334" hidden="1" x14ac:dyDescent="0.25"/>
    <row r="47335" hidden="1" x14ac:dyDescent="0.25"/>
    <row r="47336" hidden="1" x14ac:dyDescent="0.25"/>
    <row r="47337" hidden="1" x14ac:dyDescent="0.25"/>
    <row r="47338" hidden="1" x14ac:dyDescent="0.25"/>
    <row r="47339" hidden="1" x14ac:dyDescent="0.25"/>
    <row r="47340" hidden="1" x14ac:dyDescent="0.25"/>
    <row r="47341" hidden="1" x14ac:dyDescent="0.25"/>
    <row r="47342" hidden="1" x14ac:dyDescent="0.25"/>
    <row r="47343" hidden="1" x14ac:dyDescent="0.25"/>
    <row r="47344" hidden="1" x14ac:dyDescent="0.25"/>
    <row r="47345" hidden="1" x14ac:dyDescent="0.25"/>
    <row r="47346" hidden="1" x14ac:dyDescent="0.25"/>
    <row r="47347" hidden="1" x14ac:dyDescent="0.25"/>
    <row r="47348" hidden="1" x14ac:dyDescent="0.25"/>
    <row r="47349" hidden="1" x14ac:dyDescent="0.25"/>
    <row r="47350" hidden="1" x14ac:dyDescent="0.25"/>
    <row r="47351" hidden="1" x14ac:dyDescent="0.25"/>
    <row r="47352" hidden="1" x14ac:dyDescent="0.25"/>
    <row r="47353" hidden="1" x14ac:dyDescent="0.25"/>
    <row r="47354" hidden="1" x14ac:dyDescent="0.25"/>
    <row r="47355" hidden="1" x14ac:dyDescent="0.25"/>
    <row r="47356" hidden="1" x14ac:dyDescent="0.25"/>
    <row r="47357" hidden="1" x14ac:dyDescent="0.25"/>
    <row r="47358" hidden="1" x14ac:dyDescent="0.25"/>
    <row r="47359" hidden="1" x14ac:dyDescent="0.25"/>
    <row r="47360" hidden="1" x14ac:dyDescent="0.25"/>
    <row r="47361" hidden="1" x14ac:dyDescent="0.25"/>
    <row r="47362" hidden="1" x14ac:dyDescent="0.25"/>
    <row r="47363" hidden="1" x14ac:dyDescent="0.25"/>
    <row r="47364" hidden="1" x14ac:dyDescent="0.25"/>
    <row r="47365" hidden="1" x14ac:dyDescent="0.25"/>
    <row r="47366" hidden="1" x14ac:dyDescent="0.25"/>
    <row r="47367" hidden="1" x14ac:dyDescent="0.25"/>
    <row r="47368" hidden="1" x14ac:dyDescent="0.25"/>
    <row r="47369" hidden="1" x14ac:dyDescent="0.25"/>
    <row r="47370" hidden="1" x14ac:dyDescent="0.25"/>
    <row r="47371" hidden="1" x14ac:dyDescent="0.25"/>
    <row r="47372" hidden="1" x14ac:dyDescent="0.25"/>
    <row r="47373" hidden="1" x14ac:dyDescent="0.25"/>
    <row r="47374" hidden="1" x14ac:dyDescent="0.25"/>
    <row r="47375" hidden="1" x14ac:dyDescent="0.25"/>
    <row r="47376" hidden="1" x14ac:dyDescent="0.25"/>
    <row r="47377" hidden="1" x14ac:dyDescent="0.25"/>
    <row r="47378" hidden="1" x14ac:dyDescent="0.25"/>
    <row r="47379" hidden="1" x14ac:dyDescent="0.25"/>
    <row r="47380" hidden="1" x14ac:dyDescent="0.25"/>
    <row r="47381" hidden="1" x14ac:dyDescent="0.25"/>
    <row r="47382" hidden="1" x14ac:dyDescent="0.25"/>
    <row r="47383" hidden="1" x14ac:dyDescent="0.25"/>
    <row r="47384" hidden="1" x14ac:dyDescent="0.25"/>
    <row r="47385" hidden="1" x14ac:dyDescent="0.25"/>
    <row r="47386" hidden="1" x14ac:dyDescent="0.25"/>
    <row r="47387" hidden="1" x14ac:dyDescent="0.25"/>
    <row r="47388" hidden="1" x14ac:dyDescent="0.25"/>
    <row r="47389" hidden="1" x14ac:dyDescent="0.25"/>
    <row r="47390" hidden="1" x14ac:dyDescent="0.25"/>
    <row r="47391" hidden="1" x14ac:dyDescent="0.25"/>
    <row r="47392" hidden="1" x14ac:dyDescent="0.25"/>
    <row r="47393" hidden="1" x14ac:dyDescent="0.25"/>
    <row r="47394" hidden="1" x14ac:dyDescent="0.25"/>
    <row r="47395" hidden="1" x14ac:dyDescent="0.25"/>
    <row r="47396" hidden="1" x14ac:dyDescent="0.25"/>
    <row r="47397" hidden="1" x14ac:dyDescent="0.25"/>
    <row r="47398" hidden="1" x14ac:dyDescent="0.25"/>
    <row r="47399" hidden="1" x14ac:dyDescent="0.25"/>
    <row r="47400" hidden="1" x14ac:dyDescent="0.25"/>
    <row r="47401" hidden="1" x14ac:dyDescent="0.25"/>
    <row r="47402" hidden="1" x14ac:dyDescent="0.25"/>
    <row r="47403" hidden="1" x14ac:dyDescent="0.25"/>
    <row r="47404" hidden="1" x14ac:dyDescent="0.25"/>
    <row r="47405" hidden="1" x14ac:dyDescent="0.25"/>
    <row r="47406" hidden="1" x14ac:dyDescent="0.25"/>
    <row r="47407" hidden="1" x14ac:dyDescent="0.25"/>
    <row r="47408" hidden="1" x14ac:dyDescent="0.25"/>
    <row r="47409" hidden="1" x14ac:dyDescent="0.25"/>
    <row r="47410" hidden="1" x14ac:dyDescent="0.25"/>
    <row r="47411" hidden="1" x14ac:dyDescent="0.25"/>
    <row r="47412" hidden="1" x14ac:dyDescent="0.25"/>
    <row r="47413" hidden="1" x14ac:dyDescent="0.25"/>
    <row r="47414" hidden="1" x14ac:dyDescent="0.25"/>
    <row r="47415" hidden="1" x14ac:dyDescent="0.25"/>
    <row r="47416" hidden="1" x14ac:dyDescent="0.25"/>
    <row r="47417" hidden="1" x14ac:dyDescent="0.25"/>
    <row r="47418" hidden="1" x14ac:dyDescent="0.25"/>
    <row r="47419" hidden="1" x14ac:dyDescent="0.25"/>
    <row r="47420" hidden="1" x14ac:dyDescent="0.25"/>
    <row r="47421" hidden="1" x14ac:dyDescent="0.25"/>
    <row r="47422" hidden="1" x14ac:dyDescent="0.25"/>
    <row r="47423" hidden="1" x14ac:dyDescent="0.25"/>
    <row r="47424" hidden="1" x14ac:dyDescent="0.25"/>
    <row r="47425" hidden="1" x14ac:dyDescent="0.25"/>
    <row r="47426" hidden="1" x14ac:dyDescent="0.25"/>
    <row r="47427" hidden="1" x14ac:dyDescent="0.25"/>
    <row r="47428" hidden="1" x14ac:dyDescent="0.25"/>
    <row r="47429" hidden="1" x14ac:dyDescent="0.25"/>
    <row r="47430" hidden="1" x14ac:dyDescent="0.25"/>
    <row r="47431" hidden="1" x14ac:dyDescent="0.25"/>
    <row r="47432" hidden="1" x14ac:dyDescent="0.25"/>
    <row r="47433" hidden="1" x14ac:dyDescent="0.25"/>
    <row r="47434" hidden="1" x14ac:dyDescent="0.25"/>
    <row r="47435" hidden="1" x14ac:dyDescent="0.25"/>
    <row r="47436" hidden="1" x14ac:dyDescent="0.25"/>
    <row r="47437" hidden="1" x14ac:dyDescent="0.25"/>
    <row r="47438" hidden="1" x14ac:dyDescent="0.25"/>
    <row r="47439" hidden="1" x14ac:dyDescent="0.25"/>
    <row r="47440" hidden="1" x14ac:dyDescent="0.25"/>
    <row r="47441" hidden="1" x14ac:dyDescent="0.25"/>
    <row r="47442" hidden="1" x14ac:dyDescent="0.25"/>
    <row r="47443" hidden="1" x14ac:dyDescent="0.25"/>
    <row r="47444" hidden="1" x14ac:dyDescent="0.25"/>
    <row r="47445" hidden="1" x14ac:dyDescent="0.25"/>
    <row r="47446" hidden="1" x14ac:dyDescent="0.25"/>
    <row r="47447" hidden="1" x14ac:dyDescent="0.25"/>
    <row r="47448" hidden="1" x14ac:dyDescent="0.25"/>
    <row r="47449" hidden="1" x14ac:dyDescent="0.25"/>
    <row r="47450" hidden="1" x14ac:dyDescent="0.25"/>
    <row r="47451" hidden="1" x14ac:dyDescent="0.25"/>
    <row r="47452" hidden="1" x14ac:dyDescent="0.25"/>
    <row r="47453" hidden="1" x14ac:dyDescent="0.25"/>
    <row r="47454" hidden="1" x14ac:dyDescent="0.25"/>
    <row r="47455" hidden="1" x14ac:dyDescent="0.25"/>
    <row r="47456" hidden="1" x14ac:dyDescent="0.25"/>
    <row r="47457" hidden="1" x14ac:dyDescent="0.25"/>
    <row r="47458" hidden="1" x14ac:dyDescent="0.25"/>
    <row r="47459" hidden="1" x14ac:dyDescent="0.25"/>
    <row r="47460" hidden="1" x14ac:dyDescent="0.25"/>
    <row r="47461" hidden="1" x14ac:dyDescent="0.25"/>
    <row r="47462" hidden="1" x14ac:dyDescent="0.25"/>
    <row r="47463" hidden="1" x14ac:dyDescent="0.25"/>
    <row r="47464" hidden="1" x14ac:dyDescent="0.25"/>
    <row r="47465" hidden="1" x14ac:dyDescent="0.25"/>
    <row r="47466" hidden="1" x14ac:dyDescent="0.25"/>
    <row r="47467" hidden="1" x14ac:dyDescent="0.25"/>
    <row r="47468" hidden="1" x14ac:dyDescent="0.25"/>
    <row r="47469" hidden="1" x14ac:dyDescent="0.25"/>
    <row r="47470" hidden="1" x14ac:dyDescent="0.25"/>
    <row r="47471" hidden="1" x14ac:dyDescent="0.25"/>
    <row r="47472" hidden="1" x14ac:dyDescent="0.25"/>
    <row r="47473" hidden="1" x14ac:dyDescent="0.25"/>
    <row r="47474" hidden="1" x14ac:dyDescent="0.25"/>
    <row r="47475" hidden="1" x14ac:dyDescent="0.25"/>
    <row r="47476" hidden="1" x14ac:dyDescent="0.25"/>
    <row r="47477" hidden="1" x14ac:dyDescent="0.25"/>
    <row r="47478" hidden="1" x14ac:dyDescent="0.25"/>
    <row r="47479" hidden="1" x14ac:dyDescent="0.25"/>
    <row r="47480" hidden="1" x14ac:dyDescent="0.25"/>
    <row r="47481" hidden="1" x14ac:dyDescent="0.25"/>
    <row r="47482" hidden="1" x14ac:dyDescent="0.25"/>
    <row r="47483" hidden="1" x14ac:dyDescent="0.25"/>
    <row r="47484" hidden="1" x14ac:dyDescent="0.25"/>
    <row r="47485" hidden="1" x14ac:dyDescent="0.25"/>
    <row r="47486" hidden="1" x14ac:dyDescent="0.25"/>
    <row r="47487" hidden="1" x14ac:dyDescent="0.25"/>
    <row r="47488" hidden="1" x14ac:dyDescent="0.25"/>
    <row r="47489" hidden="1" x14ac:dyDescent="0.25"/>
    <row r="47490" hidden="1" x14ac:dyDescent="0.25"/>
    <row r="47491" hidden="1" x14ac:dyDescent="0.25"/>
    <row r="47492" hidden="1" x14ac:dyDescent="0.25"/>
    <row r="47493" hidden="1" x14ac:dyDescent="0.25"/>
    <row r="47494" hidden="1" x14ac:dyDescent="0.25"/>
    <row r="47495" hidden="1" x14ac:dyDescent="0.25"/>
    <row r="47496" hidden="1" x14ac:dyDescent="0.25"/>
    <row r="47497" hidden="1" x14ac:dyDescent="0.25"/>
    <row r="47498" hidden="1" x14ac:dyDescent="0.25"/>
    <row r="47499" hidden="1" x14ac:dyDescent="0.25"/>
    <row r="47500" hidden="1" x14ac:dyDescent="0.25"/>
    <row r="47501" hidden="1" x14ac:dyDescent="0.25"/>
    <row r="47502" hidden="1" x14ac:dyDescent="0.25"/>
    <row r="47503" hidden="1" x14ac:dyDescent="0.25"/>
    <row r="47504" hidden="1" x14ac:dyDescent="0.25"/>
    <row r="47505" hidden="1" x14ac:dyDescent="0.25"/>
    <row r="47506" hidden="1" x14ac:dyDescent="0.25"/>
    <row r="47507" hidden="1" x14ac:dyDescent="0.25"/>
    <row r="47508" hidden="1" x14ac:dyDescent="0.25"/>
    <row r="47509" hidden="1" x14ac:dyDescent="0.25"/>
    <row r="47510" hidden="1" x14ac:dyDescent="0.25"/>
    <row r="47511" hidden="1" x14ac:dyDescent="0.25"/>
    <row r="47512" hidden="1" x14ac:dyDescent="0.25"/>
    <row r="47513" hidden="1" x14ac:dyDescent="0.25"/>
    <row r="47514" hidden="1" x14ac:dyDescent="0.25"/>
    <row r="47515" hidden="1" x14ac:dyDescent="0.25"/>
    <row r="47516" hidden="1" x14ac:dyDescent="0.25"/>
    <row r="47517" hidden="1" x14ac:dyDescent="0.25"/>
    <row r="47518" hidden="1" x14ac:dyDescent="0.25"/>
    <row r="47519" hidden="1" x14ac:dyDescent="0.25"/>
    <row r="47520" hidden="1" x14ac:dyDescent="0.25"/>
    <row r="47521" hidden="1" x14ac:dyDescent="0.25"/>
    <row r="47522" hidden="1" x14ac:dyDescent="0.25"/>
    <row r="47523" hidden="1" x14ac:dyDescent="0.25"/>
    <row r="47524" hidden="1" x14ac:dyDescent="0.25"/>
    <row r="47525" hidden="1" x14ac:dyDescent="0.25"/>
    <row r="47526" hidden="1" x14ac:dyDescent="0.25"/>
    <row r="47527" hidden="1" x14ac:dyDescent="0.25"/>
    <row r="47528" hidden="1" x14ac:dyDescent="0.25"/>
    <row r="47529" hidden="1" x14ac:dyDescent="0.25"/>
    <row r="47530" hidden="1" x14ac:dyDescent="0.25"/>
    <row r="47531" hidden="1" x14ac:dyDescent="0.25"/>
    <row r="47532" hidden="1" x14ac:dyDescent="0.25"/>
    <row r="47533" hidden="1" x14ac:dyDescent="0.25"/>
    <row r="47534" hidden="1" x14ac:dyDescent="0.25"/>
    <row r="47535" hidden="1" x14ac:dyDescent="0.25"/>
    <row r="47536" hidden="1" x14ac:dyDescent="0.25"/>
    <row r="47537" hidden="1" x14ac:dyDescent="0.25"/>
    <row r="47538" hidden="1" x14ac:dyDescent="0.25"/>
    <row r="47539" hidden="1" x14ac:dyDescent="0.25"/>
    <row r="47540" hidden="1" x14ac:dyDescent="0.25"/>
    <row r="47541" hidden="1" x14ac:dyDescent="0.25"/>
    <row r="47542" hidden="1" x14ac:dyDescent="0.25"/>
    <row r="47543" hidden="1" x14ac:dyDescent="0.25"/>
    <row r="47544" hidden="1" x14ac:dyDescent="0.25"/>
    <row r="47545" hidden="1" x14ac:dyDescent="0.25"/>
    <row r="47546" hidden="1" x14ac:dyDescent="0.25"/>
    <row r="47547" hidden="1" x14ac:dyDescent="0.25"/>
    <row r="47548" hidden="1" x14ac:dyDescent="0.25"/>
    <row r="47549" hidden="1" x14ac:dyDescent="0.25"/>
    <row r="47550" hidden="1" x14ac:dyDescent="0.25"/>
    <row r="47551" hidden="1" x14ac:dyDescent="0.25"/>
    <row r="47552" hidden="1" x14ac:dyDescent="0.25"/>
    <row r="47553" hidden="1" x14ac:dyDescent="0.25"/>
    <row r="47554" hidden="1" x14ac:dyDescent="0.25"/>
    <row r="47555" hidden="1" x14ac:dyDescent="0.25"/>
    <row r="47556" hidden="1" x14ac:dyDescent="0.25"/>
    <row r="47557" hidden="1" x14ac:dyDescent="0.25"/>
    <row r="47558" hidden="1" x14ac:dyDescent="0.25"/>
    <row r="47559" hidden="1" x14ac:dyDescent="0.25"/>
    <row r="47560" hidden="1" x14ac:dyDescent="0.25"/>
    <row r="47561" hidden="1" x14ac:dyDescent="0.25"/>
    <row r="47562" hidden="1" x14ac:dyDescent="0.25"/>
    <row r="47563" hidden="1" x14ac:dyDescent="0.25"/>
    <row r="47564" hidden="1" x14ac:dyDescent="0.25"/>
    <row r="47565" hidden="1" x14ac:dyDescent="0.25"/>
    <row r="47566" hidden="1" x14ac:dyDescent="0.25"/>
    <row r="47567" hidden="1" x14ac:dyDescent="0.25"/>
    <row r="47568" hidden="1" x14ac:dyDescent="0.25"/>
    <row r="47569" hidden="1" x14ac:dyDescent="0.25"/>
    <row r="47570" hidden="1" x14ac:dyDescent="0.25"/>
    <row r="47571" hidden="1" x14ac:dyDescent="0.25"/>
    <row r="47572" hidden="1" x14ac:dyDescent="0.25"/>
    <row r="47573" hidden="1" x14ac:dyDescent="0.25"/>
    <row r="47574" hidden="1" x14ac:dyDescent="0.25"/>
    <row r="47575" hidden="1" x14ac:dyDescent="0.25"/>
    <row r="47576" hidden="1" x14ac:dyDescent="0.25"/>
    <row r="47577" hidden="1" x14ac:dyDescent="0.25"/>
    <row r="47578" hidden="1" x14ac:dyDescent="0.25"/>
    <row r="47579" hidden="1" x14ac:dyDescent="0.25"/>
    <row r="47580" hidden="1" x14ac:dyDescent="0.25"/>
    <row r="47581" hidden="1" x14ac:dyDescent="0.25"/>
    <row r="47582" hidden="1" x14ac:dyDescent="0.25"/>
    <row r="47583" hidden="1" x14ac:dyDescent="0.25"/>
    <row r="47584" hidden="1" x14ac:dyDescent="0.25"/>
    <row r="47585" hidden="1" x14ac:dyDescent="0.25"/>
    <row r="47586" hidden="1" x14ac:dyDescent="0.25"/>
    <row r="47587" hidden="1" x14ac:dyDescent="0.25"/>
    <row r="47588" hidden="1" x14ac:dyDescent="0.25"/>
    <row r="47589" hidden="1" x14ac:dyDescent="0.25"/>
    <row r="47590" hidden="1" x14ac:dyDescent="0.25"/>
    <row r="47591" hidden="1" x14ac:dyDescent="0.25"/>
    <row r="47592" hidden="1" x14ac:dyDescent="0.25"/>
    <row r="47593" hidden="1" x14ac:dyDescent="0.25"/>
    <row r="47594" hidden="1" x14ac:dyDescent="0.25"/>
    <row r="47595" hidden="1" x14ac:dyDescent="0.25"/>
    <row r="47596" hidden="1" x14ac:dyDescent="0.25"/>
    <row r="47597" hidden="1" x14ac:dyDescent="0.25"/>
    <row r="47598" hidden="1" x14ac:dyDescent="0.25"/>
    <row r="47599" hidden="1" x14ac:dyDescent="0.25"/>
    <row r="47600" hidden="1" x14ac:dyDescent="0.25"/>
    <row r="47601" hidden="1" x14ac:dyDescent="0.25"/>
    <row r="47602" hidden="1" x14ac:dyDescent="0.25"/>
    <row r="47603" hidden="1" x14ac:dyDescent="0.25"/>
    <row r="47604" hidden="1" x14ac:dyDescent="0.25"/>
    <row r="47605" hidden="1" x14ac:dyDescent="0.25"/>
    <row r="47606" hidden="1" x14ac:dyDescent="0.25"/>
    <row r="47607" hidden="1" x14ac:dyDescent="0.25"/>
    <row r="47608" hidden="1" x14ac:dyDescent="0.25"/>
    <row r="47609" hidden="1" x14ac:dyDescent="0.25"/>
    <row r="47610" hidden="1" x14ac:dyDescent="0.25"/>
    <row r="47611" hidden="1" x14ac:dyDescent="0.25"/>
    <row r="47612" hidden="1" x14ac:dyDescent="0.25"/>
    <row r="47613" hidden="1" x14ac:dyDescent="0.25"/>
    <row r="47614" hidden="1" x14ac:dyDescent="0.25"/>
    <row r="47615" hidden="1" x14ac:dyDescent="0.25"/>
    <row r="47616" hidden="1" x14ac:dyDescent="0.25"/>
    <row r="47617" hidden="1" x14ac:dyDescent="0.25"/>
    <row r="47618" hidden="1" x14ac:dyDescent="0.25"/>
    <row r="47619" hidden="1" x14ac:dyDescent="0.25"/>
    <row r="47620" hidden="1" x14ac:dyDescent="0.25"/>
    <row r="47621" hidden="1" x14ac:dyDescent="0.25"/>
    <row r="47622" hidden="1" x14ac:dyDescent="0.25"/>
    <row r="47623" hidden="1" x14ac:dyDescent="0.25"/>
    <row r="47624" hidden="1" x14ac:dyDescent="0.25"/>
    <row r="47625" hidden="1" x14ac:dyDescent="0.25"/>
    <row r="47626" hidden="1" x14ac:dyDescent="0.25"/>
    <row r="47627" hidden="1" x14ac:dyDescent="0.25"/>
    <row r="47628" hidden="1" x14ac:dyDescent="0.25"/>
    <row r="47629" hidden="1" x14ac:dyDescent="0.25"/>
    <row r="47630" hidden="1" x14ac:dyDescent="0.25"/>
    <row r="47631" hidden="1" x14ac:dyDescent="0.25"/>
    <row r="47632" hidden="1" x14ac:dyDescent="0.25"/>
    <row r="47633" hidden="1" x14ac:dyDescent="0.25"/>
    <row r="47634" hidden="1" x14ac:dyDescent="0.25"/>
    <row r="47635" hidden="1" x14ac:dyDescent="0.25"/>
    <row r="47636" hidden="1" x14ac:dyDescent="0.25"/>
    <row r="47637" hidden="1" x14ac:dyDescent="0.25"/>
    <row r="47638" hidden="1" x14ac:dyDescent="0.25"/>
    <row r="47639" hidden="1" x14ac:dyDescent="0.25"/>
    <row r="47640" hidden="1" x14ac:dyDescent="0.25"/>
    <row r="47641" hidden="1" x14ac:dyDescent="0.25"/>
    <row r="47642" hidden="1" x14ac:dyDescent="0.25"/>
    <row r="47643" hidden="1" x14ac:dyDescent="0.25"/>
    <row r="47644" hidden="1" x14ac:dyDescent="0.25"/>
    <row r="47645" hidden="1" x14ac:dyDescent="0.25"/>
    <row r="47646" hidden="1" x14ac:dyDescent="0.25"/>
    <row r="47647" hidden="1" x14ac:dyDescent="0.25"/>
    <row r="47648" hidden="1" x14ac:dyDescent="0.25"/>
    <row r="47649" hidden="1" x14ac:dyDescent="0.25"/>
    <row r="47650" hidden="1" x14ac:dyDescent="0.25"/>
    <row r="47651" hidden="1" x14ac:dyDescent="0.25"/>
    <row r="47652" hidden="1" x14ac:dyDescent="0.25"/>
    <row r="47653" hidden="1" x14ac:dyDescent="0.25"/>
    <row r="47654" hidden="1" x14ac:dyDescent="0.25"/>
    <row r="47655" hidden="1" x14ac:dyDescent="0.25"/>
    <row r="47656" hidden="1" x14ac:dyDescent="0.25"/>
    <row r="47657" hidden="1" x14ac:dyDescent="0.25"/>
    <row r="47658" hidden="1" x14ac:dyDescent="0.25"/>
    <row r="47659" hidden="1" x14ac:dyDescent="0.25"/>
    <row r="47660" hidden="1" x14ac:dyDescent="0.25"/>
    <row r="47661" hidden="1" x14ac:dyDescent="0.25"/>
    <row r="47662" hidden="1" x14ac:dyDescent="0.25"/>
    <row r="47663" hidden="1" x14ac:dyDescent="0.25"/>
    <row r="47664" hidden="1" x14ac:dyDescent="0.25"/>
    <row r="47665" hidden="1" x14ac:dyDescent="0.25"/>
    <row r="47666" hidden="1" x14ac:dyDescent="0.25"/>
    <row r="47667" hidden="1" x14ac:dyDescent="0.25"/>
    <row r="47668" hidden="1" x14ac:dyDescent="0.25"/>
    <row r="47669" hidden="1" x14ac:dyDescent="0.25"/>
    <row r="47670" hidden="1" x14ac:dyDescent="0.25"/>
    <row r="47671" hidden="1" x14ac:dyDescent="0.25"/>
    <row r="47672" hidden="1" x14ac:dyDescent="0.25"/>
    <row r="47673" hidden="1" x14ac:dyDescent="0.25"/>
    <row r="47674" hidden="1" x14ac:dyDescent="0.25"/>
    <row r="47675" hidden="1" x14ac:dyDescent="0.25"/>
    <row r="47676" hidden="1" x14ac:dyDescent="0.25"/>
    <row r="47677" hidden="1" x14ac:dyDescent="0.25"/>
    <row r="47678" hidden="1" x14ac:dyDescent="0.25"/>
    <row r="47679" hidden="1" x14ac:dyDescent="0.25"/>
    <row r="47680" hidden="1" x14ac:dyDescent="0.25"/>
    <row r="47681" hidden="1" x14ac:dyDescent="0.25"/>
    <row r="47682" hidden="1" x14ac:dyDescent="0.25"/>
    <row r="47683" hidden="1" x14ac:dyDescent="0.25"/>
    <row r="47684" hidden="1" x14ac:dyDescent="0.25"/>
    <row r="47685" hidden="1" x14ac:dyDescent="0.25"/>
    <row r="47686" hidden="1" x14ac:dyDescent="0.25"/>
    <row r="47687" hidden="1" x14ac:dyDescent="0.25"/>
    <row r="47688" hidden="1" x14ac:dyDescent="0.25"/>
    <row r="47689" hidden="1" x14ac:dyDescent="0.25"/>
    <row r="47690" hidden="1" x14ac:dyDescent="0.25"/>
    <row r="47691" hidden="1" x14ac:dyDescent="0.25"/>
    <row r="47692" hidden="1" x14ac:dyDescent="0.25"/>
    <row r="47693" hidden="1" x14ac:dyDescent="0.25"/>
    <row r="47694" hidden="1" x14ac:dyDescent="0.25"/>
    <row r="47695" hidden="1" x14ac:dyDescent="0.25"/>
    <row r="47696" hidden="1" x14ac:dyDescent="0.25"/>
    <row r="47697" hidden="1" x14ac:dyDescent="0.25"/>
    <row r="47698" hidden="1" x14ac:dyDescent="0.25"/>
    <row r="47699" hidden="1" x14ac:dyDescent="0.25"/>
    <row r="47700" hidden="1" x14ac:dyDescent="0.25"/>
    <row r="47701" hidden="1" x14ac:dyDescent="0.25"/>
    <row r="47702" hidden="1" x14ac:dyDescent="0.25"/>
    <row r="47703" hidden="1" x14ac:dyDescent="0.25"/>
    <row r="47704" hidden="1" x14ac:dyDescent="0.25"/>
    <row r="47705" hidden="1" x14ac:dyDescent="0.25"/>
    <row r="47706" hidden="1" x14ac:dyDescent="0.25"/>
    <row r="47707" hidden="1" x14ac:dyDescent="0.25"/>
    <row r="47708" hidden="1" x14ac:dyDescent="0.25"/>
    <row r="47709" hidden="1" x14ac:dyDescent="0.25"/>
    <row r="47710" hidden="1" x14ac:dyDescent="0.25"/>
    <row r="47711" hidden="1" x14ac:dyDescent="0.25"/>
    <row r="47712" hidden="1" x14ac:dyDescent="0.25"/>
    <row r="47713" hidden="1" x14ac:dyDescent="0.25"/>
    <row r="47714" hidden="1" x14ac:dyDescent="0.25"/>
    <row r="47715" hidden="1" x14ac:dyDescent="0.25"/>
    <row r="47716" hidden="1" x14ac:dyDescent="0.25"/>
    <row r="47717" hidden="1" x14ac:dyDescent="0.25"/>
    <row r="47718" hidden="1" x14ac:dyDescent="0.25"/>
    <row r="47719" hidden="1" x14ac:dyDescent="0.25"/>
    <row r="47720" hidden="1" x14ac:dyDescent="0.25"/>
    <row r="47721" hidden="1" x14ac:dyDescent="0.25"/>
    <row r="47722" hidden="1" x14ac:dyDescent="0.25"/>
    <row r="47723" hidden="1" x14ac:dyDescent="0.25"/>
    <row r="47724" hidden="1" x14ac:dyDescent="0.25"/>
    <row r="47725" hidden="1" x14ac:dyDescent="0.25"/>
    <row r="47726" hidden="1" x14ac:dyDescent="0.25"/>
    <row r="47727" hidden="1" x14ac:dyDescent="0.25"/>
    <row r="47728" hidden="1" x14ac:dyDescent="0.25"/>
    <row r="47729" hidden="1" x14ac:dyDescent="0.25"/>
    <row r="47730" hidden="1" x14ac:dyDescent="0.25"/>
    <row r="47731" hidden="1" x14ac:dyDescent="0.25"/>
    <row r="47732" hidden="1" x14ac:dyDescent="0.25"/>
    <row r="47733" hidden="1" x14ac:dyDescent="0.25"/>
    <row r="47734" hidden="1" x14ac:dyDescent="0.25"/>
    <row r="47735" hidden="1" x14ac:dyDescent="0.25"/>
    <row r="47736" hidden="1" x14ac:dyDescent="0.25"/>
    <row r="47737" hidden="1" x14ac:dyDescent="0.25"/>
    <row r="47738" hidden="1" x14ac:dyDescent="0.25"/>
    <row r="47739" hidden="1" x14ac:dyDescent="0.25"/>
    <row r="47740" hidden="1" x14ac:dyDescent="0.25"/>
    <row r="47741" hidden="1" x14ac:dyDescent="0.25"/>
    <row r="47742" hidden="1" x14ac:dyDescent="0.25"/>
    <row r="47743" hidden="1" x14ac:dyDescent="0.25"/>
    <row r="47744" hidden="1" x14ac:dyDescent="0.25"/>
    <row r="47745" hidden="1" x14ac:dyDescent="0.25"/>
    <row r="47746" hidden="1" x14ac:dyDescent="0.25"/>
    <row r="47747" hidden="1" x14ac:dyDescent="0.25"/>
    <row r="47748" hidden="1" x14ac:dyDescent="0.25"/>
    <row r="47749" hidden="1" x14ac:dyDescent="0.25"/>
    <row r="47750" hidden="1" x14ac:dyDescent="0.25"/>
    <row r="47751" hidden="1" x14ac:dyDescent="0.25"/>
    <row r="47752" hidden="1" x14ac:dyDescent="0.25"/>
    <row r="47753" hidden="1" x14ac:dyDescent="0.25"/>
    <row r="47754" hidden="1" x14ac:dyDescent="0.25"/>
    <row r="47755" hidden="1" x14ac:dyDescent="0.25"/>
    <row r="47756" hidden="1" x14ac:dyDescent="0.25"/>
    <row r="47757" hidden="1" x14ac:dyDescent="0.25"/>
    <row r="47758" hidden="1" x14ac:dyDescent="0.25"/>
    <row r="47759" hidden="1" x14ac:dyDescent="0.25"/>
    <row r="47760" hidden="1" x14ac:dyDescent="0.25"/>
    <row r="47761" hidden="1" x14ac:dyDescent="0.25"/>
    <row r="47762" hidden="1" x14ac:dyDescent="0.25"/>
    <row r="47763" hidden="1" x14ac:dyDescent="0.25"/>
    <row r="47764" hidden="1" x14ac:dyDescent="0.25"/>
    <row r="47765" hidden="1" x14ac:dyDescent="0.25"/>
    <row r="47766" hidden="1" x14ac:dyDescent="0.25"/>
    <row r="47767" hidden="1" x14ac:dyDescent="0.25"/>
    <row r="47768" hidden="1" x14ac:dyDescent="0.25"/>
    <row r="47769" hidden="1" x14ac:dyDescent="0.25"/>
    <row r="47770" hidden="1" x14ac:dyDescent="0.25"/>
    <row r="47771" hidden="1" x14ac:dyDescent="0.25"/>
    <row r="47772" hidden="1" x14ac:dyDescent="0.25"/>
    <row r="47773" hidden="1" x14ac:dyDescent="0.25"/>
    <row r="47774" hidden="1" x14ac:dyDescent="0.25"/>
    <row r="47775" hidden="1" x14ac:dyDescent="0.25"/>
    <row r="47776" hidden="1" x14ac:dyDescent="0.25"/>
    <row r="47777" hidden="1" x14ac:dyDescent="0.25"/>
    <row r="47778" hidden="1" x14ac:dyDescent="0.25"/>
    <row r="47779" hidden="1" x14ac:dyDescent="0.25"/>
    <row r="47780" hidden="1" x14ac:dyDescent="0.25"/>
    <row r="47781" hidden="1" x14ac:dyDescent="0.25"/>
    <row r="47782" hidden="1" x14ac:dyDescent="0.25"/>
    <row r="47783" hidden="1" x14ac:dyDescent="0.25"/>
    <row r="47784" hidden="1" x14ac:dyDescent="0.25"/>
    <row r="47785" hidden="1" x14ac:dyDescent="0.25"/>
    <row r="47786" hidden="1" x14ac:dyDescent="0.25"/>
    <row r="47787" hidden="1" x14ac:dyDescent="0.25"/>
    <row r="47788" hidden="1" x14ac:dyDescent="0.25"/>
    <row r="47789" hidden="1" x14ac:dyDescent="0.25"/>
    <row r="47790" hidden="1" x14ac:dyDescent="0.25"/>
    <row r="47791" hidden="1" x14ac:dyDescent="0.25"/>
    <row r="47792" hidden="1" x14ac:dyDescent="0.25"/>
    <row r="47793" hidden="1" x14ac:dyDescent="0.25"/>
    <row r="47794" hidden="1" x14ac:dyDescent="0.25"/>
    <row r="47795" hidden="1" x14ac:dyDescent="0.25"/>
    <row r="47796" hidden="1" x14ac:dyDescent="0.25"/>
    <row r="47797" hidden="1" x14ac:dyDescent="0.25"/>
    <row r="47798" hidden="1" x14ac:dyDescent="0.25"/>
    <row r="47799" hidden="1" x14ac:dyDescent="0.25"/>
    <row r="47800" hidden="1" x14ac:dyDescent="0.25"/>
    <row r="47801" hidden="1" x14ac:dyDescent="0.25"/>
    <row r="47802" hidden="1" x14ac:dyDescent="0.25"/>
    <row r="47803" hidden="1" x14ac:dyDescent="0.25"/>
    <row r="47804" hidden="1" x14ac:dyDescent="0.25"/>
    <row r="47805" hidden="1" x14ac:dyDescent="0.25"/>
    <row r="47806" hidden="1" x14ac:dyDescent="0.25"/>
    <row r="47807" hidden="1" x14ac:dyDescent="0.25"/>
    <row r="47808" hidden="1" x14ac:dyDescent="0.25"/>
    <row r="47809" hidden="1" x14ac:dyDescent="0.25"/>
    <row r="47810" hidden="1" x14ac:dyDescent="0.25"/>
    <row r="47811" hidden="1" x14ac:dyDescent="0.25"/>
    <row r="47812" hidden="1" x14ac:dyDescent="0.25"/>
    <row r="47813" hidden="1" x14ac:dyDescent="0.25"/>
    <row r="47814" hidden="1" x14ac:dyDescent="0.25"/>
    <row r="47815" hidden="1" x14ac:dyDescent="0.25"/>
    <row r="47816" hidden="1" x14ac:dyDescent="0.25"/>
    <row r="47817" hidden="1" x14ac:dyDescent="0.25"/>
    <row r="47818" hidden="1" x14ac:dyDescent="0.25"/>
    <row r="47819" hidden="1" x14ac:dyDescent="0.25"/>
    <row r="47820" hidden="1" x14ac:dyDescent="0.25"/>
    <row r="47821" hidden="1" x14ac:dyDescent="0.25"/>
    <row r="47822" hidden="1" x14ac:dyDescent="0.25"/>
    <row r="47823" hidden="1" x14ac:dyDescent="0.25"/>
    <row r="47824" hidden="1" x14ac:dyDescent="0.25"/>
    <row r="47825" hidden="1" x14ac:dyDescent="0.25"/>
    <row r="47826" hidden="1" x14ac:dyDescent="0.25"/>
    <row r="47827" hidden="1" x14ac:dyDescent="0.25"/>
    <row r="47828" hidden="1" x14ac:dyDescent="0.25"/>
    <row r="47829" hidden="1" x14ac:dyDescent="0.25"/>
    <row r="47830" hidden="1" x14ac:dyDescent="0.25"/>
    <row r="47831" hidden="1" x14ac:dyDescent="0.25"/>
    <row r="47832" hidden="1" x14ac:dyDescent="0.25"/>
    <row r="47833" hidden="1" x14ac:dyDescent="0.25"/>
    <row r="47834" hidden="1" x14ac:dyDescent="0.25"/>
    <row r="47835" hidden="1" x14ac:dyDescent="0.25"/>
    <row r="47836" hidden="1" x14ac:dyDescent="0.25"/>
    <row r="47837" hidden="1" x14ac:dyDescent="0.25"/>
    <row r="47838" hidden="1" x14ac:dyDescent="0.25"/>
    <row r="47839" hidden="1" x14ac:dyDescent="0.25"/>
    <row r="47840" hidden="1" x14ac:dyDescent="0.25"/>
    <row r="47841" hidden="1" x14ac:dyDescent="0.25"/>
    <row r="47842" hidden="1" x14ac:dyDescent="0.25"/>
    <row r="47843" hidden="1" x14ac:dyDescent="0.25"/>
    <row r="47844" hidden="1" x14ac:dyDescent="0.25"/>
    <row r="47845" hidden="1" x14ac:dyDescent="0.25"/>
    <row r="47846" hidden="1" x14ac:dyDescent="0.25"/>
    <row r="47847" hidden="1" x14ac:dyDescent="0.25"/>
    <row r="47848" hidden="1" x14ac:dyDescent="0.25"/>
    <row r="47849" hidden="1" x14ac:dyDescent="0.25"/>
    <row r="47850" hidden="1" x14ac:dyDescent="0.25"/>
    <row r="47851" hidden="1" x14ac:dyDescent="0.25"/>
    <row r="47852" hidden="1" x14ac:dyDescent="0.25"/>
    <row r="47853" hidden="1" x14ac:dyDescent="0.25"/>
    <row r="47854" hidden="1" x14ac:dyDescent="0.25"/>
    <row r="47855" hidden="1" x14ac:dyDescent="0.25"/>
    <row r="47856" hidden="1" x14ac:dyDescent="0.25"/>
    <row r="47857" hidden="1" x14ac:dyDescent="0.25"/>
    <row r="47858" hidden="1" x14ac:dyDescent="0.25"/>
    <row r="47859" hidden="1" x14ac:dyDescent="0.25"/>
    <row r="47860" hidden="1" x14ac:dyDescent="0.25"/>
    <row r="47861" hidden="1" x14ac:dyDescent="0.25"/>
    <row r="47862" hidden="1" x14ac:dyDescent="0.25"/>
    <row r="47863" hidden="1" x14ac:dyDescent="0.25"/>
    <row r="47864" hidden="1" x14ac:dyDescent="0.25"/>
    <row r="47865" hidden="1" x14ac:dyDescent="0.25"/>
    <row r="47866" hidden="1" x14ac:dyDescent="0.25"/>
    <row r="47867" hidden="1" x14ac:dyDescent="0.25"/>
    <row r="47868" hidden="1" x14ac:dyDescent="0.25"/>
    <row r="47869" hidden="1" x14ac:dyDescent="0.25"/>
    <row r="47870" hidden="1" x14ac:dyDescent="0.25"/>
    <row r="47871" hidden="1" x14ac:dyDescent="0.25"/>
    <row r="47872" hidden="1" x14ac:dyDescent="0.25"/>
    <row r="47873" hidden="1" x14ac:dyDescent="0.25"/>
    <row r="47874" hidden="1" x14ac:dyDescent="0.25"/>
    <row r="47875" hidden="1" x14ac:dyDescent="0.25"/>
    <row r="47876" hidden="1" x14ac:dyDescent="0.25"/>
    <row r="47877" hidden="1" x14ac:dyDescent="0.25"/>
    <row r="47878" hidden="1" x14ac:dyDescent="0.25"/>
    <row r="47879" hidden="1" x14ac:dyDescent="0.25"/>
    <row r="47880" hidden="1" x14ac:dyDescent="0.25"/>
    <row r="47881" hidden="1" x14ac:dyDescent="0.25"/>
    <row r="47882" hidden="1" x14ac:dyDescent="0.25"/>
    <row r="47883" hidden="1" x14ac:dyDescent="0.25"/>
    <row r="47884" hidden="1" x14ac:dyDescent="0.25"/>
    <row r="47885" hidden="1" x14ac:dyDescent="0.25"/>
    <row r="47886" hidden="1" x14ac:dyDescent="0.25"/>
    <row r="47887" hidden="1" x14ac:dyDescent="0.25"/>
    <row r="47888" hidden="1" x14ac:dyDescent="0.25"/>
    <row r="47889" hidden="1" x14ac:dyDescent="0.25"/>
    <row r="47890" hidden="1" x14ac:dyDescent="0.25"/>
    <row r="47891" hidden="1" x14ac:dyDescent="0.25"/>
    <row r="47892" hidden="1" x14ac:dyDescent="0.25"/>
    <row r="47893" hidden="1" x14ac:dyDescent="0.25"/>
    <row r="47894" hidden="1" x14ac:dyDescent="0.25"/>
    <row r="47895" hidden="1" x14ac:dyDescent="0.25"/>
    <row r="47896" hidden="1" x14ac:dyDescent="0.25"/>
    <row r="47897" hidden="1" x14ac:dyDescent="0.25"/>
    <row r="47898" hidden="1" x14ac:dyDescent="0.25"/>
    <row r="47899" hidden="1" x14ac:dyDescent="0.25"/>
    <row r="47900" hidden="1" x14ac:dyDescent="0.25"/>
    <row r="47901" hidden="1" x14ac:dyDescent="0.25"/>
    <row r="47902" hidden="1" x14ac:dyDescent="0.25"/>
    <row r="47903" hidden="1" x14ac:dyDescent="0.25"/>
    <row r="47904" hidden="1" x14ac:dyDescent="0.25"/>
    <row r="47905" hidden="1" x14ac:dyDescent="0.25"/>
    <row r="47906" hidden="1" x14ac:dyDescent="0.25"/>
    <row r="47907" hidden="1" x14ac:dyDescent="0.25"/>
    <row r="47908" hidden="1" x14ac:dyDescent="0.25"/>
    <row r="47909" hidden="1" x14ac:dyDescent="0.25"/>
    <row r="47910" hidden="1" x14ac:dyDescent="0.25"/>
    <row r="47911" hidden="1" x14ac:dyDescent="0.25"/>
    <row r="47912" hidden="1" x14ac:dyDescent="0.25"/>
    <row r="47913" hidden="1" x14ac:dyDescent="0.25"/>
    <row r="47914" hidden="1" x14ac:dyDescent="0.25"/>
    <row r="47915" hidden="1" x14ac:dyDescent="0.25"/>
    <row r="47916" hidden="1" x14ac:dyDescent="0.25"/>
    <row r="47917" hidden="1" x14ac:dyDescent="0.25"/>
    <row r="47918" hidden="1" x14ac:dyDescent="0.25"/>
    <row r="47919" hidden="1" x14ac:dyDescent="0.25"/>
    <row r="47920" hidden="1" x14ac:dyDescent="0.25"/>
    <row r="47921" hidden="1" x14ac:dyDescent="0.25"/>
    <row r="47922" hidden="1" x14ac:dyDescent="0.25"/>
    <row r="47923" hidden="1" x14ac:dyDescent="0.25"/>
    <row r="47924" hidden="1" x14ac:dyDescent="0.25"/>
    <row r="47925" hidden="1" x14ac:dyDescent="0.25"/>
    <row r="47926" hidden="1" x14ac:dyDescent="0.25"/>
    <row r="47927" hidden="1" x14ac:dyDescent="0.25"/>
    <row r="47928" hidden="1" x14ac:dyDescent="0.25"/>
    <row r="47929" hidden="1" x14ac:dyDescent="0.25"/>
    <row r="47930" hidden="1" x14ac:dyDescent="0.25"/>
    <row r="47931" hidden="1" x14ac:dyDescent="0.25"/>
    <row r="47932" hidden="1" x14ac:dyDescent="0.25"/>
    <row r="47933" hidden="1" x14ac:dyDescent="0.25"/>
    <row r="47934" hidden="1" x14ac:dyDescent="0.25"/>
    <row r="47935" hidden="1" x14ac:dyDescent="0.25"/>
    <row r="47936" hidden="1" x14ac:dyDescent="0.25"/>
    <row r="47937" hidden="1" x14ac:dyDescent="0.25"/>
    <row r="47938" hidden="1" x14ac:dyDescent="0.25"/>
    <row r="47939" hidden="1" x14ac:dyDescent="0.25"/>
    <row r="47940" hidden="1" x14ac:dyDescent="0.25"/>
    <row r="47941" hidden="1" x14ac:dyDescent="0.25"/>
    <row r="47942" hidden="1" x14ac:dyDescent="0.25"/>
    <row r="47943" hidden="1" x14ac:dyDescent="0.25"/>
    <row r="47944" hidden="1" x14ac:dyDescent="0.25"/>
    <row r="47945" hidden="1" x14ac:dyDescent="0.25"/>
    <row r="47946" hidden="1" x14ac:dyDescent="0.25"/>
    <row r="47947" hidden="1" x14ac:dyDescent="0.25"/>
    <row r="47948" hidden="1" x14ac:dyDescent="0.25"/>
    <row r="47949" hidden="1" x14ac:dyDescent="0.25"/>
    <row r="47950" hidden="1" x14ac:dyDescent="0.25"/>
    <row r="47951" hidden="1" x14ac:dyDescent="0.25"/>
    <row r="47952" hidden="1" x14ac:dyDescent="0.25"/>
    <row r="47953" hidden="1" x14ac:dyDescent="0.25"/>
    <row r="47954" hidden="1" x14ac:dyDescent="0.25"/>
    <row r="47955" hidden="1" x14ac:dyDescent="0.25"/>
    <row r="47956" hidden="1" x14ac:dyDescent="0.25"/>
    <row r="47957" hidden="1" x14ac:dyDescent="0.25"/>
    <row r="47958" hidden="1" x14ac:dyDescent="0.25"/>
    <row r="47959" hidden="1" x14ac:dyDescent="0.25"/>
    <row r="47960" hidden="1" x14ac:dyDescent="0.25"/>
    <row r="47961" hidden="1" x14ac:dyDescent="0.25"/>
    <row r="47962" hidden="1" x14ac:dyDescent="0.25"/>
    <row r="47963" hidden="1" x14ac:dyDescent="0.25"/>
    <row r="47964" hidden="1" x14ac:dyDescent="0.25"/>
    <row r="47965" hidden="1" x14ac:dyDescent="0.25"/>
    <row r="47966" hidden="1" x14ac:dyDescent="0.25"/>
    <row r="47967" hidden="1" x14ac:dyDescent="0.25"/>
    <row r="47968" hidden="1" x14ac:dyDescent="0.25"/>
    <row r="47969" hidden="1" x14ac:dyDescent="0.25"/>
    <row r="47970" hidden="1" x14ac:dyDescent="0.25"/>
    <row r="47971" hidden="1" x14ac:dyDescent="0.25"/>
    <row r="47972" hidden="1" x14ac:dyDescent="0.25"/>
    <row r="47973" hidden="1" x14ac:dyDescent="0.25"/>
    <row r="47974" hidden="1" x14ac:dyDescent="0.25"/>
    <row r="47975" hidden="1" x14ac:dyDescent="0.25"/>
    <row r="47976" hidden="1" x14ac:dyDescent="0.25"/>
    <row r="47977" hidden="1" x14ac:dyDescent="0.25"/>
    <row r="47978" hidden="1" x14ac:dyDescent="0.25"/>
    <row r="47979" hidden="1" x14ac:dyDescent="0.25"/>
    <row r="47980" hidden="1" x14ac:dyDescent="0.25"/>
    <row r="47981" hidden="1" x14ac:dyDescent="0.25"/>
    <row r="47982" hidden="1" x14ac:dyDescent="0.25"/>
    <row r="47983" hidden="1" x14ac:dyDescent="0.25"/>
    <row r="47984" hidden="1" x14ac:dyDescent="0.25"/>
    <row r="47985" hidden="1" x14ac:dyDescent="0.25"/>
    <row r="47986" hidden="1" x14ac:dyDescent="0.25"/>
    <row r="47987" hidden="1" x14ac:dyDescent="0.25"/>
    <row r="47988" hidden="1" x14ac:dyDescent="0.25"/>
    <row r="47989" hidden="1" x14ac:dyDescent="0.25"/>
    <row r="47990" hidden="1" x14ac:dyDescent="0.25"/>
    <row r="47991" hidden="1" x14ac:dyDescent="0.25"/>
    <row r="47992" hidden="1" x14ac:dyDescent="0.25"/>
    <row r="47993" hidden="1" x14ac:dyDescent="0.25"/>
    <row r="47994" hidden="1" x14ac:dyDescent="0.25"/>
    <row r="47995" hidden="1" x14ac:dyDescent="0.25"/>
    <row r="47996" hidden="1" x14ac:dyDescent="0.25"/>
    <row r="47997" hidden="1" x14ac:dyDescent="0.25"/>
    <row r="47998" hidden="1" x14ac:dyDescent="0.25"/>
    <row r="47999" hidden="1" x14ac:dyDescent="0.25"/>
    <row r="48000" hidden="1" x14ac:dyDescent="0.25"/>
    <row r="48001" hidden="1" x14ac:dyDescent="0.25"/>
    <row r="48002" hidden="1" x14ac:dyDescent="0.25"/>
    <row r="48003" hidden="1" x14ac:dyDescent="0.25"/>
    <row r="48004" hidden="1" x14ac:dyDescent="0.25"/>
    <row r="48005" hidden="1" x14ac:dyDescent="0.25"/>
    <row r="48006" hidden="1" x14ac:dyDescent="0.25"/>
    <row r="48007" hidden="1" x14ac:dyDescent="0.25"/>
    <row r="48008" hidden="1" x14ac:dyDescent="0.25"/>
    <row r="48009" hidden="1" x14ac:dyDescent="0.25"/>
    <row r="48010" hidden="1" x14ac:dyDescent="0.25"/>
    <row r="48011" hidden="1" x14ac:dyDescent="0.25"/>
    <row r="48012" hidden="1" x14ac:dyDescent="0.25"/>
    <row r="48013" hidden="1" x14ac:dyDescent="0.25"/>
    <row r="48014" hidden="1" x14ac:dyDescent="0.25"/>
    <row r="48015" hidden="1" x14ac:dyDescent="0.25"/>
    <row r="48016" hidden="1" x14ac:dyDescent="0.25"/>
    <row r="48017" hidden="1" x14ac:dyDescent="0.25"/>
    <row r="48018" hidden="1" x14ac:dyDescent="0.25"/>
    <row r="48019" hidden="1" x14ac:dyDescent="0.25"/>
    <row r="48020" hidden="1" x14ac:dyDescent="0.25"/>
    <row r="48021" hidden="1" x14ac:dyDescent="0.25"/>
    <row r="48022" hidden="1" x14ac:dyDescent="0.25"/>
    <row r="48023" hidden="1" x14ac:dyDescent="0.25"/>
    <row r="48024" hidden="1" x14ac:dyDescent="0.25"/>
    <row r="48025" hidden="1" x14ac:dyDescent="0.25"/>
    <row r="48026" hidden="1" x14ac:dyDescent="0.25"/>
    <row r="48027" hidden="1" x14ac:dyDescent="0.25"/>
    <row r="48028" hidden="1" x14ac:dyDescent="0.25"/>
    <row r="48029" hidden="1" x14ac:dyDescent="0.25"/>
    <row r="48030" hidden="1" x14ac:dyDescent="0.25"/>
    <row r="48031" hidden="1" x14ac:dyDescent="0.25"/>
    <row r="48032" hidden="1" x14ac:dyDescent="0.25"/>
    <row r="48033" hidden="1" x14ac:dyDescent="0.25"/>
    <row r="48034" hidden="1" x14ac:dyDescent="0.25"/>
    <row r="48035" hidden="1" x14ac:dyDescent="0.25"/>
    <row r="48036" hidden="1" x14ac:dyDescent="0.25"/>
    <row r="48037" hidden="1" x14ac:dyDescent="0.25"/>
    <row r="48038" hidden="1" x14ac:dyDescent="0.25"/>
    <row r="48039" hidden="1" x14ac:dyDescent="0.25"/>
    <row r="48040" hidden="1" x14ac:dyDescent="0.25"/>
    <row r="48041" hidden="1" x14ac:dyDescent="0.25"/>
    <row r="48042" hidden="1" x14ac:dyDescent="0.25"/>
    <row r="48043" hidden="1" x14ac:dyDescent="0.25"/>
    <row r="48044" hidden="1" x14ac:dyDescent="0.25"/>
    <row r="48045" hidden="1" x14ac:dyDescent="0.25"/>
    <row r="48046" hidden="1" x14ac:dyDescent="0.25"/>
    <row r="48047" hidden="1" x14ac:dyDescent="0.25"/>
    <row r="48048" hidden="1" x14ac:dyDescent="0.25"/>
    <row r="48049" hidden="1" x14ac:dyDescent="0.25"/>
    <row r="48050" hidden="1" x14ac:dyDescent="0.25"/>
    <row r="48051" hidden="1" x14ac:dyDescent="0.25"/>
    <row r="48052" hidden="1" x14ac:dyDescent="0.25"/>
    <row r="48053" hidden="1" x14ac:dyDescent="0.25"/>
    <row r="48054" hidden="1" x14ac:dyDescent="0.25"/>
    <row r="48055" hidden="1" x14ac:dyDescent="0.25"/>
    <row r="48056" hidden="1" x14ac:dyDescent="0.25"/>
    <row r="48057" hidden="1" x14ac:dyDescent="0.25"/>
    <row r="48058" hidden="1" x14ac:dyDescent="0.25"/>
    <row r="48059" hidden="1" x14ac:dyDescent="0.25"/>
    <row r="48060" hidden="1" x14ac:dyDescent="0.25"/>
    <row r="48061" hidden="1" x14ac:dyDescent="0.25"/>
    <row r="48062" hidden="1" x14ac:dyDescent="0.25"/>
    <row r="48063" hidden="1" x14ac:dyDescent="0.25"/>
    <row r="48064" hidden="1" x14ac:dyDescent="0.25"/>
    <row r="48065" hidden="1" x14ac:dyDescent="0.25"/>
    <row r="48066" hidden="1" x14ac:dyDescent="0.25"/>
    <row r="48067" hidden="1" x14ac:dyDescent="0.25"/>
    <row r="48068" hidden="1" x14ac:dyDescent="0.25"/>
    <row r="48069" hidden="1" x14ac:dyDescent="0.25"/>
    <row r="48070" hidden="1" x14ac:dyDescent="0.25"/>
    <row r="48071" hidden="1" x14ac:dyDescent="0.25"/>
    <row r="48072" hidden="1" x14ac:dyDescent="0.25"/>
    <row r="48073" hidden="1" x14ac:dyDescent="0.25"/>
    <row r="48074" hidden="1" x14ac:dyDescent="0.25"/>
    <row r="48075" hidden="1" x14ac:dyDescent="0.25"/>
    <row r="48076" hidden="1" x14ac:dyDescent="0.25"/>
    <row r="48077" hidden="1" x14ac:dyDescent="0.25"/>
    <row r="48078" hidden="1" x14ac:dyDescent="0.25"/>
    <row r="48079" hidden="1" x14ac:dyDescent="0.25"/>
    <row r="48080" hidden="1" x14ac:dyDescent="0.25"/>
    <row r="48081" hidden="1" x14ac:dyDescent="0.25"/>
    <row r="48082" hidden="1" x14ac:dyDescent="0.25"/>
    <row r="48083" hidden="1" x14ac:dyDescent="0.25"/>
    <row r="48084" hidden="1" x14ac:dyDescent="0.25"/>
    <row r="48085" hidden="1" x14ac:dyDescent="0.25"/>
    <row r="48086" hidden="1" x14ac:dyDescent="0.25"/>
    <row r="48087" hidden="1" x14ac:dyDescent="0.25"/>
    <row r="48088" hidden="1" x14ac:dyDescent="0.25"/>
    <row r="48089" hidden="1" x14ac:dyDescent="0.25"/>
    <row r="48090" hidden="1" x14ac:dyDescent="0.25"/>
    <row r="48091" hidden="1" x14ac:dyDescent="0.25"/>
    <row r="48092" hidden="1" x14ac:dyDescent="0.25"/>
    <row r="48093" hidden="1" x14ac:dyDescent="0.25"/>
    <row r="48094" hidden="1" x14ac:dyDescent="0.25"/>
    <row r="48095" hidden="1" x14ac:dyDescent="0.25"/>
    <row r="48096" hidden="1" x14ac:dyDescent="0.25"/>
    <row r="48097" hidden="1" x14ac:dyDescent="0.25"/>
    <row r="48098" hidden="1" x14ac:dyDescent="0.25"/>
    <row r="48099" hidden="1" x14ac:dyDescent="0.25"/>
    <row r="48100" hidden="1" x14ac:dyDescent="0.25"/>
    <row r="48101" hidden="1" x14ac:dyDescent="0.25"/>
    <row r="48102" hidden="1" x14ac:dyDescent="0.25"/>
    <row r="48103" hidden="1" x14ac:dyDescent="0.25"/>
    <row r="48104" hidden="1" x14ac:dyDescent="0.25"/>
    <row r="48105" hidden="1" x14ac:dyDescent="0.25"/>
    <row r="48106" hidden="1" x14ac:dyDescent="0.25"/>
    <row r="48107" hidden="1" x14ac:dyDescent="0.25"/>
    <row r="48108" hidden="1" x14ac:dyDescent="0.25"/>
    <row r="48109" hidden="1" x14ac:dyDescent="0.25"/>
    <row r="48110" hidden="1" x14ac:dyDescent="0.25"/>
    <row r="48111" hidden="1" x14ac:dyDescent="0.25"/>
    <row r="48112" hidden="1" x14ac:dyDescent="0.25"/>
    <row r="48113" hidden="1" x14ac:dyDescent="0.25"/>
    <row r="48114" hidden="1" x14ac:dyDescent="0.25"/>
    <row r="48115" hidden="1" x14ac:dyDescent="0.25"/>
    <row r="48116" hidden="1" x14ac:dyDescent="0.25"/>
    <row r="48117" hidden="1" x14ac:dyDescent="0.25"/>
    <row r="48118" hidden="1" x14ac:dyDescent="0.25"/>
    <row r="48119" hidden="1" x14ac:dyDescent="0.25"/>
    <row r="48120" hidden="1" x14ac:dyDescent="0.25"/>
    <row r="48121" hidden="1" x14ac:dyDescent="0.25"/>
    <row r="48122" hidden="1" x14ac:dyDescent="0.25"/>
    <row r="48123" hidden="1" x14ac:dyDescent="0.25"/>
    <row r="48124" hidden="1" x14ac:dyDescent="0.25"/>
    <row r="48125" hidden="1" x14ac:dyDescent="0.25"/>
    <row r="48126" hidden="1" x14ac:dyDescent="0.25"/>
    <row r="48127" hidden="1" x14ac:dyDescent="0.25"/>
    <row r="48128" hidden="1" x14ac:dyDescent="0.25"/>
    <row r="48129" hidden="1" x14ac:dyDescent="0.25"/>
    <row r="48130" hidden="1" x14ac:dyDescent="0.25"/>
    <row r="48131" hidden="1" x14ac:dyDescent="0.25"/>
    <row r="48132" hidden="1" x14ac:dyDescent="0.25"/>
    <row r="48133" hidden="1" x14ac:dyDescent="0.25"/>
    <row r="48134" hidden="1" x14ac:dyDescent="0.25"/>
    <row r="48135" hidden="1" x14ac:dyDescent="0.25"/>
    <row r="48136" hidden="1" x14ac:dyDescent="0.25"/>
    <row r="48137" hidden="1" x14ac:dyDescent="0.25"/>
    <row r="48138" hidden="1" x14ac:dyDescent="0.25"/>
    <row r="48139" hidden="1" x14ac:dyDescent="0.25"/>
    <row r="48140" hidden="1" x14ac:dyDescent="0.25"/>
    <row r="48141" hidden="1" x14ac:dyDescent="0.25"/>
    <row r="48142" hidden="1" x14ac:dyDescent="0.25"/>
    <row r="48143" hidden="1" x14ac:dyDescent="0.25"/>
    <row r="48144" hidden="1" x14ac:dyDescent="0.25"/>
    <row r="48145" hidden="1" x14ac:dyDescent="0.25"/>
    <row r="48146" hidden="1" x14ac:dyDescent="0.25"/>
    <row r="48147" hidden="1" x14ac:dyDescent="0.25"/>
    <row r="48148" hidden="1" x14ac:dyDescent="0.25"/>
    <row r="48149" hidden="1" x14ac:dyDescent="0.25"/>
    <row r="48150" hidden="1" x14ac:dyDescent="0.25"/>
    <row r="48151" hidden="1" x14ac:dyDescent="0.25"/>
    <row r="48152" hidden="1" x14ac:dyDescent="0.25"/>
    <row r="48153" hidden="1" x14ac:dyDescent="0.25"/>
    <row r="48154" hidden="1" x14ac:dyDescent="0.25"/>
    <row r="48155" hidden="1" x14ac:dyDescent="0.25"/>
    <row r="48156" hidden="1" x14ac:dyDescent="0.25"/>
    <row r="48157" hidden="1" x14ac:dyDescent="0.25"/>
    <row r="48158" hidden="1" x14ac:dyDescent="0.25"/>
    <row r="48159" hidden="1" x14ac:dyDescent="0.25"/>
    <row r="48160" hidden="1" x14ac:dyDescent="0.25"/>
    <row r="48161" hidden="1" x14ac:dyDescent="0.25"/>
    <row r="48162" hidden="1" x14ac:dyDescent="0.25"/>
    <row r="48163" hidden="1" x14ac:dyDescent="0.25"/>
    <row r="48164" hidden="1" x14ac:dyDescent="0.25"/>
    <row r="48165" hidden="1" x14ac:dyDescent="0.25"/>
    <row r="48166" hidden="1" x14ac:dyDescent="0.25"/>
    <row r="48167" hidden="1" x14ac:dyDescent="0.25"/>
    <row r="48168" hidden="1" x14ac:dyDescent="0.25"/>
    <row r="48169" hidden="1" x14ac:dyDescent="0.25"/>
    <row r="48170" hidden="1" x14ac:dyDescent="0.25"/>
    <row r="48171" hidden="1" x14ac:dyDescent="0.25"/>
    <row r="48172" hidden="1" x14ac:dyDescent="0.25"/>
    <row r="48173" hidden="1" x14ac:dyDescent="0.25"/>
    <row r="48174" hidden="1" x14ac:dyDescent="0.25"/>
    <row r="48175" hidden="1" x14ac:dyDescent="0.25"/>
    <row r="48176" hidden="1" x14ac:dyDescent="0.25"/>
    <row r="48177" hidden="1" x14ac:dyDescent="0.25"/>
    <row r="48178" hidden="1" x14ac:dyDescent="0.25"/>
    <row r="48179" hidden="1" x14ac:dyDescent="0.25"/>
    <row r="48180" hidden="1" x14ac:dyDescent="0.25"/>
    <row r="48181" hidden="1" x14ac:dyDescent="0.25"/>
    <row r="48182" hidden="1" x14ac:dyDescent="0.25"/>
    <row r="48183" hidden="1" x14ac:dyDescent="0.25"/>
    <row r="48184" hidden="1" x14ac:dyDescent="0.25"/>
    <row r="48185" hidden="1" x14ac:dyDescent="0.25"/>
    <row r="48186" hidden="1" x14ac:dyDescent="0.25"/>
    <row r="48187" hidden="1" x14ac:dyDescent="0.25"/>
    <row r="48188" hidden="1" x14ac:dyDescent="0.25"/>
    <row r="48189" hidden="1" x14ac:dyDescent="0.25"/>
    <row r="48190" hidden="1" x14ac:dyDescent="0.25"/>
    <row r="48191" hidden="1" x14ac:dyDescent="0.25"/>
    <row r="48192" hidden="1" x14ac:dyDescent="0.25"/>
    <row r="48193" hidden="1" x14ac:dyDescent="0.25"/>
    <row r="48194" hidden="1" x14ac:dyDescent="0.25"/>
    <row r="48195" hidden="1" x14ac:dyDescent="0.25"/>
    <row r="48196" hidden="1" x14ac:dyDescent="0.25"/>
    <row r="48197" hidden="1" x14ac:dyDescent="0.25"/>
    <row r="48198" hidden="1" x14ac:dyDescent="0.25"/>
    <row r="48199" hidden="1" x14ac:dyDescent="0.25"/>
    <row r="48200" hidden="1" x14ac:dyDescent="0.25"/>
    <row r="48201" hidden="1" x14ac:dyDescent="0.25"/>
    <row r="48202" hidden="1" x14ac:dyDescent="0.25"/>
    <row r="48203" hidden="1" x14ac:dyDescent="0.25"/>
    <row r="48204" hidden="1" x14ac:dyDescent="0.25"/>
    <row r="48205" hidden="1" x14ac:dyDescent="0.25"/>
    <row r="48206" hidden="1" x14ac:dyDescent="0.25"/>
    <row r="48207" hidden="1" x14ac:dyDescent="0.25"/>
    <row r="48208" hidden="1" x14ac:dyDescent="0.25"/>
    <row r="48209" hidden="1" x14ac:dyDescent="0.25"/>
    <row r="48210" hidden="1" x14ac:dyDescent="0.25"/>
    <row r="48211" hidden="1" x14ac:dyDescent="0.25"/>
    <row r="48212" hidden="1" x14ac:dyDescent="0.25"/>
    <row r="48213" hidden="1" x14ac:dyDescent="0.25"/>
    <row r="48214" hidden="1" x14ac:dyDescent="0.25"/>
    <row r="48215" hidden="1" x14ac:dyDescent="0.25"/>
    <row r="48216" hidden="1" x14ac:dyDescent="0.25"/>
    <row r="48217" hidden="1" x14ac:dyDescent="0.25"/>
    <row r="48218" hidden="1" x14ac:dyDescent="0.25"/>
    <row r="48219" hidden="1" x14ac:dyDescent="0.25"/>
    <row r="48220" hidden="1" x14ac:dyDescent="0.25"/>
    <row r="48221" hidden="1" x14ac:dyDescent="0.25"/>
    <row r="48222" hidden="1" x14ac:dyDescent="0.25"/>
    <row r="48223" hidden="1" x14ac:dyDescent="0.25"/>
    <row r="48224" hidden="1" x14ac:dyDescent="0.25"/>
    <row r="48225" hidden="1" x14ac:dyDescent="0.25"/>
    <row r="48226" hidden="1" x14ac:dyDescent="0.25"/>
    <row r="48227" hidden="1" x14ac:dyDescent="0.25"/>
    <row r="48228" hidden="1" x14ac:dyDescent="0.25"/>
    <row r="48229" hidden="1" x14ac:dyDescent="0.25"/>
    <row r="48230" hidden="1" x14ac:dyDescent="0.25"/>
    <row r="48231" hidden="1" x14ac:dyDescent="0.25"/>
    <row r="48232" hidden="1" x14ac:dyDescent="0.25"/>
    <row r="48233" hidden="1" x14ac:dyDescent="0.25"/>
    <row r="48234" hidden="1" x14ac:dyDescent="0.25"/>
    <row r="48235" hidden="1" x14ac:dyDescent="0.25"/>
    <row r="48236" hidden="1" x14ac:dyDescent="0.25"/>
    <row r="48237" hidden="1" x14ac:dyDescent="0.25"/>
    <row r="48238" hidden="1" x14ac:dyDescent="0.25"/>
    <row r="48239" hidden="1" x14ac:dyDescent="0.25"/>
    <row r="48240" hidden="1" x14ac:dyDescent="0.25"/>
    <row r="48241" hidden="1" x14ac:dyDescent="0.25"/>
    <row r="48242" hidden="1" x14ac:dyDescent="0.25"/>
    <row r="48243" hidden="1" x14ac:dyDescent="0.25"/>
    <row r="48244" hidden="1" x14ac:dyDescent="0.25"/>
    <row r="48245" hidden="1" x14ac:dyDescent="0.25"/>
    <row r="48246" hidden="1" x14ac:dyDescent="0.25"/>
    <row r="48247" hidden="1" x14ac:dyDescent="0.25"/>
    <row r="48248" hidden="1" x14ac:dyDescent="0.25"/>
    <row r="48249" hidden="1" x14ac:dyDescent="0.25"/>
    <row r="48250" hidden="1" x14ac:dyDescent="0.25"/>
    <row r="48251" hidden="1" x14ac:dyDescent="0.25"/>
    <row r="48252" hidden="1" x14ac:dyDescent="0.25"/>
    <row r="48253" hidden="1" x14ac:dyDescent="0.25"/>
    <row r="48254" hidden="1" x14ac:dyDescent="0.25"/>
    <row r="48255" hidden="1" x14ac:dyDescent="0.25"/>
    <row r="48256" hidden="1" x14ac:dyDescent="0.25"/>
    <row r="48257" hidden="1" x14ac:dyDescent="0.25"/>
    <row r="48258" hidden="1" x14ac:dyDescent="0.25"/>
    <row r="48259" hidden="1" x14ac:dyDescent="0.25"/>
    <row r="48260" hidden="1" x14ac:dyDescent="0.25"/>
    <row r="48261" hidden="1" x14ac:dyDescent="0.25"/>
    <row r="48262" hidden="1" x14ac:dyDescent="0.25"/>
    <row r="48263" hidden="1" x14ac:dyDescent="0.25"/>
    <row r="48264" hidden="1" x14ac:dyDescent="0.25"/>
    <row r="48265" hidden="1" x14ac:dyDescent="0.25"/>
    <row r="48266" hidden="1" x14ac:dyDescent="0.25"/>
    <row r="48267" hidden="1" x14ac:dyDescent="0.25"/>
    <row r="48268" hidden="1" x14ac:dyDescent="0.25"/>
    <row r="48269" hidden="1" x14ac:dyDescent="0.25"/>
    <row r="48270" hidden="1" x14ac:dyDescent="0.25"/>
    <row r="48271" hidden="1" x14ac:dyDescent="0.25"/>
    <row r="48272" hidden="1" x14ac:dyDescent="0.25"/>
    <row r="48273" hidden="1" x14ac:dyDescent="0.25"/>
    <row r="48274" hidden="1" x14ac:dyDescent="0.25"/>
    <row r="48275" hidden="1" x14ac:dyDescent="0.25"/>
    <row r="48276" hidden="1" x14ac:dyDescent="0.25"/>
    <row r="48277" hidden="1" x14ac:dyDescent="0.25"/>
    <row r="48278" hidden="1" x14ac:dyDescent="0.25"/>
    <row r="48279" hidden="1" x14ac:dyDescent="0.25"/>
    <row r="48280" hidden="1" x14ac:dyDescent="0.25"/>
    <row r="48281" hidden="1" x14ac:dyDescent="0.25"/>
    <row r="48282" hidden="1" x14ac:dyDescent="0.25"/>
    <row r="48283" hidden="1" x14ac:dyDescent="0.25"/>
    <row r="48284" hidden="1" x14ac:dyDescent="0.25"/>
    <row r="48285" hidden="1" x14ac:dyDescent="0.25"/>
    <row r="48286" hidden="1" x14ac:dyDescent="0.25"/>
    <row r="48287" hidden="1" x14ac:dyDescent="0.25"/>
    <row r="48288" hidden="1" x14ac:dyDescent="0.25"/>
    <row r="48289" hidden="1" x14ac:dyDescent="0.25"/>
    <row r="48290" hidden="1" x14ac:dyDescent="0.25"/>
    <row r="48291" hidden="1" x14ac:dyDescent="0.25"/>
    <row r="48292" hidden="1" x14ac:dyDescent="0.25"/>
    <row r="48293" hidden="1" x14ac:dyDescent="0.25"/>
    <row r="48294" hidden="1" x14ac:dyDescent="0.25"/>
    <row r="48295" hidden="1" x14ac:dyDescent="0.25"/>
    <row r="48296" hidden="1" x14ac:dyDescent="0.25"/>
    <row r="48297" hidden="1" x14ac:dyDescent="0.25"/>
    <row r="48298" hidden="1" x14ac:dyDescent="0.25"/>
    <row r="48299" hidden="1" x14ac:dyDescent="0.25"/>
    <row r="48300" hidden="1" x14ac:dyDescent="0.25"/>
    <row r="48301" hidden="1" x14ac:dyDescent="0.25"/>
    <row r="48302" hidden="1" x14ac:dyDescent="0.25"/>
    <row r="48303" hidden="1" x14ac:dyDescent="0.25"/>
    <row r="48304" hidden="1" x14ac:dyDescent="0.25"/>
    <row r="48305" hidden="1" x14ac:dyDescent="0.25"/>
    <row r="48306" hidden="1" x14ac:dyDescent="0.25"/>
    <row r="48307" hidden="1" x14ac:dyDescent="0.25"/>
    <row r="48308" hidden="1" x14ac:dyDescent="0.25"/>
    <row r="48309" hidden="1" x14ac:dyDescent="0.25"/>
    <row r="48310" hidden="1" x14ac:dyDescent="0.25"/>
    <row r="48311" hidden="1" x14ac:dyDescent="0.25"/>
    <row r="48312" hidden="1" x14ac:dyDescent="0.25"/>
    <row r="48313" hidden="1" x14ac:dyDescent="0.25"/>
    <row r="48314" hidden="1" x14ac:dyDescent="0.25"/>
    <row r="48315" hidden="1" x14ac:dyDescent="0.25"/>
    <row r="48316" hidden="1" x14ac:dyDescent="0.25"/>
    <row r="48317" hidden="1" x14ac:dyDescent="0.25"/>
    <row r="48318" hidden="1" x14ac:dyDescent="0.25"/>
    <row r="48319" hidden="1" x14ac:dyDescent="0.25"/>
    <row r="48320" hidden="1" x14ac:dyDescent="0.25"/>
    <row r="48321" hidden="1" x14ac:dyDescent="0.25"/>
    <row r="48322" hidden="1" x14ac:dyDescent="0.25"/>
    <row r="48323" hidden="1" x14ac:dyDescent="0.25"/>
    <row r="48324" hidden="1" x14ac:dyDescent="0.25"/>
    <row r="48325" hidden="1" x14ac:dyDescent="0.25"/>
    <row r="48326" hidden="1" x14ac:dyDescent="0.25"/>
    <row r="48327" hidden="1" x14ac:dyDescent="0.25"/>
    <row r="48328" hidden="1" x14ac:dyDescent="0.25"/>
    <row r="48329" hidden="1" x14ac:dyDescent="0.25"/>
    <row r="48330" hidden="1" x14ac:dyDescent="0.25"/>
    <row r="48331" hidden="1" x14ac:dyDescent="0.25"/>
    <row r="48332" hidden="1" x14ac:dyDescent="0.25"/>
    <row r="48333" hidden="1" x14ac:dyDescent="0.25"/>
    <row r="48334" hidden="1" x14ac:dyDescent="0.25"/>
    <row r="48335" hidden="1" x14ac:dyDescent="0.25"/>
    <row r="48336" hidden="1" x14ac:dyDescent="0.25"/>
    <row r="48337" hidden="1" x14ac:dyDescent="0.25"/>
    <row r="48338" hidden="1" x14ac:dyDescent="0.25"/>
    <row r="48339" hidden="1" x14ac:dyDescent="0.25"/>
    <row r="48340" hidden="1" x14ac:dyDescent="0.25"/>
    <row r="48341" hidden="1" x14ac:dyDescent="0.25"/>
    <row r="48342" hidden="1" x14ac:dyDescent="0.25"/>
    <row r="48343" hidden="1" x14ac:dyDescent="0.25"/>
    <row r="48344" hidden="1" x14ac:dyDescent="0.25"/>
    <row r="48345" hidden="1" x14ac:dyDescent="0.25"/>
    <row r="48346" hidden="1" x14ac:dyDescent="0.25"/>
    <row r="48347" hidden="1" x14ac:dyDescent="0.25"/>
    <row r="48348" hidden="1" x14ac:dyDescent="0.25"/>
    <row r="48349" hidden="1" x14ac:dyDescent="0.25"/>
    <row r="48350" hidden="1" x14ac:dyDescent="0.25"/>
    <row r="48351" hidden="1" x14ac:dyDescent="0.25"/>
    <row r="48352" hidden="1" x14ac:dyDescent="0.25"/>
    <row r="48353" hidden="1" x14ac:dyDescent="0.25"/>
    <row r="48354" hidden="1" x14ac:dyDescent="0.25"/>
    <row r="48355" hidden="1" x14ac:dyDescent="0.25"/>
    <row r="48356" hidden="1" x14ac:dyDescent="0.25"/>
    <row r="48357" hidden="1" x14ac:dyDescent="0.25"/>
    <row r="48358" hidden="1" x14ac:dyDescent="0.25"/>
    <row r="48359" hidden="1" x14ac:dyDescent="0.25"/>
    <row r="48360" hidden="1" x14ac:dyDescent="0.25"/>
    <row r="48361" hidden="1" x14ac:dyDescent="0.25"/>
    <row r="48362" hidden="1" x14ac:dyDescent="0.25"/>
    <row r="48363" hidden="1" x14ac:dyDescent="0.25"/>
    <row r="48364" hidden="1" x14ac:dyDescent="0.25"/>
    <row r="48365" hidden="1" x14ac:dyDescent="0.25"/>
    <row r="48366" hidden="1" x14ac:dyDescent="0.25"/>
    <row r="48367" hidden="1" x14ac:dyDescent="0.25"/>
    <row r="48368" hidden="1" x14ac:dyDescent="0.25"/>
    <row r="48369" hidden="1" x14ac:dyDescent="0.25"/>
    <row r="48370" hidden="1" x14ac:dyDescent="0.25"/>
    <row r="48371" hidden="1" x14ac:dyDescent="0.25"/>
    <row r="48372" hidden="1" x14ac:dyDescent="0.25"/>
    <row r="48373" hidden="1" x14ac:dyDescent="0.25"/>
    <row r="48374" hidden="1" x14ac:dyDescent="0.25"/>
    <row r="48375" hidden="1" x14ac:dyDescent="0.25"/>
    <row r="48376" hidden="1" x14ac:dyDescent="0.25"/>
    <row r="48377" hidden="1" x14ac:dyDescent="0.25"/>
    <row r="48378" hidden="1" x14ac:dyDescent="0.25"/>
    <row r="48379" hidden="1" x14ac:dyDescent="0.25"/>
    <row r="48380" hidden="1" x14ac:dyDescent="0.25"/>
    <row r="48381" hidden="1" x14ac:dyDescent="0.25"/>
    <row r="48382" hidden="1" x14ac:dyDescent="0.25"/>
    <row r="48383" hidden="1" x14ac:dyDescent="0.25"/>
    <row r="48384" hidden="1" x14ac:dyDescent="0.25"/>
    <row r="48385" hidden="1" x14ac:dyDescent="0.25"/>
    <row r="48386" hidden="1" x14ac:dyDescent="0.25"/>
    <row r="48387" hidden="1" x14ac:dyDescent="0.25"/>
    <row r="48388" hidden="1" x14ac:dyDescent="0.25"/>
    <row r="48389" hidden="1" x14ac:dyDescent="0.25"/>
    <row r="48390" hidden="1" x14ac:dyDescent="0.25"/>
    <row r="48391" hidden="1" x14ac:dyDescent="0.25"/>
    <row r="48392" hidden="1" x14ac:dyDescent="0.25"/>
    <row r="48393" hidden="1" x14ac:dyDescent="0.25"/>
    <row r="48394" hidden="1" x14ac:dyDescent="0.25"/>
    <row r="48395" hidden="1" x14ac:dyDescent="0.25"/>
    <row r="48396" hidden="1" x14ac:dyDescent="0.25"/>
    <row r="48397" hidden="1" x14ac:dyDescent="0.25"/>
    <row r="48398" hidden="1" x14ac:dyDescent="0.25"/>
    <row r="48399" hidden="1" x14ac:dyDescent="0.25"/>
    <row r="48400" hidden="1" x14ac:dyDescent="0.25"/>
    <row r="48401" hidden="1" x14ac:dyDescent="0.25"/>
    <row r="48402" hidden="1" x14ac:dyDescent="0.25"/>
    <row r="48403" hidden="1" x14ac:dyDescent="0.25"/>
    <row r="48404" hidden="1" x14ac:dyDescent="0.25"/>
    <row r="48405" hidden="1" x14ac:dyDescent="0.25"/>
    <row r="48406" hidden="1" x14ac:dyDescent="0.25"/>
    <row r="48407" hidden="1" x14ac:dyDescent="0.25"/>
    <row r="48408" hidden="1" x14ac:dyDescent="0.25"/>
    <row r="48409" hidden="1" x14ac:dyDescent="0.25"/>
    <row r="48410" hidden="1" x14ac:dyDescent="0.25"/>
    <row r="48411" hidden="1" x14ac:dyDescent="0.25"/>
    <row r="48412" hidden="1" x14ac:dyDescent="0.25"/>
    <row r="48413" hidden="1" x14ac:dyDescent="0.25"/>
    <row r="48414" hidden="1" x14ac:dyDescent="0.25"/>
    <row r="48415" hidden="1" x14ac:dyDescent="0.25"/>
    <row r="48416" hidden="1" x14ac:dyDescent="0.25"/>
    <row r="48417" hidden="1" x14ac:dyDescent="0.25"/>
    <row r="48418" hidden="1" x14ac:dyDescent="0.25"/>
    <row r="48419" hidden="1" x14ac:dyDescent="0.25"/>
    <row r="48420" hidden="1" x14ac:dyDescent="0.25"/>
    <row r="48421" hidden="1" x14ac:dyDescent="0.25"/>
    <row r="48422" hidden="1" x14ac:dyDescent="0.25"/>
    <row r="48423" hidden="1" x14ac:dyDescent="0.25"/>
    <row r="48424" hidden="1" x14ac:dyDescent="0.25"/>
    <row r="48425" hidden="1" x14ac:dyDescent="0.25"/>
    <row r="48426" hidden="1" x14ac:dyDescent="0.25"/>
    <row r="48427" hidden="1" x14ac:dyDescent="0.25"/>
    <row r="48428" hidden="1" x14ac:dyDescent="0.25"/>
    <row r="48429" hidden="1" x14ac:dyDescent="0.25"/>
    <row r="48430" hidden="1" x14ac:dyDescent="0.25"/>
    <row r="48431" hidden="1" x14ac:dyDescent="0.25"/>
    <row r="48432" hidden="1" x14ac:dyDescent="0.25"/>
    <row r="48433" hidden="1" x14ac:dyDescent="0.25"/>
    <row r="48434" hidden="1" x14ac:dyDescent="0.25"/>
    <row r="48435" hidden="1" x14ac:dyDescent="0.25"/>
    <row r="48436" hidden="1" x14ac:dyDescent="0.25"/>
    <row r="48437" hidden="1" x14ac:dyDescent="0.25"/>
    <row r="48438" hidden="1" x14ac:dyDescent="0.25"/>
    <row r="48439" hidden="1" x14ac:dyDescent="0.25"/>
    <row r="48440" hidden="1" x14ac:dyDescent="0.25"/>
    <row r="48441" hidden="1" x14ac:dyDescent="0.25"/>
    <row r="48442" hidden="1" x14ac:dyDescent="0.25"/>
    <row r="48443" hidden="1" x14ac:dyDescent="0.25"/>
    <row r="48444" hidden="1" x14ac:dyDescent="0.25"/>
    <row r="48445" hidden="1" x14ac:dyDescent="0.25"/>
    <row r="48446" hidden="1" x14ac:dyDescent="0.25"/>
    <row r="48447" hidden="1" x14ac:dyDescent="0.25"/>
    <row r="48448" hidden="1" x14ac:dyDescent="0.25"/>
    <row r="48449" hidden="1" x14ac:dyDescent="0.25"/>
    <row r="48450" hidden="1" x14ac:dyDescent="0.25"/>
    <row r="48451" hidden="1" x14ac:dyDescent="0.25"/>
    <row r="48452" hidden="1" x14ac:dyDescent="0.25"/>
    <row r="48453" hidden="1" x14ac:dyDescent="0.25"/>
    <row r="48454" hidden="1" x14ac:dyDescent="0.25"/>
    <row r="48455" hidden="1" x14ac:dyDescent="0.25"/>
    <row r="48456" hidden="1" x14ac:dyDescent="0.25"/>
    <row r="48457" hidden="1" x14ac:dyDescent="0.25"/>
    <row r="48458" hidden="1" x14ac:dyDescent="0.25"/>
    <row r="48459" hidden="1" x14ac:dyDescent="0.25"/>
    <row r="48460" hidden="1" x14ac:dyDescent="0.25"/>
    <row r="48461" hidden="1" x14ac:dyDescent="0.25"/>
    <row r="48462" hidden="1" x14ac:dyDescent="0.25"/>
    <row r="48463" hidden="1" x14ac:dyDescent="0.25"/>
    <row r="48464" hidden="1" x14ac:dyDescent="0.25"/>
    <row r="48465" hidden="1" x14ac:dyDescent="0.25"/>
    <row r="48466" hidden="1" x14ac:dyDescent="0.25"/>
    <row r="48467" hidden="1" x14ac:dyDescent="0.25"/>
    <row r="48468" hidden="1" x14ac:dyDescent="0.25"/>
    <row r="48469" hidden="1" x14ac:dyDescent="0.25"/>
    <row r="48470" hidden="1" x14ac:dyDescent="0.25"/>
    <row r="48471" hidden="1" x14ac:dyDescent="0.25"/>
    <row r="48472" hidden="1" x14ac:dyDescent="0.25"/>
    <row r="48473" hidden="1" x14ac:dyDescent="0.25"/>
    <row r="48474" hidden="1" x14ac:dyDescent="0.25"/>
    <row r="48475" hidden="1" x14ac:dyDescent="0.25"/>
    <row r="48476" hidden="1" x14ac:dyDescent="0.25"/>
    <row r="48477" hidden="1" x14ac:dyDescent="0.25"/>
    <row r="48478" hidden="1" x14ac:dyDescent="0.25"/>
    <row r="48479" hidden="1" x14ac:dyDescent="0.25"/>
    <row r="48480" hidden="1" x14ac:dyDescent="0.25"/>
    <row r="48481" hidden="1" x14ac:dyDescent="0.25"/>
    <row r="48482" hidden="1" x14ac:dyDescent="0.25"/>
    <row r="48483" hidden="1" x14ac:dyDescent="0.25"/>
    <row r="48484" hidden="1" x14ac:dyDescent="0.25"/>
    <row r="48485" hidden="1" x14ac:dyDescent="0.25"/>
    <row r="48486" hidden="1" x14ac:dyDescent="0.25"/>
    <row r="48487" hidden="1" x14ac:dyDescent="0.25"/>
    <row r="48488" hidden="1" x14ac:dyDescent="0.25"/>
    <row r="48489" hidden="1" x14ac:dyDescent="0.25"/>
    <row r="48490" hidden="1" x14ac:dyDescent="0.25"/>
    <row r="48491" hidden="1" x14ac:dyDescent="0.25"/>
    <row r="48492" hidden="1" x14ac:dyDescent="0.25"/>
    <row r="48493" hidden="1" x14ac:dyDescent="0.25"/>
    <row r="48494" hidden="1" x14ac:dyDescent="0.25"/>
    <row r="48495" hidden="1" x14ac:dyDescent="0.25"/>
    <row r="48496" hidden="1" x14ac:dyDescent="0.25"/>
    <row r="48497" hidden="1" x14ac:dyDescent="0.25"/>
    <row r="48498" hidden="1" x14ac:dyDescent="0.25"/>
    <row r="48499" hidden="1" x14ac:dyDescent="0.25"/>
    <row r="48500" hidden="1" x14ac:dyDescent="0.25"/>
    <row r="48501" hidden="1" x14ac:dyDescent="0.25"/>
    <row r="48502" hidden="1" x14ac:dyDescent="0.25"/>
    <row r="48503" hidden="1" x14ac:dyDescent="0.25"/>
    <row r="48504" hidden="1" x14ac:dyDescent="0.25"/>
    <row r="48505" hidden="1" x14ac:dyDescent="0.25"/>
    <row r="48506" hidden="1" x14ac:dyDescent="0.25"/>
    <row r="48507" hidden="1" x14ac:dyDescent="0.25"/>
    <row r="48508" hidden="1" x14ac:dyDescent="0.25"/>
    <row r="48509" hidden="1" x14ac:dyDescent="0.25"/>
    <row r="48510" hidden="1" x14ac:dyDescent="0.25"/>
    <row r="48511" hidden="1" x14ac:dyDescent="0.25"/>
    <row r="48512" hidden="1" x14ac:dyDescent="0.25"/>
    <row r="48513" hidden="1" x14ac:dyDescent="0.25"/>
    <row r="48514" hidden="1" x14ac:dyDescent="0.25"/>
    <row r="48515" hidden="1" x14ac:dyDescent="0.25"/>
    <row r="48516" hidden="1" x14ac:dyDescent="0.25"/>
    <row r="48517" hidden="1" x14ac:dyDescent="0.25"/>
    <row r="48518" hidden="1" x14ac:dyDescent="0.25"/>
    <row r="48519" hidden="1" x14ac:dyDescent="0.25"/>
    <row r="48520" hidden="1" x14ac:dyDescent="0.25"/>
    <row r="48521" hidden="1" x14ac:dyDescent="0.25"/>
    <row r="48522" hidden="1" x14ac:dyDescent="0.25"/>
    <row r="48523" hidden="1" x14ac:dyDescent="0.25"/>
    <row r="48524" hidden="1" x14ac:dyDescent="0.25"/>
    <row r="48525" hidden="1" x14ac:dyDescent="0.25"/>
    <row r="48526" hidden="1" x14ac:dyDescent="0.25"/>
    <row r="48527" hidden="1" x14ac:dyDescent="0.25"/>
    <row r="48528" hidden="1" x14ac:dyDescent="0.25"/>
    <row r="48529" hidden="1" x14ac:dyDescent="0.25"/>
    <row r="48530" hidden="1" x14ac:dyDescent="0.25"/>
    <row r="48531" hidden="1" x14ac:dyDescent="0.25"/>
    <row r="48532" hidden="1" x14ac:dyDescent="0.25"/>
    <row r="48533" hidden="1" x14ac:dyDescent="0.25"/>
    <row r="48534" hidden="1" x14ac:dyDescent="0.25"/>
    <row r="48535" hidden="1" x14ac:dyDescent="0.25"/>
    <row r="48536" hidden="1" x14ac:dyDescent="0.25"/>
    <row r="48537" hidden="1" x14ac:dyDescent="0.25"/>
    <row r="48538" hidden="1" x14ac:dyDescent="0.25"/>
    <row r="48539" hidden="1" x14ac:dyDescent="0.25"/>
    <row r="48540" hidden="1" x14ac:dyDescent="0.25"/>
    <row r="48541" hidden="1" x14ac:dyDescent="0.25"/>
    <row r="48542" hidden="1" x14ac:dyDescent="0.25"/>
    <row r="48543" hidden="1" x14ac:dyDescent="0.25"/>
    <row r="48544" hidden="1" x14ac:dyDescent="0.25"/>
    <row r="48545" hidden="1" x14ac:dyDescent="0.25"/>
    <row r="48546" hidden="1" x14ac:dyDescent="0.25"/>
    <row r="48547" hidden="1" x14ac:dyDescent="0.25"/>
    <row r="48548" hidden="1" x14ac:dyDescent="0.25"/>
    <row r="48549" hidden="1" x14ac:dyDescent="0.25"/>
    <row r="48550" hidden="1" x14ac:dyDescent="0.25"/>
    <row r="48551" hidden="1" x14ac:dyDescent="0.25"/>
    <row r="48552" hidden="1" x14ac:dyDescent="0.25"/>
    <row r="48553" hidden="1" x14ac:dyDescent="0.25"/>
    <row r="48554" hidden="1" x14ac:dyDescent="0.25"/>
    <row r="48555" hidden="1" x14ac:dyDescent="0.25"/>
    <row r="48556" hidden="1" x14ac:dyDescent="0.25"/>
    <row r="48557" hidden="1" x14ac:dyDescent="0.25"/>
    <row r="48558" hidden="1" x14ac:dyDescent="0.25"/>
    <row r="48559" hidden="1" x14ac:dyDescent="0.25"/>
    <row r="48560" hidden="1" x14ac:dyDescent="0.25"/>
    <row r="48561" hidden="1" x14ac:dyDescent="0.25"/>
    <row r="48562" hidden="1" x14ac:dyDescent="0.25"/>
    <row r="48563" hidden="1" x14ac:dyDescent="0.25"/>
    <row r="48564" hidden="1" x14ac:dyDescent="0.25"/>
    <row r="48565" hidden="1" x14ac:dyDescent="0.25"/>
    <row r="48566" hidden="1" x14ac:dyDescent="0.25"/>
    <row r="48567" hidden="1" x14ac:dyDescent="0.25"/>
    <row r="48568" hidden="1" x14ac:dyDescent="0.25"/>
    <row r="48569" hidden="1" x14ac:dyDescent="0.25"/>
    <row r="48570" hidden="1" x14ac:dyDescent="0.25"/>
    <row r="48571" hidden="1" x14ac:dyDescent="0.25"/>
    <row r="48572" hidden="1" x14ac:dyDescent="0.25"/>
    <row r="48573" hidden="1" x14ac:dyDescent="0.25"/>
    <row r="48574" hidden="1" x14ac:dyDescent="0.25"/>
    <row r="48575" hidden="1" x14ac:dyDescent="0.25"/>
    <row r="48576" hidden="1" x14ac:dyDescent="0.25"/>
    <row r="48577" hidden="1" x14ac:dyDescent="0.25"/>
    <row r="48578" hidden="1" x14ac:dyDescent="0.25"/>
    <row r="48579" hidden="1" x14ac:dyDescent="0.25"/>
    <row r="48580" hidden="1" x14ac:dyDescent="0.25"/>
    <row r="48581" hidden="1" x14ac:dyDescent="0.25"/>
    <row r="48582" hidden="1" x14ac:dyDescent="0.25"/>
    <row r="48583" hidden="1" x14ac:dyDescent="0.25"/>
    <row r="48584" hidden="1" x14ac:dyDescent="0.25"/>
    <row r="48585" hidden="1" x14ac:dyDescent="0.25"/>
    <row r="48586" hidden="1" x14ac:dyDescent="0.25"/>
    <row r="48587" hidden="1" x14ac:dyDescent="0.25"/>
    <row r="48588" hidden="1" x14ac:dyDescent="0.25"/>
    <row r="48589" hidden="1" x14ac:dyDescent="0.25"/>
    <row r="48590" hidden="1" x14ac:dyDescent="0.25"/>
    <row r="48591" hidden="1" x14ac:dyDescent="0.25"/>
    <row r="48592" hidden="1" x14ac:dyDescent="0.25"/>
    <row r="48593" hidden="1" x14ac:dyDescent="0.25"/>
    <row r="48594" hidden="1" x14ac:dyDescent="0.25"/>
    <row r="48595" hidden="1" x14ac:dyDescent="0.25"/>
    <row r="48596" hidden="1" x14ac:dyDescent="0.25"/>
    <row r="48597" hidden="1" x14ac:dyDescent="0.25"/>
    <row r="48598" hidden="1" x14ac:dyDescent="0.25"/>
    <row r="48599" hidden="1" x14ac:dyDescent="0.25"/>
    <row r="48600" hidden="1" x14ac:dyDescent="0.25"/>
    <row r="48601" hidden="1" x14ac:dyDescent="0.25"/>
    <row r="48602" hidden="1" x14ac:dyDescent="0.25"/>
    <row r="48603" hidden="1" x14ac:dyDescent="0.25"/>
    <row r="48604" hidden="1" x14ac:dyDescent="0.25"/>
    <row r="48605" hidden="1" x14ac:dyDescent="0.25"/>
    <row r="48606" hidden="1" x14ac:dyDescent="0.25"/>
    <row r="48607" hidden="1" x14ac:dyDescent="0.25"/>
    <row r="48608" hidden="1" x14ac:dyDescent="0.25"/>
    <row r="48609" hidden="1" x14ac:dyDescent="0.25"/>
    <row r="48610" hidden="1" x14ac:dyDescent="0.25"/>
    <row r="48611" hidden="1" x14ac:dyDescent="0.25"/>
    <row r="48612" hidden="1" x14ac:dyDescent="0.25"/>
    <row r="48613" hidden="1" x14ac:dyDescent="0.25"/>
    <row r="48614" hidden="1" x14ac:dyDescent="0.25"/>
    <row r="48615" hidden="1" x14ac:dyDescent="0.25"/>
    <row r="48616" hidden="1" x14ac:dyDescent="0.25"/>
    <row r="48617" hidden="1" x14ac:dyDescent="0.25"/>
    <row r="48618" hidden="1" x14ac:dyDescent="0.25"/>
    <row r="48619" hidden="1" x14ac:dyDescent="0.25"/>
    <row r="48620" hidden="1" x14ac:dyDescent="0.25"/>
    <row r="48621" hidden="1" x14ac:dyDescent="0.25"/>
    <row r="48622" hidden="1" x14ac:dyDescent="0.25"/>
    <row r="48623" hidden="1" x14ac:dyDescent="0.25"/>
    <row r="48624" hidden="1" x14ac:dyDescent="0.25"/>
    <row r="48625" hidden="1" x14ac:dyDescent="0.25"/>
    <row r="48626" hidden="1" x14ac:dyDescent="0.25"/>
    <row r="48627" hidden="1" x14ac:dyDescent="0.25"/>
    <row r="48628" hidden="1" x14ac:dyDescent="0.25"/>
    <row r="48629" hidden="1" x14ac:dyDescent="0.25"/>
    <row r="48630" hidden="1" x14ac:dyDescent="0.25"/>
    <row r="48631" hidden="1" x14ac:dyDescent="0.25"/>
    <row r="48632" hidden="1" x14ac:dyDescent="0.25"/>
    <row r="48633" hidden="1" x14ac:dyDescent="0.25"/>
    <row r="48634" hidden="1" x14ac:dyDescent="0.25"/>
    <row r="48635" hidden="1" x14ac:dyDescent="0.25"/>
    <row r="48636" hidden="1" x14ac:dyDescent="0.25"/>
    <row r="48637" hidden="1" x14ac:dyDescent="0.25"/>
    <row r="48638" hidden="1" x14ac:dyDescent="0.25"/>
    <row r="48639" hidden="1" x14ac:dyDescent="0.25"/>
    <row r="48640" hidden="1" x14ac:dyDescent="0.25"/>
    <row r="48641" hidden="1" x14ac:dyDescent="0.25"/>
    <row r="48642" hidden="1" x14ac:dyDescent="0.25"/>
    <row r="48643" hidden="1" x14ac:dyDescent="0.25"/>
    <row r="48644" hidden="1" x14ac:dyDescent="0.25"/>
    <row r="48645" hidden="1" x14ac:dyDescent="0.25"/>
    <row r="48646" hidden="1" x14ac:dyDescent="0.25"/>
    <row r="48647" hidden="1" x14ac:dyDescent="0.25"/>
    <row r="48648" hidden="1" x14ac:dyDescent="0.25"/>
    <row r="48649" hidden="1" x14ac:dyDescent="0.25"/>
    <row r="48650" hidden="1" x14ac:dyDescent="0.25"/>
    <row r="48651" hidden="1" x14ac:dyDescent="0.25"/>
    <row r="48652" hidden="1" x14ac:dyDescent="0.25"/>
    <row r="48653" hidden="1" x14ac:dyDescent="0.25"/>
    <row r="48654" hidden="1" x14ac:dyDescent="0.25"/>
    <row r="48655" hidden="1" x14ac:dyDescent="0.25"/>
    <row r="48656" hidden="1" x14ac:dyDescent="0.25"/>
    <row r="48657" hidden="1" x14ac:dyDescent="0.25"/>
    <row r="48658" hidden="1" x14ac:dyDescent="0.25"/>
    <row r="48659" hidden="1" x14ac:dyDescent="0.25"/>
    <row r="48660" hidden="1" x14ac:dyDescent="0.25"/>
    <row r="48661" hidden="1" x14ac:dyDescent="0.25"/>
    <row r="48662" hidden="1" x14ac:dyDescent="0.25"/>
    <row r="48663" hidden="1" x14ac:dyDescent="0.25"/>
    <row r="48664" hidden="1" x14ac:dyDescent="0.25"/>
    <row r="48665" hidden="1" x14ac:dyDescent="0.25"/>
    <row r="48666" hidden="1" x14ac:dyDescent="0.25"/>
    <row r="48667" hidden="1" x14ac:dyDescent="0.25"/>
    <row r="48668" hidden="1" x14ac:dyDescent="0.25"/>
    <row r="48669" hidden="1" x14ac:dyDescent="0.25"/>
    <row r="48670" hidden="1" x14ac:dyDescent="0.25"/>
    <row r="48671" hidden="1" x14ac:dyDescent="0.25"/>
    <row r="48672" hidden="1" x14ac:dyDescent="0.25"/>
    <row r="48673" hidden="1" x14ac:dyDescent="0.25"/>
    <row r="48674" hidden="1" x14ac:dyDescent="0.25"/>
    <row r="48675" hidden="1" x14ac:dyDescent="0.25"/>
    <row r="48676" hidden="1" x14ac:dyDescent="0.25"/>
    <row r="48677" hidden="1" x14ac:dyDescent="0.25"/>
    <row r="48678" hidden="1" x14ac:dyDescent="0.25"/>
    <row r="48679" hidden="1" x14ac:dyDescent="0.25"/>
    <row r="48680" hidden="1" x14ac:dyDescent="0.25"/>
    <row r="48681" hidden="1" x14ac:dyDescent="0.25"/>
    <row r="48682" hidden="1" x14ac:dyDescent="0.25"/>
    <row r="48683" hidden="1" x14ac:dyDescent="0.25"/>
    <row r="48684" hidden="1" x14ac:dyDescent="0.25"/>
    <row r="48685" hidden="1" x14ac:dyDescent="0.25"/>
    <row r="48686" hidden="1" x14ac:dyDescent="0.25"/>
    <row r="48687" hidden="1" x14ac:dyDescent="0.25"/>
    <row r="48688" hidden="1" x14ac:dyDescent="0.25"/>
    <row r="48689" hidden="1" x14ac:dyDescent="0.25"/>
    <row r="48690" hidden="1" x14ac:dyDescent="0.25"/>
    <row r="48691" hidden="1" x14ac:dyDescent="0.25"/>
    <row r="48692" hidden="1" x14ac:dyDescent="0.25"/>
    <row r="48693" hidden="1" x14ac:dyDescent="0.25"/>
    <row r="48694" hidden="1" x14ac:dyDescent="0.25"/>
    <row r="48695" hidden="1" x14ac:dyDescent="0.25"/>
    <row r="48696" hidden="1" x14ac:dyDescent="0.25"/>
    <row r="48697" hidden="1" x14ac:dyDescent="0.25"/>
    <row r="48698" hidden="1" x14ac:dyDescent="0.25"/>
    <row r="48699" hidden="1" x14ac:dyDescent="0.25"/>
    <row r="48700" hidden="1" x14ac:dyDescent="0.25"/>
    <row r="48701" hidden="1" x14ac:dyDescent="0.25"/>
    <row r="48702" hidden="1" x14ac:dyDescent="0.25"/>
    <row r="48703" hidden="1" x14ac:dyDescent="0.25"/>
    <row r="48704" hidden="1" x14ac:dyDescent="0.25"/>
    <row r="48705" hidden="1" x14ac:dyDescent="0.25"/>
    <row r="48706" hidden="1" x14ac:dyDescent="0.25"/>
    <row r="48707" hidden="1" x14ac:dyDescent="0.25"/>
    <row r="48708" hidden="1" x14ac:dyDescent="0.25"/>
    <row r="48709" hidden="1" x14ac:dyDescent="0.25"/>
    <row r="48710" hidden="1" x14ac:dyDescent="0.25"/>
    <row r="48711" hidden="1" x14ac:dyDescent="0.25"/>
    <row r="48712" hidden="1" x14ac:dyDescent="0.25"/>
    <row r="48713" hidden="1" x14ac:dyDescent="0.25"/>
    <row r="48714" hidden="1" x14ac:dyDescent="0.25"/>
    <row r="48715" hidden="1" x14ac:dyDescent="0.25"/>
    <row r="48716" hidden="1" x14ac:dyDescent="0.25"/>
    <row r="48717" hidden="1" x14ac:dyDescent="0.25"/>
    <row r="48718" hidden="1" x14ac:dyDescent="0.25"/>
    <row r="48719" hidden="1" x14ac:dyDescent="0.25"/>
    <row r="48720" hidden="1" x14ac:dyDescent="0.25"/>
    <row r="48721" hidden="1" x14ac:dyDescent="0.25"/>
    <row r="48722" hidden="1" x14ac:dyDescent="0.25"/>
    <row r="48723" hidden="1" x14ac:dyDescent="0.25"/>
    <row r="48724" hidden="1" x14ac:dyDescent="0.25"/>
    <row r="48725" hidden="1" x14ac:dyDescent="0.25"/>
    <row r="48726" hidden="1" x14ac:dyDescent="0.25"/>
    <row r="48727" hidden="1" x14ac:dyDescent="0.25"/>
    <row r="48728" hidden="1" x14ac:dyDescent="0.25"/>
    <row r="48729" hidden="1" x14ac:dyDescent="0.25"/>
    <row r="48730" hidden="1" x14ac:dyDescent="0.25"/>
    <row r="48731" hidden="1" x14ac:dyDescent="0.25"/>
    <row r="48732" hidden="1" x14ac:dyDescent="0.25"/>
    <row r="48733" hidden="1" x14ac:dyDescent="0.25"/>
    <row r="48734" hidden="1" x14ac:dyDescent="0.25"/>
    <row r="48735" hidden="1" x14ac:dyDescent="0.25"/>
    <row r="48736" hidden="1" x14ac:dyDescent="0.25"/>
    <row r="48737" hidden="1" x14ac:dyDescent="0.25"/>
    <row r="48738" hidden="1" x14ac:dyDescent="0.25"/>
    <row r="48739" hidden="1" x14ac:dyDescent="0.25"/>
    <row r="48740" hidden="1" x14ac:dyDescent="0.25"/>
    <row r="48741" hidden="1" x14ac:dyDescent="0.25"/>
    <row r="48742" hidden="1" x14ac:dyDescent="0.25"/>
    <row r="48743" hidden="1" x14ac:dyDescent="0.25"/>
    <row r="48744" hidden="1" x14ac:dyDescent="0.25"/>
    <row r="48745" hidden="1" x14ac:dyDescent="0.25"/>
    <row r="48746" hidden="1" x14ac:dyDescent="0.25"/>
    <row r="48747" hidden="1" x14ac:dyDescent="0.25"/>
    <row r="48748" hidden="1" x14ac:dyDescent="0.25"/>
    <row r="48749" hidden="1" x14ac:dyDescent="0.25"/>
    <row r="48750" hidden="1" x14ac:dyDescent="0.25"/>
    <row r="48751" hidden="1" x14ac:dyDescent="0.25"/>
    <row r="48752" hidden="1" x14ac:dyDescent="0.25"/>
    <row r="48753" hidden="1" x14ac:dyDescent="0.25"/>
    <row r="48754" hidden="1" x14ac:dyDescent="0.25"/>
    <row r="48755" hidden="1" x14ac:dyDescent="0.25"/>
    <row r="48756" hidden="1" x14ac:dyDescent="0.25"/>
    <row r="48757" hidden="1" x14ac:dyDescent="0.25"/>
    <row r="48758" hidden="1" x14ac:dyDescent="0.25"/>
    <row r="48759" hidden="1" x14ac:dyDescent="0.25"/>
    <row r="48760" hidden="1" x14ac:dyDescent="0.25"/>
    <row r="48761" hidden="1" x14ac:dyDescent="0.25"/>
    <row r="48762" hidden="1" x14ac:dyDescent="0.25"/>
    <row r="48763" hidden="1" x14ac:dyDescent="0.25"/>
    <row r="48764" hidden="1" x14ac:dyDescent="0.25"/>
    <row r="48765" hidden="1" x14ac:dyDescent="0.25"/>
    <row r="48766" hidden="1" x14ac:dyDescent="0.25"/>
    <row r="48767" hidden="1" x14ac:dyDescent="0.25"/>
    <row r="48768" hidden="1" x14ac:dyDescent="0.25"/>
    <row r="48769" hidden="1" x14ac:dyDescent="0.25"/>
    <row r="48770" hidden="1" x14ac:dyDescent="0.25"/>
    <row r="48771" hidden="1" x14ac:dyDescent="0.25"/>
    <row r="48772" hidden="1" x14ac:dyDescent="0.25"/>
    <row r="48773" hidden="1" x14ac:dyDescent="0.25"/>
    <row r="48774" hidden="1" x14ac:dyDescent="0.25"/>
    <row r="48775" hidden="1" x14ac:dyDescent="0.25"/>
    <row r="48776" hidden="1" x14ac:dyDescent="0.25"/>
    <row r="48777" hidden="1" x14ac:dyDescent="0.25"/>
    <row r="48778" hidden="1" x14ac:dyDescent="0.25"/>
    <row r="48779" hidden="1" x14ac:dyDescent="0.25"/>
    <row r="48780" hidden="1" x14ac:dyDescent="0.25"/>
    <row r="48781" hidden="1" x14ac:dyDescent="0.25"/>
    <row r="48782" hidden="1" x14ac:dyDescent="0.25"/>
    <row r="48783" hidden="1" x14ac:dyDescent="0.25"/>
    <row r="48784" hidden="1" x14ac:dyDescent="0.25"/>
    <row r="48785" hidden="1" x14ac:dyDescent="0.25"/>
    <row r="48786" hidden="1" x14ac:dyDescent="0.25"/>
    <row r="48787" hidden="1" x14ac:dyDescent="0.25"/>
    <row r="48788" hidden="1" x14ac:dyDescent="0.25"/>
    <row r="48789" hidden="1" x14ac:dyDescent="0.25"/>
    <row r="48790" hidden="1" x14ac:dyDescent="0.25"/>
    <row r="48791" hidden="1" x14ac:dyDescent="0.25"/>
    <row r="48792" hidden="1" x14ac:dyDescent="0.25"/>
    <row r="48793" hidden="1" x14ac:dyDescent="0.25"/>
    <row r="48794" hidden="1" x14ac:dyDescent="0.25"/>
    <row r="48795" hidden="1" x14ac:dyDescent="0.25"/>
    <row r="48796" hidden="1" x14ac:dyDescent="0.25"/>
    <row r="48797" hidden="1" x14ac:dyDescent="0.25"/>
    <row r="48798" hidden="1" x14ac:dyDescent="0.25"/>
    <row r="48799" hidden="1" x14ac:dyDescent="0.25"/>
    <row r="48800" hidden="1" x14ac:dyDescent="0.25"/>
    <row r="48801" hidden="1" x14ac:dyDescent="0.25"/>
    <row r="48802" hidden="1" x14ac:dyDescent="0.25"/>
    <row r="48803" hidden="1" x14ac:dyDescent="0.25"/>
    <row r="48804" hidden="1" x14ac:dyDescent="0.25"/>
    <row r="48805" hidden="1" x14ac:dyDescent="0.25"/>
    <row r="48806" hidden="1" x14ac:dyDescent="0.25"/>
    <row r="48807" hidden="1" x14ac:dyDescent="0.25"/>
    <row r="48808" hidden="1" x14ac:dyDescent="0.25"/>
    <row r="48809" hidden="1" x14ac:dyDescent="0.25"/>
    <row r="48810" hidden="1" x14ac:dyDescent="0.25"/>
    <row r="48811" hidden="1" x14ac:dyDescent="0.25"/>
    <row r="48812" hidden="1" x14ac:dyDescent="0.25"/>
    <row r="48813" hidden="1" x14ac:dyDescent="0.25"/>
    <row r="48814" hidden="1" x14ac:dyDescent="0.25"/>
    <row r="48815" hidden="1" x14ac:dyDescent="0.25"/>
    <row r="48816" hidden="1" x14ac:dyDescent="0.25"/>
    <row r="48817" hidden="1" x14ac:dyDescent="0.25"/>
    <row r="48818" hidden="1" x14ac:dyDescent="0.25"/>
    <row r="48819" hidden="1" x14ac:dyDescent="0.25"/>
    <row r="48820" hidden="1" x14ac:dyDescent="0.25"/>
    <row r="48821" hidden="1" x14ac:dyDescent="0.25"/>
    <row r="48822" hidden="1" x14ac:dyDescent="0.25"/>
    <row r="48823" hidden="1" x14ac:dyDescent="0.25"/>
    <row r="48824" hidden="1" x14ac:dyDescent="0.25"/>
    <row r="48825" hidden="1" x14ac:dyDescent="0.25"/>
    <row r="48826" hidden="1" x14ac:dyDescent="0.25"/>
    <row r="48827" hidden="1" x14ac:dyDescent="0.25"/>
    <row r="48828" hidden="1" x14ac:dyDescent="0.25"/>
    <row r="48829" hidden="1" x14ac:dyDescent="0.25"/>
    <row r="48830" hidden="1" x14ac:dyDescent="0.25"/>
    <row r="48831" hidden="1" x14ac:dyDescent="0.25"/>
    <row r="48832" hidden="1" x14ac:dyDescent="0.25"/>
    <row r="48833" hidden="1" x14ac:dyDescent="0.25"/>
    <row r="48834" hidden="1" x14ac:dyDescent="0.25"/>
    <row r="48835" hidden="1" x14ac:dyDescent="0.25"/>
    <row r="48836" hidden="1" x14ac:dyDescent="0.25"/>
    <row r="48837" hidden="1" x14ac:dyDescent="0.25"/>
    <row r="48838" hidden="1" x14ac:dyDescent="0.25"/>
    <row r="48839" hidden="1" x14ac:dyDescent="0.25"/>
    <row r="48840" hidden="1" x14ac:dyDescent="0.25"/>
    <row r="48841" hidden="1" x14ac:dyDescent="0.25"/>
    <row r="48842" hidden="1" x14ac:dyDescent="0.25"/>
    <row r="48843" hidden="1" x14ac:dyDescent="0.25"/>
    <row r="48844" hidden="1" x14ac:dyDescent="0.25"/>
    <row r="48845" hidden="1" x14ac:dyDescent="0.25"/>
    <row r="48846" hidden="1" x14ac:dyDescent="0.25"/>
    <row r="48847" hidden="1" x14ac:dyDescent="0.25"/>
    <row r="48848" hidden="1" x14ac:dyDescent="0.25"/>
    <row r="48849" hidden="1" x14ac:dyDescent="0.25"/>
    <row r="48850" hidden="1" x14ac:dyDescent="0.25"/>
    <row r="48851" hidden="1" x14ac:dyDescent="0.25"/>
    <row r="48852" hidden="1" x14ac:dyDescent="0.25"/>
    <row r="48853" hidden="1" x14ac:dyDescent="0.25"/>
    <row r="48854" hidden="1" x14ac:dyDescent="0.25"/>
    <row r="48855" hidden="1" x14ac:dyDescent="0.25"/>
    <row r="48856" hidden="1" x14ac:dyDescent="0.25"/>
    <row r="48857" hidden="1" x14ac:dyDescent="0.25"/>
    <row r="48858" hidden="1" x14ac:dyDescent="0.25"/>
    <row r="48859" hidden="1" x14ac:dyDescent="0.25"/>
    <row r="48860" hidden="1" x14ac:dyDescent="0.25"/>
    <row r="48861" hidden="1" x14ac:dyDescent="0.25"/>
    <row r="48862" hidden="1" x14ac:dyDescent="0.25"/>
    <row r="48863" hidden="1" x14ac:dyDescent="0.25"/>
    <row r="48864" hidden="1" x14ac:dyDescent="0.25"/>
    <row r="48865" hidden="1" x14ac:dyDescent="0.25"/>
    <row r="48866" hidden="1" x14ac:dyDescent="0.25"/>
    <row r="48867" hidden="1" x14ac:dyDescent="0.25"/>
    <row r="48868" hidden="1" x14ac:dyDescent="0.25"/>
    <row r="48869" hidden="1" x14ac:dyDescent="0.25"/>
    <row r="48870" hidden="1" x14ac:dyDescent="0.25"/>
    <row r="48871" hidden="1" x14ac:dyDescent="0.25"/>
    <row r="48872" hidden="1" x14ac:dyDescent="0.25"/>
    <row r="48873" hidden="1" x14ac:dyDescent="0.25"/>
    <row r="48874" hidden="1" x14ac:dyDescent="0.25"/>
    <row r="48875" hidden="1" x14ac:dyDescent="0.25"/>
    <row r="48876" hidden="1" x14ac:dyDescent="0.25"/>
    <row r="48877" hidden="1" x14ac:dyDescent="0.25"/>
    <row r="48878" hidden="1" x14ac:dyDescent="0.25"/>
    <row r="48879" hidden="1" x14ac:dyDescent="0.25"/>
    <row r="48880" hidden="1" x14ac:dyDescent="0.25"/>
    <row r="48881" hidden="1" x14ac:dyDescent="0.25"/>
    <row r="48882" hidden="1" x14ac:dyDescent="0.25"/>
    <row r="48883" hidden="1" x14ac:dyDescent="0.25"/>
    <row r="48884" hidden="1" x14ac:dyDescent="0.25"/>
    <row r="48885" hidden="1" x14ac:dyDescent="0.25"/>
    <row r="48886" hidden="1" x14ac:dyDescent="0.25"/>
    <row r="48887" hidden="1" x14ac:dyDescent="0.25"/>
    <row r="48888" hidden="1" x14ac:dyDescent="0.25"/>
    <row r="48889" hidden="1" x14ac:dyDescent="0.25"/>
    <row r="48890" hidden="1" x14ac:dyDescent="0.25"/>
    <row r="48891" hidden="1" x14ac:dyDescent="0.25"/>
    <row r="48892" hidden="1" x14ac:dyDescent="0.25"/>
    <row r="48893" hidden="1" x14ac:dyDescent="0.25"/>
    <row r="48894" hidden="1" x14ac:dyDescent="0.25"/>
    <row r="48895" hidden="1" x14ac:dyDescent="0.25"/>
    <row r="48896" hidden="1" x14ac:dyDescent="0.25"/>
    <row r="48897" hidden="1" x14ac:dyDescent="0.25"/>
    <row r="48898" hidden="1" x14ac:dyDescent="0.25"/>
    <row r="48899" hidden="1" x14ac:dyDescent="0.25"/>
    <row r="48900" hidden="1" x14ac:dyDescent="0.25"/>
    <row r="48901" hidden="1" x14ac:dyDescent="0.25"/>
    <row r="48902" hidden="1" x14ac:dyDescent="0.25"/>
    <row r="48903" hidden="1" x14ac:dyDescent="0.25"/>
    <row r="48904" hidden="1" x14ac:dyDescent="0.25"/>
    <row r="48905" hidden="1" x14ac:dyDescent="0.25"/>
    <row r="48906" hidden="1" x14ac:dyDescent="0.25"/>
    <row r="48907" hidden="1" x14ac:dyDescent="0.25"/>
    <row r="48908" hidden="1" x14ac:dyDescent="0.25"/>
    <row r="48909" hidden="1" x14ac:dyDescent="0.25"/>
    <row r="48910" hidden="1" x14ac:dyDescent="0.25"/>
    <row r="48911" hidden="1" x14ac:dyDescent="0.25"/>
    <row r="48912" hidden="1" x14ac:dyDescent="0.25"/>
    <row r="48913" hidden="1" x14ac:dyDescent="0.25"/>
    <row r="48914" hidden="1" x14ac:dyDescent="0.25"/>
    <row r="48915" hidden="1" x14ac:dyDescent="0.25"/>
    <row r="48916" hidden="1" x14ac:dyDescent="0.25"/>
    <row r="48917" hidden="1" x14ac:dyDescent="0.25"/>
    <row r="48918" hidden="1" x14ac:dyDescent="0.25"/>
    <row r="48919" hidden="1" x14ac:dyDescent="0.25"/>
    <row r="48920" hidden="1" x14ac:dyDescent="0.25"/>
    <row r="48921" hidden="1" x14ac:dyDescent="0.25"/>
    <row r="48922" hidden="1" x14ac:dyDescent="0.25"/>
    <row r="48923" hidden="1" x14ac:dyDescent="0.25"/>
    <row r="48924" hidden="1" x14ac:dyDescent="0.25"/>
    <row r="48925" hidden="1" x14ac:dyDescent="0.25"/>
    <row r="48926" hidden="1" x14ac:dyDescent="0.25"/>
    <row r="48927" hidden="1" x14ac:dyDescent="0.25"/>
    <row r="48928" hidden="1" x14ac:dyDescent="0.25"/>
    <row r="48929" hidden="1" x14ac:dyDescent="0.25"/>
    <row r="48930" hidden="1" x14ac:dyDescent="0.25"/>
    <row r="48931" hidden="1" x14ac:dyDescent="0.25"/>
    <row r="48932" hidden="1" x14ac:dyDescent="0.25"/>
    <row r="48933" hidden="1" x14ac:dyDescent="0.25"/>
    <row r="48934" hidden="1" x14ac:dyDescent="0.25"/>
    <row r="48935" hidden="1" x14ac:dyDescent="0.25"/>
    <row r="48936" hidden="1" x14ac:dyDescent="0.25"/>
    <row r="48937" hidden="1" x14ac:dyDescent="0.25"/>
    <row r="48938" hidden="1" x14ac:dyDescent="0.25"/>
    <row r="48939" hidden="1" x14ac:dyDescent="0.25"/>
    <row r="48940" hidden="1" x14ac:dyDescent="0.25"/>
    <row r="48941" hidden="1" x14ac:dyDescent="0.25"/>
    <row r="48942" hidden="1" x14ac:dyDescent="0.25"/>
    <row r="48943" hidden="1" x14ac:dyDescent="0.25"/>
    <row r="48944" hidden="1" x14ac:dyDescent="0.25"/>
    <row r="48945" hidden="1" x14ac:dyDescent="0.25"/>
    <row r="48946" hidden="1" x14ac:dyDescent="0.25"/>
    <row r="48947" hidden="1" x14ac:dyDescent="0.25"/>
    <row r="48948" hidden="1" x14ac:dyDescent="0.25"/>
    <row r="48949" hidden="1" x14ac:dyDescent="0.25"/>
    <row r="48950" hidden="1" x14ac:dyDescent="0.25"/>
    <row r="48951" hidden="1" x14ac:dyDescent="0.25"/>
    <row r="48952" hidden="1" x14ac:dyDescent="0.25"/>
    <row r="48953" hidden="1" x14ac:dyDescent="0.25"/>
    <row r="48954" hidden="1" x14ac:dyDescent="0.25"/>
    <row r="48955" hidden="1" x14ac:dyDescent="0.25"/>
    <row r="48956" hidden="1" x14ac:dyDescent="0.25"/>
    <row r="48957" hidden="1" x14ac:dyDescent="0.25"/>
    <row r="48958" hidden="1" x14ac:dyDescent="0.25"/>
    <row r="48959" hidden="1" x14ac:dyDescent="0.25"/>
    <row r="48960" hidden="1" x14ac:dyDescent="0.25"/>
    <row r="48961" hidden="1" x14ac:dyDescent="0.25"/>
    <row r="48962" hidden="1" x14ac:dyDescent="0.25"/>
    <row r="48963" hidden="1" x14ac:dyDescent="0.25"/>
    <row r="48964" hidden="1" x14ac:dyDescent="0.25"/>
    <row r="48965" hidden="1" x14ac:dyDescent="0.25"/>
    <row r="48966" hidden="1" x14ac:dyDescent="0.25"/>
    <row r="48967" hidden="1" x14ac:dyDescent="0.25"/>
    <row r="48968" hidden="1" x14ac:dyDescent="0.25"/>
    <row r="48969" hidden="1" x14ac:dyDescent="0.25"/>
    <row r="48970" hidden="1" x14ac:dyDescent="0.25"/>
    <row r="48971" hidden="1" x14ac:dyDescent="0.25"/>
    <row r="48972" hidden="1" x14ac:dyDescent="0.25"/>
    <row r="48973" hidden="1" x14ac:dyDescent="0.25"/>
    <row r="48974" hidden="1" x14ac:dyDescent="0.25"/>
    <row r="48975" hidden="1" x14ac:dyDescent="0.25"/>
    <row r="48976" hidden="1" x14ac:dyDescent="0.25"/>
    <row r="48977" hidden="1" x14ac:dyDescent="0.25"/>
    <row r="48978" hidden="1" x14ac:dyDescent="0.25"/>
    <row r="48979" hidden="1" x14ac:dyDescent="0.25"/>
    <row r="48980" hidden="1" x14ac:dyDescent="0.25"/>
    <row r="48981" hidden="1" x14ac:dyDescent="0.25"/>
    <row r="48982" hidden="1" x14ac:dyDescent="0.25"/>
    <row r="48983" hidden="1" x14ac:dyDescent="0.25"/>
    <row r="48984" hidden="1" x14ac:dyDescent="0.25"/>
    <row r="48985" hidden="1" x14ac:dyDescent="0.25"/>
    <row r="48986" hidden="1" x14ac:dyDescent="0.25"/>
    <row r="48987" hidden="1" x14ac:dyDescent="0.25"/>
    <row r="48988" hidden="1" x14ac:dyDescent="0.25"/>
    <row r="48989" hidden="1" x14ac:dyDescent="0.25"/>
    <row r="48990" hidden="1" x14ac:dyDescent="0.25"/>
    <row r="48991" hidden="1" x14ac:dyDescent="0.25"/>
    <row r="48992" hidden="1" x14ac:dyDescent="0.25"/>
    <row r="48993" hidden="1" x14ac:dyDescent="0.25"/>
    <row r="48994" hidden="1" x14ac:dyDescent="0.25"/>
    <row r="48995" hidden="1" x14ac:dyDescent="0.25"/>
    <row r="48996" hidden="1" x14ac:dyDescent="0.25"/>
    <row r="48997" hidden="1" x14ac:dyDescent="0.25"/>
    <row r="48998" hidden="1" x14ac:dyDescent="0.25"/>
    <row r="48999" hidden="1" x14ac:dyDescent="0.25"/>
    <row r="49000" hidden="1" x14ac:dyDescent="0.25"/>
    <row r="49001" hidden="1" x14ac:dyDescent="0.25"/>
    <row r="49002" hidden="1" x14ac:dyDescent="0.25"/>
    <row r="49003" hidden="1" x14ac:dyDescent="0.25"/>
    <row r="49004" hidden="1" x14ac:dyDescent="0.25"/>
    <row r="49005" hidden="1" x14ac:dyDescent="0.25"/>
    <row r="49006" hidden="1" x14ac:dyDescent="0.25"/>
    <row r="49007" hidden="1" x14ac:dyDescent="0.25"/>
    <row r="49008" hidden="1" x14ac:dyDescent="0.25"/>
    <row r="49009" hidden="1" x14ac:dyDescent="0.25"/>
    <row r="49010" hidden="1" x14ac:dyDescent="0.25"/>
    <row r="49011" hidden="1" x14ac:dyDescent="0.25"/>
    <row r="49012" hidden="1" x14ac:dyDescent="0.25"/>
    <row r="49013" hidden="1" x14ac:dyDescent="0.25"/>
    <row r="49014" hidden="1" x14ac:dyDescent="0.25"/>
    <row r="49015" hidden="1" x14ac:dyDescent="0.25"/>
    <row r="49016" hidden="1" x14ac:dyDescent="0.25"/>
    <row r="49017" hidden="1" x14ac:dyDescent="0.25"/>
    <row r="49018" hidden="1" x14ac:dyDescent="0.25"/>
    <row r="49019" hidden="1" x14ac:dyDescent="0.25"/>
    <row r="49020" hidden="1" x14ac:dyDescent="0.25"/>
    <row r="49021" hidden="1" x14ac:dyDescent="0.25"/>
    <row r="49022" hidden="1" x14ac:dyDescent="0.25"/>
    <row r="49023" hidden="1" x14ac:dyDescent="0.25"/>
    <row r="49024" hidden="1" x14ac:dyDescent="0.25"/>
    <row r="49025" hidden="1" x14ac:dyDescent="0.25"/>
    <row r="49026" hidden="1" x14ac:dyDescent="0.25"/>
    <row r="49027" hidden="1" x14ac:dyDescent="0.25"/>
    <row r="49028" hidden="1" x14ac:dyDescent="0.25"/>
    <row r="49029" hidden="1" x14ac:dyDescent="0.25"/>
    <row r="49030" hidden="1" x14ac:dyDescent="0.25"/>
    <row r="49031" hidden="1" x14ac:dyDescent="0.25"/>
    <row r="49032" hidden="1" x14ac:dyDescent="0.25"/>
    <row r="49033" hidden="1" x14ac:dyDescent="0.25"/>
    <row r="49034" hidden="1" x14ac:dyDescent="0.25"/>
    <row r="49035" hidden="1" x14ac:dyDescent="0.25"/>
    <row r="49036" hidden="1" x14ac:dyDescent="0.25"/>
    <row r="49037" hidden="1" x14ac:dyDescent="0.25"/>
    <row r="49038" hidden="1" x14ac:dyDescent="0.25"/>
    <row r="49039" hidden="1" x14ac:dyDescent="0.25"/>
    <row r="49040" hidden="1" x14ac:dyDescent="0.25"/>
    <row r="49041" hidden="1" x14ac:dyDescent="0.25"/>
    <row r="49042" hidden="1" x14ac:dyDescent="0.25"/>
    <row r="49043" hidden="1" x14ac:dyDescent="0.25"/>
    <row r="49044" hidden="1" x14ac:dyDescent="0.25"/>
    <row r="49045" hidden="1" x14ac:dyDescent="0.25"/>
    <row r="49046" hidden="1" x14ac:dyDescent="0.25"/>
    <row r="49047" hidden="1" x14ac:dyDescent="0.25"/>
    <row r="49048" hidden="1" x14ac:dyDescent="0.25"/>
    <row r="49049" hidden="1" x14ac:dyDescent="0.25"/>
    <row r="49050" hidden="1" x14ac:dyDescent="0.25"/>
    <row r="49051" hidden="1" x14ac:dyDescent="0.25"/>
    <row r="49052" hidden="1" x14ac:dyDescent="0.25"/>
    <row r="49053" hidden="1" x14ac:dyDescent="0.25"/>
    <row r="49054" hidden="1" x14ac:dyDescent="0.25"/>
    <row r="49055" hidden="1" x14ac:dyDescent="0.25"/>
    <row r="49056" hidden="1" x14ac:dyDescent="0.25"/>
    <row r="49057" hidden="1" x14ac:dyDescent="0.25"/>
    <row r="49058" hidden="1" x14ac:dyDescent="0.25"/>
    <row r="49059" hidden="1" x14ac:dyDescent="0.25"/>
    <row r="49060" hidden="1" x14ac:dyDescent="0.25"/>
    <row r="49061" hidden="1" x14ac:dyDescent="0.25"/>
    <row r="49062" hidden="1" x14ac:dyDescent="0.25"/>
    <row r="49063" hidden="1" x14ac:dyDescent="0.25"/>
    <row r="49064" hidden="1" x14ac:dyDescent="0.25"/>
    <row r="49065" hidden="1" x14ac:dyDescent="0.25"/>
    <row r="49066" hidden="1" x14ac:dyDescent="0.25"/>
    <row r="49067" hidden="1" x14ac:dyDescent="0.25"/>
    <row r="49068" hidden="1" x14ac:dyDescent="0.25"/>
    <row r="49069" hidden="1" x14ac:dyDescent="0.25"/>
    <row r="49070" hidden="1" x14ac:dyDescent="0.25"/>
    <row r="49071" hidden="1" x14ac:dyDescent="0.25"/>
    <row r="49072" hidden="1" x14ac:dyDescent="0.25"/>
    <row r="49073" hidden="1" x14ac:dyDescent="0.25"/>
    <row r="49074" hidden="1" x14ac:dyDescent="0.25"/>
    <row r="49075" hidden="1" x14ac:dyDescent="0.25"/>
    <row r="49076" hidden="1" x14ac:dyDescent="0.25"/>
    <row r="49077" hidden="1" x14ac:dyDescent="0.25"/>
    <row r="49078" hidden="1" x14ac:dyDescent="0.25"/>
    <row r="49079" hidden="1" x14ac:dyDescent="0.25"/>
    <row r="49080" hidden="1" x14ac:dyDescent="0.25"/>
    <row r="49081" hidden="1" x14ac:dyDescent="0.25"/>
    <row r="49082" hidden="1" x14ac:dyDescent="0.25"/>
    <row r="49083" hidden="1" x14ac:dyDescent="0.25"/>
    <row r="49084" hidden="1" x14ac:dyDescent="0.25"/>
    <row r="49085" hidden="1" x14ac:dyDescent="0.25"/>
    <row r="49086" hidden="1" x14ac:dyDescent="0.25"/>
    <row r="49087" hidden="1" x14ac:dyDescent="0.25"/>
    <row r="49088" hidden="1" x14ac:dyDescent="0.25"/>
    <row r="49089" hidden="1" x14ac:dyDescent="0.25"/>
    <row r="49090" hidden="1" x14ac:dyDescent="0.25"/>
    <row r="49091" hidden="1" x14ac:dyDescent="0.25"/>
    <row r="49092" hidden="1" x14ac:dyDescent="0.25"/>
    <row r="49093" hidden="1" x14ac:dyDescent="0.25"/>
    <row r="49094" hidden="1" x14ac:dyDescent="0.25"/>
    <row r="49095" hidden="1" x14ac:dyDescent="0.25"/>
    <row r="49096" hidden="1" x14ac:dyDescent="0.25"/>
    <row r="49097" hidden="1" x14ac:dyDescent="0.25"/>
    <row r="49098" hidden="1" x14ac:dyDescent="0.25"/>
    <row r="49099" hidden="1" x14ac:dyDescent="0.25"/>
    <row r="49100" hidden="1" x14ac:dyDescent="0.25"/>
    <row r="49101" hidden="1" x14ac:dyDescent="0.25"/>
    <row r="49102" hidden="1" x14ac:dyDescent="0.25"/>
    <row r="49103" hidden="1" x14ac:dyDescent="0.25"/>
    <row r="49104" hidden="1" x14ac:dyDescent="0.25"/>
    <row r="49105" hidden="1" x14ac:dyDescent="0.25"/>
    <row r="49106" hidden="1" x14ac:dyDescent="0.25"/>
    <row r="49107" hidden="1" x14ac:dyDescent="0.25"/>
    <row r="49108" hidden="1" x14ac:dyDescent="0.25"/>
    <row r="49109" hidden="1" x14ac:dyDescent="0.25"/>
    <row r="49110" hidden="1" x14ac:dyDescent="0.25"/>
    <row r="49111" hidden="1" x14ac:dyDescent="0.25"/>
    <row r="49112" hidden="1" x14ac:dyDescent="0.25"/>
    <row r="49113" hidden="1" x14ac:dyDescent="0.25"/>
    <row r="49114" hidden="1" x14ac:dyDescent="0.25"/>
    <row r="49115" hidden="1" x14ac:dyDescent="0.25"/>
    <row r="49116" hidden="1" x14ac:dyDescent="0.25"/>
    <row r="49117" hidden="1" x14ac:dyDescent="0.25"/>
    <row r="49118" hidden="1" x14ac:dyDescent="0.25"/>
    <row r="49119" hidden="1" x14ac:dyDescent="0.25"/>
    <row r="49120" hidden="1" x14ac:dyDescent="0.25"/>
    <row r="49121" hidden="1" x14ac:dyDescent="0.25"/>
    <row r="49122" hidden="1" x14ac:dyDescent="0.25"/>
    <row r="49123" hidden="1" x14ac:dyDescent="0.25"/>
    <row r="49124" hidden="1" x14ac:dyDescent="0.25"/>
    <row r="49125" hidden="1" x14ac:dyDescent="0.25"/>
    <row r="49126" hidden="1" x14ac:dyDescent="0.25"/>
    <row r="49127" hidden="1" x14ac:dyDescent="0.25"/>
    <row r="49128" hidden="1" x14ac:dyDescent="0.25"/>
    <row r="49129" hidden="1" x14ac:dyDescent="0.25"/>
    <row r="49130" hidden="1" x14ac:dyDescent="0.25"/>
    <row r="49131" hidden="1" x14ac:dyDescent="0.25"/>
    <row r="49132" hidden="1" x14ac:dyDescent="0.25"/>
    <row r="49133" hidden="1" x14ac:dyDescent="0.25"/>
    <row r="49134" hidden="1" x14ac:dyDescent="0.25"/>
    <row r="49135" hidden="1" x14ac:dyDescent="0.25"/>
    <row r="49136" hidden="1" x14ac:dyDescent="0.25"/>
    <row r="49137" hidden="1" x14ac:dyDescent="0.25"/>
    <row r="49138" hidden="1" x14ac:dyDescent="0.25"/>
    <row r="49139" hidden="1" x14ac:dyDescent="0.25"/>
    <row r="49140" hidden="1" x14ac:dyDescent="0.25"/>
    <row r="49141" hidden="1" x14ac:dyDescent="0.25"/>
    <row r="49142" hidden="1" x14ac:dyDescent="0.25"/>
    <row r="49143" hidden="1" x14ac:dyDescent="0.25"/>
    <row r="49144" hidden="1" x14ac:dyDescent="0.25"/>
    <row r="49145" hidden="1" x14ac:dyDescent="0.25"/>
    <row r="49146" hidden="1" x14ac:dyDescent="0.25"/>
    <row r="49147" hidden="1" x14ac:dyDescent="0.25"/>
    <row r="49148" hidden="1" x14ac:dyDescent="0.25"/>
    <row r="49149" hidden="1" x14ac:dyDescent="0.25"/>
    <row r="49150" hidden="1" x14ac:dyDescent="0.25"/>
    <row r="49151" hidden="1" x14ac:dyDescent="0.25"/>
    <row r="49152" hidden="1" x14ac:dyDescent="0.25"/>
    <row r="49153" hidden="1" x14ac:dyDescent="0.25"/>
    <row r="49154" hidden="1" x14ac:dyDescent="0.25"/>
    <row r="49155" hidden="1" x14ac:dyDescent="0.25"/>
    <row r="49156" hidden="1" x14ac:dyDescent="0.25"/>
    <row r="49157" hidden="1" x14ac:dyDescent="0.25"/>
    <row r="49158" hidden="1" x14ac:dyDescent="0.25"/>
    <row r="49159" hidden="1" x14ac:dyDescent="0.25"/>
    <row r="49160" hidden="1" x14ac:dyDescent="0.25"/>
    <row r="49161" hidden="1" x14ac:dyDescent="0.25"/>
    <row r="49162" hidden="1" x14ac:dyDescent="0.25"/>
    <row r="49163" hidden="1" x14ac:dyDescent="0.25"/>
    <row r="49164" hidden="1" x14ac:dyDescent="0.25"/>
    <row r="49165" hidden="1" x14ac:dyDescent="0.25"/>
    <row r="49166" hidden="1" x14ac:dyDescent="0.25"/>
    <row r="49167" hidden="1" x14ac:dyDescent="0.25"/>
    <row r="49168" hidden="1" x14ac:dyDescent="0.25"/>
    <row r="49169" hidden="1" x14ac:dyDescent="0.25"/>
    <row r="49170" hidden="1" x14ac:dyDescent="0.25"/>
    <row r="49171" hidden="1" x14ac:dyDescent="0.25"/>
    <row r="49172" hidden="1" x14ac:dyDescent="0.25"/>
    <row r="49173" hidden="1" x14ac:dyDescent="0.25"/>
    <row r="49174" hidden="1" x14ac:dyDescent="0.25"/>
    <row r="49175" hidden="1" x14ac:dyDescent="0.25"/>
    <row r="49176" hidden="1" x14ac:dyDescent="0.25"/>
    <row r="49177" hidden="1" x14ac:dyDescent="0.25"/>
    <row r="49178" hidden="1" x14ac:dyDescent="0.25"/>
    <row r="49179" hidden="1" x14ac:dyDescent="0.25"/>
    <row r="49180" hidden="1" x14ac:dyDescent="0.25"/>
    <row r="49181" hidden="1" x14ac:dyDescent="0.25"/>
    <row r="49182" hidden="1" x14ac:dyDescent="0.25"/>
    <row r="49183" hidden="1" x14ac:dyDescent="0.25"/>
    <row r="49184" hidden="1" x14ac:dyDescent="0.25"/>
    <row r="49185" hidden="1" x14ac:dyDescent="0.25"/>
    <row r="49186" hidden="1" x14ac:dyDescent="0.25"/>
    <row r="49187" hidden="1" x14ac:dyDescent="0.25"/>
    <row r="49188" hidden="1" x14ac:dyDescent="0.25"/>
    <row r="49189" hidden="1" x14ac:dyDescent="0.25"/>
    <row r="49190" hidden="1" x14ac:dyDescent="0.25"/>
    <row r="49191" hidden="1" x14ac:dyDescent="0.25"/>
    <row r="49192" hidden="1" x14ac:dyDescent="0.25"/>
    <row r="49193" hidden="1" x14ac:dyDescent="0.25"/>
    <row r="49194" hidden="1" x14ac:dyDescent="0.25"/>
    <row r="49195" hidden="1" x14ac:dyDescent="0.25"/>
    <row r="49196" hidden="1" x14ac:dyDescent="0.25"/>
    <row r="49197" hidden="1" x14ac:dyDescent="0.25"/>
    <row r="49198" hidden="1" x14ac:dyDescent="0.25"/>
    <row r="49199" hidden="1" x14ac:dyDescent="0.25"/>
    <row r="49200" hidden="1" x14ac:dyDescent="0.25"/>
    <row r="49201" hidden="1" x14ac:dyDescent="0.25"/>
    <row r="49202" hidden="1" x14ac:dyDescent="0.25"/>
    <row r="49203" hidden="1" x14ac:dyDescent="0.25"/>
    <row r="49204" hidden="1" x14ac:dyDescent="0.25"/>
    <row r="49205" hidden="1" x14ac:dyDescent="0.25"/>
    <row r="49206" hidden="1" x14ac:dyDescent="0.25"/>
    <row r="49207" hidden="1" x14ac:dyDescent="0.25"/>
    <row r="49208" hidden="1" x14ac:dyDescent="0.25"/>
    <row r="49209" hidden="1" x14ac:dyDescent="0.25"/>
    <row r="49210" hidden="1" x14ac:dyDescent="0.25"/>
    <row r="49211" hidden="1" x14ac:dyDescent="0.25"/>
    <row r="49212" hidden="1" x14ac:dyDescent="0.25"/>
    <row r="49213" hidden="1" x14ac:dyDescent="0.25"/>
    <row r="49214" hidden="1" x14ac:dyDescent="0.25"/>
    <row r="49215" hidden="1" x14ac:dyDescent="0.25"/>
    <row r="49216" hidden="1" x14ac:dyDescent="0.25"/>
    <row r="49217" hidden="1" x14ac:dyDescent="0.25"/>
    <row r="49218" hidden="1" x14ac:dyDescent="0.25"/>
    <row r="49219" hidden="1" x14ac:dyDescent="0.25"/>
    <row r="49220" hidden="1" x14ac:dyDescent="0.25"/>
    <row r="49221" hidden="1" x14ac:dyDescent="0.25"/>
    <row r="49222" hidden="1" x14ac:dyDescent="0.25"/>
    <row r="49223" hidden="1" x14ac:dyDescent="0.25"/>
    <row r="49224" hidden="1" x14ac:dyDescent="0.25"/>
    <row r="49225" hidden="1" x14ac:dyDescent="0.25"/>
    <row r="49226" hidden="1" x14ac:dyDescent="0.25"/>
    <row r="49227" hidden="1" x14ac:dyDescent="0.25"/>
    <row r="49228" hidden="1" x14ac:dyDescent="0.25"/>
    <row r="49229" hidden="1" x14ac:dyDescent="0.25"/>
    <row r="49230" hidden="1" x14ac:dyDescent="0.25"/>
    <row r="49231" hidden="1" x14ac:dyDescent="0.25"/>
    <row r="49232" hidden="1" x14ac:dyDescent="0.25"/>
    <row r="49233" hidden="1" x14ac:dyDescent="0.25"/>
    <row r="49234" hidden="1" x14ac:dyDescent="0.25"/>
    <row r="49235" hidden="1" x14ac:dyDescent="0.25"/>
    <row r="49236" hidden="1" x14ac:dyDescent="0.25"/>
    <row r="49237" hidden="1" x14ac:dyDescent="0.25"/>
    <row r="49238" hidden="1" x14ac:dyDescent="0.25"/>
    <row r="49239" hidden="1" x14ac:dyDescent="0.25"/>
    <row r="49240" hidden="1" x14ac:dyDescent="0.25"/>
    <row r="49241" hidden="1" x14ac:dyDescent="0.25"/>
    <row r="49242" hidden="1" x14ac:dyDescent="0.25"/>
    <row r="49243" hidden="1" x14ac:dyDescent="0.25"/>
    <row r="49244" hidden="1" x14ac:dyDescent="0.25"/>
    <row r="49245" hidden="1" x14ac:dyDescent="0.25"/>
    <row r="49246" hidden="1" x14ac:dyDescent="0.25"/>
    <row r="49247" hidden="1" x14ac:dyDescent="0.25"/>
    <row r="49248" hidden="1" x14ac:dyDescent="0.25"/>
    <row r="49249" hidden="1" x14ac:dyDescent="0.25"/>
    <row r="49250" hidden="1" x14ac:dyDescent="0.25"/>
    <row r="49251" hidden="1" x14ac:dyDescent="0.25"/>
    <row r="49252" hidden="1" x14ac:dyDescent="0.25"/>
    <row r="49253" hidden="1" x14ac:dyDescent="0.25"/>
    <row r="49254" hidden="1" x14ac:dyDescent="0.25"/>
    <row r="49255" hidden="1" x14ac:dyDescent="0.25"/>
    <row r="49256" hidden="1" x14ac:dyDescent="0.25"/>
    <row r="49257" hidden="1" x14ac:dyDescent="0.25"/>
    <row r="49258" hidden="1" x14ac:dyDescent="0.25"/>
    <row r="49259" hidden="1" x14ac:dyDescent="0.25"/>
    <row r="49260" hidden="1" x14ac:dyDescent="0.25"/>
    <row r="49261" hidden="1" x14ac:dyDescent="0.25"/>
    <row r="49262" hidden="1" x14ac:dyDescent="0.25"/>
    <row r="49263" hidden="1" x14ac:dyDescent="0.25"/>
    <row r="49264" hidden="1" x14ac:dyDescent="0.25"/>
    <row r="49265" hidden="1" x14ac:dyDescent="0.25"/>
    <row r="49266" hidden="1" x14ac:dyDescent="0.25"/>
    <row r="49267" hidden="1" x14ac:dyDescent="0.25"/>
    <row r="49268" hidden="1" x14ac:dyDescent="0.25"/>
    <row r="49269" hidden="1" x14ac:dyDescent="0.25"/>
    <row r="49270" hidden="1" x14ac:dyDescent="0.25"/>
    <row r="49271" hidden="1" x14ac:dyDescent="0.25"/>
    <row r="49272" hidden="1" x14ac:dyDescent="0.25"/>
    <row r="49273" hidden="1" x14ac:dyDescent="0.25"/>
    <row r="49274" hidden="1" x14ac:dyDescent="0.25"/>
    <row r="49275" hidden="1" x14ac:dyDescent="0.25"/>
    <row r="49276" hidden="1" x14ac:dyDescent="0.25"/>
    <row r="49277" hidden="1" x14ac:dyDescent="0.25"/>
    <row r="49278" hidden="1" x14ac:dyDescent="0.25"/>
    <row r="49279" hidden="1" x14ac:dyDescent="0.25"/>
    <row r="49280" hidden="1" x14ac:dyDescent="0.25"/>
    <row r="49281" hidden="1" x14ac:dyDescent="0.25"/>
    <row r="49282" hidden="1" x14ac:dyDescent="0.25"/>
    <row r="49283" hidden="1" x14ac:dyDescent="0.25"/>
    <row r="49284" hidden="1" x14ac:dyDescent="0.25"/>
    <row r="49285" hidden="1" x14ac:dyDescent="0.25"/>
    <row r="49286" hidden="1" x14ac:dyDescent="0.25"/>
    <row r="49287" hidden="1" x14ac:dyDescent="0.25"/>
    <row r="49288" hidden="1" x14ac:dyDescent="0.25"/>
    <row r="49289" hidden="1" x14ac:dyDescent="0.25"/>
    <row r="49290" hidden="1" x14ac:dyDescent="0.25"/>
    <row r="49291" hidden="1" x14ac:dyDescent="0.25"/>
    <row r="49292" hidden="1" x14ac:dyDescent="0.25"/>
    <row r="49293" hidden="1" x14ac:dyDescent="0.25"/>
    <row r="49294" hidden="1" x14ac:dyDescent="0.25"/>
    <row r="49295" hidden="1" x14ac:dyDescent="0.25"/>
    <row r="49296" hidden="1" x14ac:dyDescent="0.25"/>
    <row r="49297" hidden="1" x14ac:dyDescent="0.25"/>
    <row r="49298" hidden="1" x14ac:dyDescent="0.25"/>
    <row r="49299" hidden="1" x14ac:dyDescent="0.25"/>
    <row r="49300" hidden="1" x14ac:dyDescent="0.25"/>
    <row r="49301" hidden="1" x14ac:dyDescent="0.25"/>
    <row r="49302" hidden="1" x14ac:dyDescent="0.25"/>
    <row r="49303" hidden="1" x14ac:dyDescent="0.25"/>
    <row r="49304" hidden="1" x14ac:dyDescent="0.25"/>
    <row r="49305" hidden="1" x14ac:dyDescent="0.25"/>
    <row r="49306" hidden="1" x14ac:dyDescent="0.25"/>
    <row r="49307" hidden="1" x14ac:dyDescent="0.25"/>
    <row r="49308" hidden="1" x14ac:dyDescent="0.25"/>
    <row r="49309" hidden="1" x14ac:dyDescent="0.25"/>
    <row r="49310" hidden="1" x14ac:dyDescent="0.25"/>
    <row r="49311" hidden="1" x14ac:dyDescent="0.25"/>
    <row r="49312" hidden="1" x14ac:dyDescent="0.25"/>
    <row r="49313" hidden="1" x14ac:dyDescent="0.25"/>
    <row r="49314" hidden="1" x14ac:dyDescent="0.25"/>
    <row r="49315" hidden="1" x14ac:dyDescent="0.25"/>
    <row r="49316" hidden="1" x14ac:dyDescent="0.25"/>
    <row r="49317" hidden="1" x14ac:dyDescent="0.25"/>
    <row r="49318" hidden="1" x14ac:dyDescent="0.25"/>
    <row r="49319" hidden="1" x14ac:dyDescent="0.25"/>
    <row r="49320" hidden="1" x14ac:dyDescent="0.25"/>
    <row r="49321" hidden="1" x14ac:dyDescent="0.25"/>
    <row r="49322" hidden="1" x14ac:dyDescent="0.25"/>
    <row r="49323" hidden="1" x14ac:dyDescent="0.25"/>
    <row r="49324" hidden="1" x14ac:dyDescent="0.25"/>
    <row r="49325" hidden="1" x14ac:dyDescent="0.25"/>
    <row r="49326" hidden="1" x14ac:dyDescent="0.25"/>
    <row r="49327" hidden="1" x14ac:dyDescent="0.25"/>
    <row r="49328" hidden="1" x14ac:dyDescent="0.25"/>
    <row r="49329" hidden="1" x14ac:dyDescent="0.25"/>
    <row r="49330" hidden="1" x14ac:dyDescent="0.25"/>
    <row r="49331" hidden="1" x14ac:dyDescent="0.25"/>
    <row r="49332" hidden="1" x14ac:dyDescent="0.25"/>
    <row r="49333" hidden="1" x14ac:dyDescent="0.25"/>
    <row r="49334" hidden="1" x14ac:dyDescent="0.25"/>
    <row r="49335" hidden="1" x14ac:dyDescent="0.25"/>
    <row r="49336" hidden="1" x14ac:dyDescent="0.25"/>
    <row r="49337" hidden="1" x14ac:dyDescent="0.25"/>
    <row r="49338" hidden="1" x14ac:dyDescent="0.25"/>
    <row r="49339" hidden="1" x14ac:dyDescent="0.25"/>
    <row r="49340" hidden="1" x14ac:dyDescent="0.25"/>
    <row r="49341" hidden="1" x14ac:dyDescent="0.25"/>
    <row r="49342" hidden="1" x14ac:dyDescent="0.25"/>
    <row r="49343" hidden="1" x14ac:dyDescent="0.25"/>
    <row r="49344" hidden="1" x14ac:dyDescent="0.25"/>
    <row r="49345" hidden="1" x14ac:dyDescent="0.25"/>
    <row r="49346" hidden="1" x14ac:dyDescent="0.25"/>
    <row r="49347" hidden="1" x14ac:dyDescent="0.25"/>
    <row r="49348" hidden="1" x14ac:dyDescent="0.25"/>
    <row r="49349" hidden="1" x14ac:dyDescent="0.25"/>
    <row r="49350" hidden="1" x14ac:dyDescent="0.25"/>
    <row r="49351" hidden="1" x14ac:dyDescent="0.25"/>
    <row r="49352" hidden="1" x14ac:dyDescent="0.25"/>
    <row r="49353" hidden="1" x14ac:dyDescent="0.25"/>
    <row r="49354" hidden="1" x14ac:dyDescent="0.25"/>
    <row r="49355" hidden="1" x14ac:dyDescent="0.25"/>
    <row r="49356" hidden="1" x14ac:dyDescent="0.25"/>
    <row r="49357" hidden="1" x14ac:dyDescent="0.25"/>
    <row r="49358" hidden="1" x14ac:dyDescent="0.25"/>
    <row r="49359" hidden="1" x14ac:dyDescent="0.25"/>
    <row r="49360" hidden="1" x14ac:dyDescent="0.25"/>
    <row r="49361" hidden="1" x14ac:dyDescent="0.25"/>
    <row r="49362" hidden="1" x14ac:dyDescent="0.25"/>
    <row r="49363" hidden="1" x14ac:dyDescent="0.25"/>
    <row r="49364" hidden="1" x14ac:dyDescent="0.25"/>
    <row r="49365" hidden="1" x14ac:dyDescent="0.25"/>
    <row r="49366" hidden="1" x14ac:dyDescent="0.25"/>
    <row r="49367" hidden="1" x14ac:dyDescent="0.25"/>
    <row r="49368" hidden="1" x14ac:dyDescent="0.25"/>
    <row r="49369" hidden="1" x14ac:dyDescent="0.25"/>
    <row r="49370" hidden="1" x14ac:dyDescent="0.25"/>
    <row r="49371" hidden="1" x14ac:dyDescent="0.25"/>
    <row r="49372" hidden="1" x14ac:dyDescent="0.25"/>
    <row r="49373" hidden="1" x14ac:dyDescent="0.25"/>
    <row r="49374" hidden="1" x14ac:dyDescent="0.25"/>
    <row r="49375" hidden="1" x14ac:dyDescent="0.25"/>
    <row r="49376" hidden="1" x14ac:dyDescent="0.25"/>
    <row r="49377" hidden="1" x14ac:dyDescent="0.25"/>
    <row r="49378" hidden="1" x14ac:dyDescent="0.25"/>
    <row r="49379" hidden="1" x14ac:dyDescent="0.25"/>
    <row r="49380" hidden="1" x14ac:dyDescent="0.25"/>
    <row r="49381" hidden="1" x14ac:dyDescent="0.25"/>
    <row r="49382" hidden="1" x14ac:dyDescent="0.25"/>
    <row r="49383" hidden="1" x14ac:dyDescent="0.25"/>
    <row r="49384" hidden="1" x14ac:dyDescent="0.25"/>
    <row r="49385" hidden="1" x14ac:dyDescent="0.25"/>
    <row r="49386" hidden="1" x14ac:dyDescent="0.25"/>
    <row r="49387" hidden="1" x14ac:dyDescent="0.25"/>
    <row r="49388" hidden="1" x14ac:dyDescent="0.25"/>
    <row r="49389" hidden="1" x14ac:dyDescent="0.25"/>
    <row r="49390" hidden="1" x14ac:dyDescent="0.25"/>
    <row r="49391" hidden="1" x14ac:dyDescent="0.25"/>
    <row r="49392" hidden="1" x14ac:dyDescent="0.25"/>
    <row r="49393" hidden="1" x14ac:dyDescent="0.25"/>
    <row r="49394" hidden="1" x14ac:dyDescent="0.25"/>
    <row r="49395" hidden="1" x14ac:dyDescent="0.25"/>
    <row r="49396" hidden="1" x14ac:dyDescent="0.25"/>
    <row r="49397" hidden="1" x14ac:dyDescent="0.25"/>
    <row r="49398" hidden="1" x14ac:dyDescent="0.25"/>
    <row r="49399" hidden="1" x14ac:dyDescent="0.25"/>
    <row r="49400" hidden="1" x14ac:dyDescent="0.25"/>
    <row r="49401" hidden="1" x14ac:dyDescent="0.25"/>
    <row r="49402" hidden="1" x14ac:dyDescent="0.25"/>
    <row r="49403" hidden="1" x14ac:dyDescent="0.25"/>
    <row r="49404" hidden="1" x14ac:dyDescent="0.25"/>
    <row r="49405" hidden="1" x14ac:dyDescent="0.25"/>
    <row r="49406" hidden="1" x14ac:dyDescent="0.25"/>
    <row r="49407" hidden="1" x14ac:dyDescent="0.25"/>
    <row r="49408" hidden="1" x14ac:dyDescent="0.25"/>
    <row r="49409" hidden="1" x14ac:dyDescent="0.25"/>
    <row r="49410" hidden="1" x14ac:dyDescent="0.25"/>
    <row r="49411" hidden="1" x14ac:dyDescent="0.25"/>
    <row r="49412" hidden="1" x14ac:dyDescent="0.25"/>
    <row r="49413" hidden="1" x14ac:dyDescent="0.25"/>
    <row r="49414" hidden="1" x14ac:dyDescent="0.25"/>
    <row r="49415" hidden="1" x14ac:dyDescent="0.25"/>
    <row r="49416" hidden="1" x14ac:dyDescent="0.25"/>
    <row r="49417" hidden="1" x14ac:dyDescent="0.25"/>
    <row r="49418" hidden="1" x14ac:dyDescent="0.25"/>
    <row r="49419" hidden="1" x14ac:dyDescent="0.25"/>
    <row r="49420" hidden="1" x14ac:dyDescent="0.25"/>
    <row r="49421" hidden="1" x14ac:dyDescent="0.25"/>
    <row r="49422" hidden="1" x14ac:dyDescent="0.25"/>
    <row r="49423" hidden="1" x14ac:dyDescent="0.25"/>
    <row r="49424" hidden="1" x14ac:dyDescent="0.25"/>
    <row r="49425" hidden="1" x14ac:dyDescent="0.25"/>
    <row r="49426" hidden="1" x14ac:dyDescent="0.25"/>
    <row r="49427" hidden="1" x14ac:dyDescent="0.25"/>
    <row r="49428" hidden="1" x14ac:dyDescent="0.25"/>
    <row r="49429" hidden="1" x14ac:dyDescent="0.25"/>
    <row r="49430" hidden="1" x14ac:dyDescent="0.25"/>
    <row r="49431" hidden="1" x14ac:dyDescent="0.25"/>
    <row r="49432" hidden="1" x14ac:dyDescent="0.25"/>
    <row r="49433" hidden="1" x14ac:dyDescent="0.25"/>
    <row r="49434" hidden="1" x14ac:dyDescent="0.25"/>
    <row r="49435" hidden="1" x14ac:dyDescent="0.25"/>
    <row r="49436" hidden="1" x14ac:dyDescent="0.25"/>
    <row r="49437" hidden="1" x14ac:dyDescent="0.25"/>
    <row r="49438" hidden="1" x14ac:dyDescent="0.25"/>
    <row r="49439" hidden="1" x14ac:dyDescent="0.25"/>
    <row r="49440" hidden="1" x14ac:dyDescent="0.25"/>
    <row r="49441" hidden="1" x14ac:dyDescent="0.25"/>
    <row r="49442" hidden="1" x14ac:dyDescent="0.25"/>
    <row r="49443" hidden="1" x14ac:dyDescent="0.25"/>
    <row r="49444" hidden="1" x14ac:dyDescent="0.25"/>
    <row r="49445" hidden="1" x14ac:dyDescent="0.25"/>
    <row r="49446" hidden="1" x14ac:dyDescent="0.25"/>
    <row r="49447" hidden="1" x14ac:dyDescent="0.25"/>
    <row r="49448" hidden="1" x14ac:dyDescent="0.25"/>
    <row r="49449" hidden="1" x14ac:dyDescent="0.25"/>
    <row r="49450" hidden="1" x14ac:dyDescent="0.25"/>
    <row r="49451" hidden="1" x14ac:dyDescent="0.25"/>
    <row r="49452" hidden="1" x14ac:dyDescent="0.25"/>
    <row r="49453" hidden="1" x14ac:dyDescent="0.25"/>
    <row r="49454" hidden="1" x14ac:dyDescent="0.25"/>
    <row r="49455" hidden="1" x14ac:dyDescent="0.25"/>
    <row r="49456" hidden="1" x14ac:dyDescent="0.25"/>
    <row r="49457" hidden="1" x14ac:dyDescent="0.25"/>
    <row r="49458" hidden="1" x14ac:dyDescent="0.25"/>
    <row r="49459" hidden="1" x14ac:dyDescent="0.25"/>
    <row r="49460" hidden="1" x14ac:dyDescent="0.25"/>
    <row r="49461" hidden="1" x14ac:dyDescent="0.25"/>
    <row r="49462" hidden="1" x14ac:dyDescent="0.25"/>
    <row r="49463" hidden="1" x14ac:dyDescent="0.25"/>
    <row r="49464" hidden="1" x14ac:dyDescent="0.25"/>
    <row r="49465" hidden="1" x14ac:dyDescent="0.25"/>
    <row r="49466" hidden="1" x14ac:dyDescent="0.25"/>
    <row r="49467" hidden="1" x14ac:dyDescent="0.25"/>
    <row r="49468" hidden="1" x14ac:dyDescent="0.25"/>
    <row r="49469" hidden="1" x14ac:dyDescent="0.25"/>
    <row r="49470" hidden="1" x14ac:dyDescent="0.25"/>
    <row r="49471" hidden="1" x14ac:dyDescent="0.25"/>
    <row r="49472" hidden="1" x14ac:dyDescent="0.25"/>
    <row r="49473" hidden="1" x14ac:dyDescent="0.25"/>
    <row r="49474" hidden="1" x14ac:dyDescent="0.25"/>
    <row r="49475" hidden="1" x14ac:dyDescent="0.25"/>
    <row r="49476" hidden="1" x14ac:dyDescent="0.25"/>
    <row r="49477" hidden="1" x14ac:dyDescent="0.25"/>
    <row r="49478" hidden="1" x14ac:dyDescent="0.25"/>
    <row r="49479" hidden="1" x14ac:dyDescent="0.25"/>
    <row r="49480" hidden="1" x14ac:dyDescent="0.25"/>
    <row r="49481" hidden="1" x14ac:dyDescent="0.25"/>
    <row r="49482" hidden="1" x14ac:dyDescent="0.25"/>
    <row r="49483" hidden="1" x14ac:dyDescent="0.25"/>
    <row r="49484" hidden="1" x14ac:dyDescent="0.25"/>
    <row r="49485" hidden="1" x14ac:dyDescent="0.25"/>
    <row r="49486" hidden="1" x14ac:dyDescent="0.25"/>
    <row r="49487" hidden="1" x14ac:dyDescent="0.25"/>
    <row r="49488" hidden="1" x14ac:dyDescent="0.25"/>
    <row r="49489" hidden="1" x14ac:dyDescent="0.25"/>
    <row r="49490" hidden="1" x14ac:dyDescent="0.25"/>
    <row r="49491" hidden="1" x14ac:dyDescent="0.25"/>
    <row r="49492" hidden="1" x14ac:dyDescent="0.25"/>
    <row r="49493" hidden="1" x14ac:dyDescent="0.25"/>
    <row r="49494" hidden="1" x14ac:dyDescent="0.25"/>
    <row r="49495" hidden="1" x14ac:dyDescent="0.25"/>
    <row r="49496" hidden="1" x14ac:dyDescent="0.25"/>
    <row r="49497" hidden="1" x14ac:dyDescent="0.25"/>
    <row r="49498" hidden="1" x14ac:dyDescent="0.25"/>
    <row r="49499" hidden="1" x14ac:dyDescent="0.25"/>
    <row r="49500" hidden="1" x14ac:dyDescent="0.25"/>
    <row r="49501" hidden="1" x14ac:dyDescent="0.25"/>
    <row r="49502" hidden="1" x14ac:dyDescent="0.25"/>
    <row r="49503" hidden="1" x14ac:dyDescent="0.25"/>
    <row r="49504" hidden="1" x14ac:dyDescent="0.25"/>
    <row r="49505" hidden="1" x14ac:dyDescent="0.25"/>
    <row r="49506" hidden="1" x14ac:dyDescent="0.25"/>
    <row r="49507" hidden="1" x14ac:dyDescent="0.25"/>
    <row r="49508" hidden="1" x14ac:dyDescent="0.25"/>
    <row r="49509" hidden="1" x14ac:dyDescent="0.25"/>
    <row r="49510" hidden="1" x14ac:dyDescent="0.25"/>
    <row r="49511" hidden="1" x14ac:dyDescent="0.25"/>
    <row r="49512" hidden="1" x14ac:dyDescent="0.25"/>
    <row r="49513" hidden="1" x14ac:dyDescent="0.25"/>
    <row r="49514" hidden="1" x14ac:dyDescent="0.25"/>
    <row r="49515" hidden="1" x14ac:dyDescent="0.25"/>
    <row r="49516" hidden="1" x14ac:dyDescent="0.25"/>
    <row r="49517" hidden="1" x14ac:dyDescent="0.25"/>
    <row r="49518" hidden="1" x14ac:dyDescent="0.25"/>
    <row r="49519" hidden="1" x14ac:dyDescent="0.25"/>
    <row r="49520" hidden="1" x14ac:dyDescent="0.25"/>
    <row r="49521" hidden="1" x14ac:dyDescent="0.25"/>
    <row r="49522" hidden="1" x14ac:dyDescent="0.25"/>
    <row r="49523" hidden="1" x14ac:dyDescent="0.25"/>
    <row r="49524" hidden="1" x14ac:dyDescent="0.25"/>
    <row r="49525" hidden="1" x14ac:dyDescent="0.25"/>
    <row r="49526" hidden="1" x14ac:dyDescent="0.25"/>
    <row r="49527" hidden="1" x14ac:dyDescent="0.25"/>
    <row r="49528" hidden="1" x14ac:dyDescent="0.25"/>
    <row r="49529" hidden="1" x14ac:dyDescent="0.25"/>
    <row r="49530" hidden="1" x14ac:dyDescent="0.25"/>
    <row r="49531" hidden="1" x14ac:dyDescent="0.25"/>
    <row r="49532" hidden="1" x14ac:dyDescent="0.25"/>
    <row r="49533" hidden="1" x14ac:dyDescent="0.25"/>
    <row r="49534" hidden="1" x14ac:dyDescent="0.25"/>
    <row r="49535" hidden="1" x14ac:dyDescent="0.25"/>
    <row r="49536" hidden="1" x14ac:dyDescent="0.25"/>
    <row r="49537" hidden="1" x14ac:dyDescent="0.25"/>
    <row r="49538" hidden="1" x14ac:dyDescent="0.25"/>
    <row r="49539" hidden="1" x14ac:dyDescent="0.25"/>
    <row r="49540" hidden="1" x14ac:dyDescent="0.25"/>
    <row r="49541" hidden="1" x14ac:dyDescent="0.25"/>
    <row r="49542" hidden="1" x14ac:dyDescent="0.25"/>
    <row r="49543" hidden="1" x14ac:dyDescent="0.25"/>
    <row r="49544" hidden="1" x14ac:dyDescent="0.25"/>
    <row r="49545" hidden="1" x14ac:dyDescent="0.25"/>
    <row r="49546" hidden="1" x14ac:dyDescent="0.25"/>
    <row r="49547" hidden="1" x14ac:dyDescent="0.25"/>
    <row r="49548" hidden="1" x14ac:dyDescent="0.25"/>
    <row r="49549" hidden="1" x14ac:dyDescent="0.25"/>
    <row r="49550" hidden="1" x14ac:dyDescent="0.25"/>
    <row r="49551" hidden="1" x14ac:dyDescent="0.25"/>
    <row r="49552" hidden="1" x14ac:dyDescent="0.25"/>
    <row r="49553" hidden="1" x14ac:dyDescent="0.25"/>
    <row r="49554" hidden="1" x14ac:dyDescent="0.25"/>
    <row r="49555" hidden="1" x14ac:dyDescent="0.25"/>
    <row r="49556" hidden="1" x14ac:dyDescent="0.25"/>
    <row r="49557" hidden="1" x14ac:dyDescent="0.25"/>
    <row r="49558" hidden="1" x14ac:dyDescent="0.25"/>
    <row r="49559" hidden="1" x14ac:dyDescent="0.25"/>
    <row r="49560" hidden="1" x14ac:dyDescent="0.25"/>
    <row r="49561" hidden="1" x14ac:dyDescent="0.25"/>
    <row r="49562" hidden="1" x14ac:dyDescent="0.25"/>
    <row r="49563" hidden="1" x14ac:dyDescent="0.25"/>
    <row r="49564" hidden="1" x14ac:dyDescent="0.25"/>
    <row r="49565" hidden="1" x14ac:dyDescent="0.25"/>
    <row r="49566" hidden="1" x14ac:dyDescent="0.25"/>
    <row r="49567" hidden="1" x14ac:dyDescent="0.25"/>
    <row r="49568" hidden="1" x14ac:dyDescent="0.25"/>
    <row r="49569" hidden="1" x14ac:dyDescent="0.25"/>
    <row r="49570" hidden="1" x14ac:dyDescent="0.25"/>
    <row r="49571" hidden="1" x14ac:dyDescent="0.25"/>
    <row r="49572" hidden="1" x14ac:dyDescent="0.25"/>
    <row r="49573" hidden="1" x14ac:dyDescent="0.25"/>
    <row r="49574" hidden="1" x14ac:dyDescent="0.25"/>
    <row r="49575" hidden="1" x14ac:dyDescent="0.25"/>
    <row r="49576" hidden="1" x14ac:dyDescent="0.25"/>
    <row r="49577" hidden="1" x14ac:dyDescent="0.25"/>
    <row r="49578" hidden="1" x14ac:dyDescent="0.25"/>
    <row r="49579" hidden="1" x14ac:dyDescent="0.25"/>
    <row r="49580" hidden="1" x14ac:dyDescent="0.25"/>
    <row r="49581" hidden="1" x14ac:dyDescent="0.25"/>
    <row r="49582" hidden="1" x14ac:dyDescent="0.25"/>
    <row r="49583" hidden="1" x14ac:dyDescent="0.25"/>
    <row r="49584" hidden="1" x14ac:dyDescent="0.25"/>
    <row r="49585" hidden="1" x14ac:dyDescent="0.25"/>
    <row r="49586" hidden="1" x14ac:dyDescent="0.25"/>
    <row r="49587" hidden="1" x14ac:dyDescent="0.25"/>
    <row r="49588" hidden="1" x14ac:dyDescent="0.25"/>
    <row r="49589" hidden="1" x14ac:dyDescent="0.25"/>
    <row r="49590" hidden="1" x14ac:dyDescent="0.25"/>
    <row r="49591" hidden="1" x14ac:dyDescent="0.25"/>
    <row r="49592" hidden="1" x14ac:dyDescent="0.25"/>
    <row r="49593" hidden="1" x14ac:dyDescent="0.25"/>
    <row r="49594" hidden="1" x14ac:dyDescent="0.25"/>
    <row r="49595" hidden="1" x14ac:dyDescent="0.25"/>
    <row r="49596" hidden="1" x14ac:dyDescent="0.25"/>
    <row r="49597" hidden="1" x14ac:dyDescent="0.25"/>
    <row r="49598" hidden="1" x14ac:dyDescent="0.25"/>
    <row r="49599" hidden="1" x14ac:dyDescent="0.25"/>
    <row r="49600" hidden="1" x14ac:dyDescent="0.25"/>
    <row r="49601" hidden="1" x14ac:dyDescent="0.25"/>
    <row r="49602" hidden="1" x14ac:dyDescent="0.25"/>
    <row r="49603" hidden="1" x14ac:dyDescent="0.25"/>
    <row r="49604" hidden="1" x14ac:dyDescent="0.25"/>
    <row r="49605" hidden="1" x14ac:dyDescent="0.25"/>
    <row r="49606" hidden="1" x14ac:dyDescent="0.25"/>
    <row r="49607" hidden="1" x14ac:dyDescent="0.25"/>
    <row r="49608" hidden="1" x14ac:dyDescent="0.25"/>
    <row r="49609" hidden="1" x14ac:dyDescent="0.25"/>
    <row r="49610" hidden="1" x14ac:dyDescent="0.25"/>
    <row r="49611" hidden="1" x14ac:dyDescent="0.25"/>
    <row r="49612" hidden="1" x14ac:dyDescent="0.25"/>
    <row r="49613" hidden="1" x14ac:dyDescent="0.25"/>
    <row r="49614" hidden="1" x14ac:dyDescent="0.25"/>
    <row r="49615" hidden="1" x14ac:dyDescent="0.25"/>
    <row r="49616" hidden="1" x14ac:dyDescent="0.25"/>
    <row r="49617" hidden="1" x14ac:dyDescent="0.25"/>
    <row r="49618" hidden="1" x14ac:dyDescent="0.25"/>
    <row r="49619" hidden="1" x14ac:dyDescent="0.25"/>
    <row r="49620" hidden="1" x14ac:dyDescent="0.25"/>
    <row r="49621" hidden="1" x14ac:dyDescent="0.25"/>
    <row r="49622" hidden="1" x14ac:dyDescent="0.25"/>
    <row r="49623" hidden="1" x14ac:dyDescent="0.25"/>
    <row r="49624" hidden="1" x14ac:dyDescent="0.25"/>
    <row r="49625" hidden="1" x14ac:dyDescent="0.25"/>
    <row r="49626" hidden="1" x14ac:dyDescent="0.25"/>
    <row r="49627" hidden="1" x14ac:dyDescent="0.25"/>
    <row r="49628" hidden="1" x14ac:dyDescent="0.25"/>
    <row r="49629" hidden="1" x14ac:dyDescent="0.25"/>
    <row r="49630" hidden="1" x14ac:dyDescent="0.25"/>
    <row r="49631" hidden="1" x14ac:dyDescent="0.25"/>
    <row r="49632" hidden="1" x14ac:dyDescent="0.25"/>
    <row r="49633" hidden="1" x14ac:dyDescent="0.25"/>
    <row r="49634" hidden="1" x14ac:dyDescent="0.25"/>
    <row r="49635" hidden="1" x14ac:dyDescent="0.25"/>
    <row r="49636" hidden="1" x14ac:dyDescent="0.25"/>
    <row r="49637" hidden="1" x14ac:dyDescent="0.25"/>
    <row r="49638" hidden="1" x14ac:dyDescent="0.25"/>
    <row r="49639" hidden="1" x14ac:dyDescent="0.25"/>
    <row r="49640" hidden="1" x14ac:dyDescent="0.25"/>
    <row r="49641" hidden="1" x14ac:dyDescent="0.25"/>
    <row r="49642" hidden="1" x14ac:dyDescent="0.25"/>
    <row r="49643" hidden="1" x14ac:dyDescent="0.25"/>
    <row r="49644" hidden="1" x14ac:dyDescent="0.25"/>
    <row r="49645" hidden="1" x14ac:dyDescent="0.25"/>
    <row r="49646" hidden="1" x14ac:dyDescent="0.25"/>
    <row r="49647" hidden="1" x14ac:dyDescent="0.25"/>
    <row r="49648" hidden="1" x14ac:dyDescent="0.25"/>
    <row r="49649" hidden="1" x14ac:dyDescent="0.25"/>
    <row r="49650" hidden="1" x14ac:dyDescent="0.25"/>
    <row r="49651" hidden="1" x14ac:dyDescent="0.25"/>
    <row r="49652" hidden="1" x14ac:dyDescent="0.25"/>
    <row r="49653" hidden="1" x14ac:dyDescent="0.25"/>
    <row r="49654" hidden="1" x14ac:dyDescent="0.25"/>
    <row r="49655" hidden="1" x14ac:dyDescent="0.25"/>
    <row r="49656" hidden="1" x14ac:dyDescent="0.25"/>
    <row r="49657" hidden="1" x14ac:dyDescent="0.25"/>
    <row r="49658" hidden="1" x14ac:dyDescent="0.25"/>
    <row r="49659" hidden="1" x14ac:dyDescent="0.25"/>
    <row r="49660" hidden="1" x14ac:dyDescent="0.25"/>
    <row r="49661" hidden="1" x14ac:dyDescent="0.25"/>
    <row r="49662" hidden="1" x14ac:dyDescent="0.25"/>
    <row r="49663" hidden="1" x14ac:dyDescent="0.25"/>
    <row r="49664" hidden="1" x14ac:dyDescent="0.25"/>
    <row r="49665" hidden="1" x14ac:dyDescent="0.25"/>
    <row r="49666" hidden="1" x14ac:dyDescent="0.25"/>
    <row r="49667" hidden="1" x14ac:dyDescent="0.25"/>
    <row r="49668" hidden="1" x14ac:dyDescent="0.25"/>
    <row r="49669" hidden="1" x14ac:dyDescent="0.25"/>
    <row r="49670" hidden="1" x14ac:dyDescent="0.25"/>
    <row r="49671" hidden="1" x14ac:dyDescent="0.25"/>
    <row r="49672" hidden="1" x14ac:dyDescent="0.25"/>
    <row r="49673" hidden="1" x14ac:dyDescent="0.25"/>
    <row r="49674" hidden="1" x14ac:dyDescent="0.25"/>
    <row r="49675" hidden="1" x14ac:dyDescent="0.25"/>
    <row r="49676" hidden="1" x14ac:dyDescent="0.25"/>
    <row r="49677" hidden="1" x14ac:dyDescent="0.25"/>
    <row r="49678" hidden="1" x14ac:dyDescent="0.25"/>
    <row r="49679" hidden="1" x14ac:dyDescent="0.25"/>
    <row r="49680" hidden="1" x14ac:dyDescent="0.25"/>
    <row r="49681" hidden="1" x14ac:dyDescent="0.25"/>
    <row r="49682" hidden="1" x14ac:dyDescent="0.25"/>
    <row r="49683" hidden="1" x14ac:dyDescent="0.25"/>
    <row r="49684" hidden="1" x14ac:dyDescent="0.25"/>
    <row r="49685" hidden="1" x14ac:dyDescent="0.25"/>
    <row r="49686" hidden="1" x14ac:dyDescent="0.25"/>
    <row r="49687" hidden="1" x14ac:dyDescent="0.25"/>
    <row r="49688" hidden="1" x14ac:dyDescent="0.25"/>
    <row r="49689" hidden="1" x14ac:dyDescent="0.25"/>
    <row r="49690" hidden="1" x14ac:dyDescent="0.25"/>
    <row r="49691" hidden="1" x14ac:dyDescent="0.25"/>
    <row r="49692" hidden="1" x14ac:dyDescent="0.25"/>
    <row r="49693" hidden="1" x14ac:dyDescent="0.25"/>
    <row r="49694" hidden="1" x14ac:dyDescent="0.25"/>
    <row r="49695" hidden="1" x14ac:dyDescent="0.25"/>
    <row r="49696" hidden="1" x14ac:dyDescent="0.25"/>
    <row r="49697" hidden="1" x14ac:dyDescent="0.25"/>
    <row r="49698" hidden="1" x14ac:dyDescent="0.25"/>
    <row r="49699" hidden="1" x14ac:dyDescent="0.25"/>
    <row r="49700" hidden="1" x14ac:dyDescent="0.25"/>
    <row r="49701" hidden="1" x14ac:dyDescent="0.25"/>
    <row r="49702" hidden="1" x14ac:dyDescent="0.25"/>
    <row r="49703" hidden="1" x14ac:dyDescent="0.25"/>
    <row r="49704" hidden="1" x14ac:dyDescent="0.25"/>
    <row r="49705" hidden="1" x14ac:dyDescent="0.25"/>
    <row r="49706" hidden="1" x14ac:dyDescent="0.25"/>
    <row r="49707" hidden="1" x14ac:dyDescent="0.25"/>
    <row r="49708" hidden="1" x14ac:dyDescent="0.25"/>
    <row r="49709" hidden="1" x14ac:dyDescent="0.25"/>
    <row r="49710" hidden="1" x14ac:dyDescent="0.25"/>
    <row r="49711" hidden="1" x14ac:dyDescent="0.25"/>
    <row r="49712" hidden="1" x14ac:dyDescent="0.25"/>
    <row r="49713" hidden="1" x14ac:dyDescent="0.25"/>
    <row r="49714" hidden="1" x14ac:dyDescent="0.25"/>
    <row r="49715" hidden="1" x14ac:dyDescent="0.25"/>
    <row r="49716" hidden="1" x14ac:dyDescent="0.25"/>
    <row r="49717" hidden="1" x14ac:dyDescent="0.25"/>
    <row r="49718" hidden="1" x14ac:dyDescent="0.25"/>
    <row r="49719" hidden="1" x14ac:dyDescent="0.25"/>
    <row r="49720" hidden="1" x14ac:dyDescent="0.25"/>
    <row r="49721" hidden="1" x14ac:dyDescent="0.25"/>
    <row r="49722" hidden="1" x14ac:dyDescent="0.25"/>
    <row r="49723" hidden="1" x14ac:dyDescent="0.25"/>
    <row r="49724" hidden="1" x14ac:dyDescent="0.25"/>
    <row r="49725" hidden="1" x14ac:dyDescent="0.25"/>
    <row r="49726" hidden="1" x14ac:dyDescent="0.25"/>
    <row r="49727" hidden="1" x14ac:dyDescent="0.25"/>
    <row r="49728" hidden="1" x14ac:dyDescent="0.25"/>
    <row r="49729" hidden="1" x14ac:dyDescent="0.25"/>
    <row r="49730" hidden="1" x14ac:dyDescent="0.25"/>
    <row r="49731" hidden="1" x14ac:dyDescent="0.25"/>
    <row r="49732" hidden="1" x14ac:dyDescent="0.25"/>
    <row r="49733" hidden="1" x14ac:dyDescent="0.25"/>
    <row r="49734" hidden="1" x14ac:dyDescent="0.25"/>
    <row r="49735" hidden="1" x14ac:dyDescent="0.25"/>
    <row r="49736" hidden="1" x14ac:dyDescent="0.25"/>
    <row r="49737" hidden="1" x14ac:dyDescent="0.25"/>
    <row r="49738" hidden="1" x14ac:dyDescent="0.25"/>
    <row r="49739" hidden="1" x14ac:dyDescent="0.25"/>
    <row r="49740" hidden="1" x14ac:dyDescent="0.25"/>
    <row r="49741" hidden="1" x14ac:dyDescent="0.25"/>
    <row r="49742" hidden="1" x14ac:dyDescent="0.25"/>
    <row r="49743" hidden="1" x14ac:dyDescent="0.25"/>
    <row r="49744" hidden="1" x14ac:dyDescent="0.25"/>
    <row r="49745" hidden="1" x14ac:dyDescent="0.25"/>
    <row r="49746" hidden="1" x14ac:dyDescent="0.25"/>
    <row r="49747" hidden="1" x14ac:dyDescent="0.25"/>
    <row r="49748" hidden="1" x14ac:dyDescent="0.25"/>
    <row r="49749" hidden="1" x14ac:dyDescent="0.25"/>
    <row r="49750" hidden="1" x14ac:dyDescent="0.25"/>
    <row r="49751" hidden="1" x14ac:dyDescent="0.25"/>
    <row r="49752" hidden="1" x14ac:dyDescent="0.25"/>
    <row r="49753" hidden="1" x14ac:dyDescent="0.25"/>
    <row r="49754" hidden="1" x14ac:dyDescent="0.25"/>
    <row r="49755" hidden="1" x14ac:dyDescent="0.25"/>
    <row r="49756" hidden="1" x14ac:dyDescent="0.25"/>
    <row r="49757" hidden="1" x14ac:dyDescent="0.25"/>
    <row r="49758" hidden="1" x14ac:dyDescent="0.25"/>
    <row r="49759" hidden="1" x14ac:dyDescent="0.25"/>
    <row r="49760" hidden="1" x14ac:dyDescent="0.25"/>
    <row r="49761" hidden="1" x14ac:dyDescent="0.25"/>
    <row r="49762" hidden="1" x14ac:dyDescent="0.25"/>
    <row r="49763" hidden="1" x14ac:dyDescent="0.25"/>
    <row r="49764" hidden="1" x14ac:dyDescent="0.25"/>
    <row r="49765" hidden="1" x14ac:dyDescent="0.25"/>
    <row r="49766" hidden="1" x14ac:dyDescent="0.25"/>
    <row r="49767" hidden="1" x14ac:dyDescent="0.25"/>
    <row r="49768" hidden="1" x14ac:dyDescent="0.25"/>
    <row r="49769" hidden="1" x14ac:dyDescent="0.25"/>
    <row r="49770" hidden="1" x14ac:dyDescent="0.25"/>
    <row r="49771" hidden="1" x14ac:dyDescent="0.25"/>
    <row r="49772" hidden="1" x14ac:dyDescent="0.25"/>
    <row r="49773" hidden="1" x14ac:dyDescent="0.25"/>
    <row r="49774" hidden="1" x14ac:dyDescent="0.25"/>
    <row r="49775" hidden="1" x14ac:dyDescent="0.25"/>
    <row r="49776" hidden="1" x14ac:dyDescent="0.25"/>
    <row r="49777" hidden="1" x14ac:dyDescent="0.25"/>
    <row r="49778" hidden="1" x14ac:dyDescent="0.25"/>
    <row r="49779" hidden="1" x14ac:dyDescent="0.25"/>
    <row r="49780" hidden="1" x14ac:dyDescent="0.25"/>
    <row r="49781" hidden="1" x14ac:dyDescent="0.25"/>
    <row r="49782" hidden="1" x14ac:dyDescent="0.25"/>
    <row r="49783" hidden="1" x14ac:dyDescent="0.25"/>
    <row r="49784" hidden="1" x14ac:dyDescent="0.25"/>
    <row r="49785" hidden="1" x14ac:dyDescent="0.25"/>
    <row r="49786" hidden="1" x14ac:dyDescent="0.25"/>
    <row r="49787" hidden="1" x14ac:dyDescent="0.25"/>
    <row r="49788" hidden="1" x14ac:dyDescent="0.25"/>
    <row r="49789" hidden="1" x14ac:dyDescent="0.25"/>
    <row r="49790" hidden="1" x14ac:dyDescent="0.25"/>
    <row r="49791" hidden="1" x14ac:dyDescent="0.25"/>
    <row r="49792" hidden="1" x14ac:dyDescent="0.25"/>
    <row r="49793" hidden="1" x14ac:dyDescent="0.25"/>
    <row r="49794" hidden="1" x14ac:dyDescent="0.25"/>
    <row r="49795" hidden="1" x14ac:dyDescent="0.25"/>
    <row r="49796" hidden="1" x14ac:dyDescent="0.25"/>
    <row r="49797" hidden="1" x14ac:dyDescent="0.25"/>
    <row r="49798" hidden="1" x14ac:dyDescent="0.25"/>
    <row r="49799" hidden="1" x14ac:dyDescent="0.25"/>
    <row r="49800" hidden="1" x14ac:dyDescent="0.25"/>
    <row r="49801" hidden="1" x14ac:dyDescent="0.25"/>
    <row r="49802" hidden="1" x14ac:dyDescent="0.25"/>
    <row r="49803" hidden="1" x14ac:dyDescent="0.25"/>
    <row r="49804" hidden="1" x14ac:dyDescent="0.25"/>
    <row r="49805" hidden="1" x14ac:dyDescent="0.25"/>
    <row r="49806" hidden="1" x14ac:dyDescent="0.25"/>
    <row r="49807" hidden="1" x14ac:dyDescent="0.25"/>
    <row r="49808" hidden="1" x14ac:dyDescent="0.25"/>
    <row r="49809" hidden="1" x14ac:dyDescent="0.25"/>
    <row r="49810" hidden="1" x14ac:dyDescent="0.25"/>
    <row r="49811" hidden="1" x14ac:dyDescent="0.25"/>
    <row r="49812" hidden="1" x14ac:dyDescent="0.25"/>
    <row r="49813" hidden="1" x14ac:dyDescent="0.25"/>
    <row r="49814" hidden="1" x14ac:dyDescent="0.25"/>
    <row r="49815" hidden="1" x14ac:dyDescent="0.25"/>
    <row r="49816" hidden="1" x14ac:dyDescent="0.25"/>
    <row r="49817" hidden="1" x14ac:dyDescent="0.25"/>
    <row r="49818" hidden="1" x14ac:dyDescent="0.25"/>
    <row r="49819" hidden="1" x14ac:dyDescent="0.25"/>
    <row r="49820" hidden="1" x14ac:dyDescent="0.25"/>
    <row r="49821" hidden="1" x14ac:dyDescent="0.25"/>
    <row r="49822" hidden="1" x14ac:dyDescent="0.25"/>
    <row r="49823" hidden="1" x14ac:dyDescent="0.25"/>
    <row r="49824" hidden="1" x14ac:dyDescent="0.25"/>
    <row r="49825" hidden="1" x14ac:dyDescent="0.25"/>
    <row r="49826" hidden="1" x14ac:dyDescent="0.25"/>
    <row r="49827" hidden="1" x14ac:dyDescent="0.25"/>
    <row r="49828" hidden="1" x14ac:dyDescent="0.25"/>
    <row r="49829" hidden="1" x14ac:dyDescent="0.25"/>
    <row r="49830" hidden="1" x14ac:dyDescent="0.25"/>
    <row r="49831" hidden="1" x14ac:dyDescent="0.25"/>
    <row r="49832" hidden="1" x14ac:dyDescent="0.25"/>
    <row r="49833" hidden="1" x14ac:dyDescent="0.25"/>
    <row r="49834" hidden="1" x14ac:dyDescent="0.25"/>
    <row r="49835" hidden="1" x14ac:dyDescent="0.25"/>
    <row r="49836" hidden="1" x14ac:dyDescent="0.25"/>
    <row r="49837" hidden="1" x14ac:dyDescent="0.25"/>
    <row r="49838" hidden="1" x14ac:dyDescent="0.25"/>
    <row r="49839" hidden="1" x14ac:dyDescent="0.25"/>
    <row r="49840" hidden="1" x14ac:dyDescent="0.25"/>
    <row r="49841" hidden="1" x14ac:dyDescent="0.25"/>
    <row r="49842" hidden="1" x14ac:dyDescent="0.25"/>
    <row r="49843" hidden="1" x14ac:dyDescent="0.25"/>
    <row r="49844" hidden="1" x14ac:dyDescent="0.25"/>
    <row r="49845" hidden="1" x14ac:dyDescent="0.25"/>
    <row r="49846" hidden="1" x14ac:dyDescent="0.25"/>
    <row r="49847" hidden="1" x14ac:dyDescent="0.25"/>
    <row r="49848" hidden="1" x14ac:dyDescent="0.25"/>
    <row r="49849" hidden="1" x14ac:dyDescent="0.25"/>
    <row r="49850" hidden="1" x14ac:dyDescent="0.25"/>
    <row r="49851" hidden="1" x14ac:dyDescent="0.25"/>
    <row r="49852" hidden="1" x14ac:dyDescent="0.25"/>
    <row r="49853" hidden="1" x14ac:dyDescent="0.25"/>
    <row r="49854" hidden="1" x14ac:dyDescent="0.25"/>
    <row r="49855" hidden="1" x14ac:dyDescent="0.25"/>
    <row r="49856" hidden="1" x14ac:dyDescent="0.25"/>
    <row r="49857" hidden="1" x14ac:dyDescent="0.25"/>
    <row r="49858" hidden="1" x14ac:dyDescent="0.25"/>
    <row r="49859" hidden="1" x14ac:dyDescent="0.25"/>
    <row r="49860" hidden="1" x14ac:dyDescent="0.25"/>
    <row r="49861" hidden="1" x14ac:dyDescent="0.25"/>
    <row r="49862" hidden="1" x14ac:dyDescent="0.25"/>
    <row r="49863" hidden="1" x14ac:dyDescent="0.25"/>
    <row r="49864" hidden="1" x14ac:dyDescent="0.25"/>
    <row r="49865" hidden="1" x14ac:dyDescent="0.25"/>
    <row r="49866" hidden="1" x14ac:dyDescent="0.25"/>
    <row r="49867" hidden="1" x14ac:dyDescent="0.25"/>
    <row r="49868" hidden="1" x14ac:dyDescent="0.25"/>
    <row r="49869" hidden="1" x14ac:dyDescent="0.25"/>
    <row r="49870" hidden="1" x14ac:dyDescent="0.25"/>
    <row r="49871" hidden="1" x14ac:dyDescent="0.25"/>
    <row r="49872" hidden="1" x14ac:dyDescent="0.25"/>
    <row r="49873" hidden="1" x14ac:dyDescent="0.25"/>
    <row r="49874" hidden="1" x14ac:dyDescent="0.25"/>
    <row r="49875" hidden="1" x14ac:dyDescent="0.25"/>
    <row r="49876" hidden="1" x14ac:dyDescent="0.25"/>
    <row r="49877" hidden="1" x14ac:dyDescent="0.25"/>
    <row r="49878" hidden="1" x14ac:dyDescent="0.25"/>
    <row r="49879" hidden="1" x14ac:dyDescent="0.25"/>
    <row r="49880" hidden="1" x14ac:dyDescent="0.25"/>
    <row r="49881" hidden="1" x14ac:dyDescent="0.25"/>
    <row r="49882" hidden="1" x14ac:dyDescent="0.25"/>
    <row r="49883" hidden="1" x14ac:dyDescent="0.25"/>
    <row r="49884" hidden="1" x14ac:dyDescent="0.25"/>
    <row r="49885" hidden="1" x14ac:dyDescent="0.25"/>
    <row r="49886" hidden="1" x14ac:dyDescent="0.25"/>
    <row r="49887" hidden="1" x14ac:dyDescent="0.25"/>
    <row r="49888" hidden="1" x14ac:dyDescent="0.25"/>
    <row r="49889" hidden="1" x14ac:dyDescent="0.25"/>
    <row r="49890" hidden="1" x14ac:dyDescent="0.25"/>
    <row r="49891" hidden="1" x14ac:dyDescent="0.25"/>
    <row r="49892" hidden="1" x14ac:dyDescent="0.25"/>
    <row r="49893" hidden="1" x14ac:dyDescent="0.25"/>
    <row r="49894" hidden="1" x14ac:dyDescent="0.25"/>
    <row r="49895" hidden="1" x14ac:dyDescent="0.25"/>
    <row r="49896" hidden="1" x14ac:dyDescent="0.25"/>
    <row r="49897" hidden="1" x14ac:dyDescent="0.25"/>
    <row r="49898" hidden="1" x14ac:dyDescent="0.25"/>
    <row r="49899" hidden="1" x14ac:dyDescent="0.25"/>
    <row r="49900" hidden="1" x14ac:dyDescent="0.25"/>
    <row r="49901" hidden="1" x14ac:dyDescent="0.25"/>
    <row r="49902" hidden="1" x14ac:dyDescent="0.25"/>
    <row r="49903" hidden="1" x14ac:dyDescent="0.25"/>
    <row r="49904" hidden="1" x14ac:dyDescent="0.25"/>
    <row r="49905" hidden="1" x14ac:dyDescent="0.25"/>
    <row r="49906" hidden="1" x14ac:dyDescent="0.25"/>
    <row r="49907" hidden="1" x14ac:dyDescent="0.25"/>
    <row r="49908" hidden="1" x14ac:dyDescent="0.25"/>
    <row r="49909" hidden="1" x14ac:dyDescent="0.25"/>
    <row r="49910" hidden="1" x14ac:dyDescent="0.25"/>
    <row r="49911" hidden="1" x14ac:dyDescent="0.25"/>
    <row r="49912" hidden="1" x14ac:dyDescent="0.25"/>
    <row r="49913" hidden="1" x14ac:dyDescent="0.25"/>
    <row r="49914" hidden="1" x14ac:dyDescent="0.25"/>
    <row r="49915" hidden="1" x14ac:dyDescent="0.25"/>
    <row r="49916" hidden="1" x14ac:dyDescent="0.25"/>
    <row r="49917" hidden="1" x14ac:dyDescent="0.25"/>
    <row r="49918" hidden="1" x14ac:dyDescent="0.25"/>
    <row r="49919" hidden="1" x14ac:dyDescent="0.25"/>
    <row r="49920" hidden="1" x14ac:dyDescent="0.25"/>
    <row r="49921" hidden="1" x14ac:dyDescent="0.25"/>
    <row r="49922" hidden="1" x14ac:dyDescent="0.25"/>
    <row r="49923" hidden="1" x14ac:dyDescent="0.25"/>
    <row r="49924" hidden="1" x14ac:dyDescent="0.25"/>
    <row r="49925" hidden="1" x14ac:dyDescent="0.25"/>
    <row r="49926" hidden="1" x14ac:dyDescent="0.25"/>
    <row r="49927" hidden="1" x14ac:dyDescent="0.25"/>
    <row r="49928" hidden="1" x14ac:dyDescent="0.25"/>
    <row r="49929" hidden="1" x14ac:dyDescent="0.25"/>
    <row r="49930" hidden="1" x14ac:dyDescent="0.25"/>
    <row r="49931" hidden="1" x14ac:dyDescent="0.25"/>
    <row r="49932" hidden="1" x14ac:dyDescent="0.25"/>
    <row r="49933" hidden="1" x14ac:dyDescent="0.25"/>
    <row r="49934" hidden="1" x14ac:dyDescent="0.25"/>
    <row r="49935" hidden="1" x14ac:dyDescent="0.25"/>
    <row r="49936" hidden="1" x14ac:dyDescent="0.25"/>
    <row r="49937" hidden="1" x14ac:dyDescent="0.25"/>
    <row r="49938" hidden="1" x14ac:dyDescent="0.25"/>
    <row r="49939" hidden="1" x14ac:dyDescent="0.25"/>
    <row r="49940" hidden="1" x14ac:dyDescent="0.25"/>
    <row r="49941" hidden="1" x14ac:dyDescent="0.25"/>
    <row r="49942" hidden="1" x14ac:dyDescent="0.25"/>
    <row r="49943" hidden="1" x14ac:dyDescent="0.25"/>
    <row r="49944" hidden="1" x14ac:dyDescent="0.25"/>
    <row r="49945" hidden="1" x14ac:dyDescent="0.25"/>
    <row r="49946" hidden="1" x14ac:dyDescent="0.25"/>
    <row r="49947" hidden="1" x14ac:dyDescent="0.25"/>
    <row r="49948" hidden="1" x14ac:dyDescent="0.25"/>
    <row r="49949" hidden="1" x14ac:dyDescent="0.25"/>
    <row r="49950" hidden="1" x14ac:dyDescent="0.25"/>
    <row r="49951" hidden="1" x14ac:dyDescent="0.25"/>
    <row r="49952" hidden="1" x14ac:dyDescent="0.25"/>
    <row r="49953" hidden="1" x14ac:dyDescent="0.25"/>
    <row r="49954" hidden="1" x14ac:dyDescent="0.25"/>
    <row r="49955" hidden="1" x14ac:dyDescent="0.25"/>
    <row r="49956" hidden="1" x14ac:dyDescent="0.25"/>
    <row r="49957" hidden="1" x14ac:dyDescent="0.25"/>
    <row r="49958" hidden="1" x14ac:dyDescent="0.25"/>
    <row r="49959" hidden="1" x14ac:dyDescent="0.25"/>
    <row r="49960" hidden="1" x14ac:dyDescent="0.25"/>
    <row r="49961" hidden="1" x14ac:dyDescent="0.25"/>
    <row r="49962" hidden="1" x14ac:dyDescent="0.25"/>
    <row r="49963" hidden="1" x14ac:dyDescent="0.25"/>
    <row r="49964" hidden="1" x14ac:dyDescent="0.25"/>
    <row r="49965" hidden="1" x14ac:dyDescent="0.25"/>
    <row r="49966" hidden="1" x14ac:dyDescent="0.25"/>
    <row r="49967" hidden="1" x14ac:dyDescent="0.25"/>
    <row r="49968" hidden="1" x14ac:dyDescent="0.25"/>
    <row r="49969" hidden="1" x14ac:dyDescent="0.25"/>
    <row r="49970" hidden="1" x14ac:dyDescent="0.25"/>
    <row r="49971" hidden="1" x14ac:dyDescent="0.25"/>
    <row r="49972" hidden="1" x14ac:dyDescent="0.25"/>
    <row r="49973" hidden="1" x14ac:dyDescent="0.25"/>
    <row r="49974" hidden="1" x14ac:dyDescent="0.25"/>
    <row r="49975" hidden="1" x14ac:dyDescent="0.25"/>
    <row r="49976" hidden="1" x14ac:dyDescent="0.25"/>
    <row r="49977" hidden="1" x14ac:dyDescent="0.25"/>
    <row r="49978" hidden="1" x14ac:dyDescent="0.25"/>
    <row r="49979" hidden="1" x14ac:dyDescent="0.25"/>
    <row r="49980" hidden="1" x14ac:dyDescent="0.25"/>
    <row r="49981" hidden="1" x14ac:dyDescent="0.25"/>
    <row r="49982" hidden="1" x14ac:dyDescent="0.25"/>
    <row r="49983" hidden="1" x14ac:dyDescent="0.25"/>
    <row r="49984" hidden="1" x14ac:dyDescent="0.25"/>
    <row r="49985" hidden="1" x14ac:dyDescent="0.25"/>
    <row r="49986" hidden="1" x14ac:dyDescent="0.25"/>
    <row r="49987" hidden="1" x14ac:dyDescent="0.25"/>
    <row r="49988" hidden="1" x14ac:dyDescent="0.25"/>
    <row r="49989" hidden="1" x14ac:dyDescent="0.25"/>
    <row r="49990" hidden="1" x14ac:dyDescent="0.25"/>
    <row r="49991" hidden="1" x14ac:dyDescent="0.25"/>
    <row r="49992" hidden="1" x14ac:dyDescent="0.25"/>
    <row r="49993" hidden="1" x14ac:dyDescent="0.25"/>
    <row r="49994" hidden="1" x14ac:dyDescent="0.25"/>
    <row r="49995" hidden="1" x14ac:dyDescent="0.25"/>
    <row r="49996" hidden="1" x14ac:dyDescent="0.25"/>
    <row r="49997" hidden="1" x14ac:dyDescent="0.25"/>
    <row r="49998" hidden="1" x14ac:dyDescent="0.25"/>
    <row r="49999" hidden="1" x14ac:dyDescent="0.25"/>
    <row r="50000" hidden="1" x14ac:dyDescent="0.25"/>
    <row r="50001" hidden="1" x14ac:dyDescent="0.25"/>
    <row r="50002" hidden="1" x14ac:dyDescent="0.25"/>
    <row r="50003" hidden="1" x14ac:dyDescent="0.25"/>
    <row r="50004" hidden="1" x14ac:dyDescent="0.25"/>
    <row r="50005" hidden="1" x14ac:dyDescent="0.25"/>
    <row r="50006" hidden="1" x14ac:dyDescent="0.25"/>
    <row r="50007" hidden="1" x14ac:dyDescent="0.25"/>
    <row r="50008" hidden="1" x14ac:dyDescent="0.25"/>
    <row r="50009" hidden="1" x14ac:dyDescent="0.25"/>
    <row r="50010" hidden="1" x14ac:dyDescent="0.25"/>
    <row r="50011" hidden="1" x14ac:dyDescent="0.25"/>
    <row r="50012" hidden="1" x14ac:dyDescent="0.25"/>
    <row r="50013" hidden="1" x14ac:dyDescent="0.25"/>
    <row r="50014" hidden="1" x14ac:dyDescent="0.25"/>
    <row r="50015" hidden="1" x14ac:dyDescent="0.25"/>
    <row r="50016" hidden="1" x14ac:dyDescent="0.25"/>
    <row r="50017" hidden="1" x14ac:dyDescent="0.25"/>
    <row r="50018" hidden="1" x14ac:dyDescent="0.25"/>
    <row r="50019" hidden="1" x14ac:dyDescent="0.25"/>
    <row r="50020" hidden="1" x14ac:dyDescent="0.25"/>
    <row r="50021" hidden="1" x14ac:dyDescent="0.25"/>
    <row r="50022" hidden="1" x14ac:dyDescent="0.25"/>
    <row r="50023" hidden="1" x14ac:dyDescent="0.25"/>
    <row r="50024" hidden="1" x14ac:dyDescent="0.25"/>
    <row r="50025" hidden="1" x14ac:dyDescent="0.25"/>
    <row r="50026" hidden="1" x14ac:dyDescent="0.25"/>
    <row r="50027" hidden="1" x14ac:dyDescent="0.25"/>
    <row r="50028" hidden="1" x14ac:dyDescent="0.25"/>
    <row r="50029" hidden="1" x14ac:dyDescent="0.25"/>
    <row r="50030" hidden="1" x14ac:dyDescent="0.25"/>
    <row r="50031" hidden="1" x14ac:dyDescent="0.25"/>
    <row r="50032" hidden="1" x14ac:dyDescent="0.25"/>
    <row r="50033" hidden="1" x14ac:dyDescent="0.25"/>
    <row r="50034" hidden="1" x14ac:dyDescent="0.25"/>
    <row r="50035" hidden="1" x14ac:dyDescent="0.25"/>
    <row r="50036" hidden="1" x14ac:dyDescent="0.25"/>
    <row r="50037" hidden="1" x14ac:dyDescent="0.25"/>
    <row r="50038" hidden="1" x14ac:dyDescent="0.25"/>
    <row r="50039" hidden="1" x14ac:dyDescent="0.25"/>
    <row r="50040" hidden="1" x14ac:dyDescent="0.25"/>
    <row r="50041" hidden="1" x14ac:dyDescent="0.25"/>
    <row r="50042" hidden="1" x14ac:dyDescent="0.25"/>
    <row r="50043" hidden="1" x14ac:dyDescent="0.25"/>
    <row r="50044" hidden="1" x14ac:dyDescent="0.25"/>
    <row r="50045" hidden="1" x14ac:dyDescent="0.25"/>
    <row r="50046" hidden="1" x14ac:dyDescent="0.25"/>
    <row r="50047" hidden="1" x14ac:dyDescent="0.25"/>
    <row r="50048" hidden="1" x14ac:dyDescent="0.25"/>
    <row r="50049" hidden="1" x14ac:dyDescent="0.25"/>
    <row r="50050" hidden="1" x14ac:dyDescent="0.25"/>
    <row r="50051" hidden="1" x14ac:dyDescent="0.25"/>
    <row r="50052" hidden="1" x14ac:dyDescent="0.25"/>
    <row r="50053" hidden="1" x14ac:dyDescent="0.25"/>
    <row r="50054" hidden="1" x14ac:dyDescent="0.25"/>
    <row r="50055" hidden="1" x14ac:dyDescent="0.25"/>
    <row r="50056" hidden="1" x14ac:dyDescent="0.25"/>
    <row r="50057" hidden="1" x14ac:dyDescent="0.25"/>
    <row r="50058" hidden="1" x14ac:dyDescent="0.25"/>
    <row r="50059" hidden="1" x14ac:dyDescent="0.25"/>
    <row r="50060" hidden="1" x14ac:dyDescent="0.25"/>
    <row r="50061" hidden="1" x14ac:dyDescent="0.25"/>
    <row r="50062" hidden="1" x14ac:dyDescent="0.25"/>
    <row r="50063" hidden="1" x14ac:dyDescent="0.25"/>
    <row r="50064" hidden="1" x14ac:dyDescent="0.25"/>
    <row r="50065" hidden="1" x14ac:dyDescent="0.25"/>
    <row r="50066" hidden="1" x14ac:dyDescent="0.25"/>
    <row r="50067" hidden="1" x14ac:dyDescent="0.25"/>
    <row r="50068" hidden="1" x14ac:dyDescent="0.25"/>
    <row r="50069" hidden="1" x14ac:dyDescent="0.25"/>
    <row r="50070" hidden="1" x14ac:dyDescent="0.25"/>
    <row r="50071" hidden="1" x14ac:dyDescent="0.25"/>
    <row r="50072" hidden="1" x14ac:dyDescent="0.25"/>
    <row r="50073" hidden="1" x14ac:dyDescent="0.25"/>
    <row r="50074" hidden="1" x14ac:dyDescent="0.25"/>
    <row r="50075" hidden="1" x14ac:dyDescent="0.25"/>
    <row r="50076" hidden="1" x14ac:dyDescent="0.25"/>
    <row r="50077" hidden="1" x14ac:dyDescent="0.25"/>
    <row r="50078" hidden="1" x14ac:dyDescent="0.25"/>
    <row r="50079" hidden="1" x14ac:dyDescent="0.25"/>
    <row r="50080" hidden="1" x14ac:dyDescent="0.25"/>
    <row r="50081" hidden="1" x14ac:dyDescent="0.25"/>
    <row r="50082" hidden="1" x14ac:dyDescent="0.25"/>
    <row r="50083" hidden="1" x14ac:dyDescent="0.25"/>
    <row r="50084" hidden="1" x14ac:dyDescent="0.25"/>
    <row r="50085" hidden="1" x14ac:dyDescent="0.25"/>
    <row r="50086" hidden="1" x14ac:dyDescent="0.25"/>
    <row r="50087" hidden="1" x14ac:dyDescent="0.25"/>
    <row r="50088" hidden="1" x14ac:dyDescent="0.25"/>
    <row r="50089" hidden="1" x14ac:dyDescent="0.25"/>
    <row r="50090" hidden="1" x14ac:dyDescent="0.25"/>
    <row r="50091" hidden="1" x14ac:dyDescent="0.25"/>
    <row r="50092" hidden="1" x14ac:dyDescent="0.25"/>
    <row r="50093" hidden="1" x14ac:dyDescent="0.25"/>
    <row r="50094" hidden="1" x14ac:dyDescent="0.25"/>
    <row r="50095" hidden="1" x14ac:dyDescent="0.25"/>
    <row r="50096" hidden="1" x14ac:dyDescent="0.25"/>
    <row r="50097" hidden="1" x14ac:dyDescent="0.25"/>
    <row r="50098" hidden="1" x14ac:dyDescent="0.25"/>
    <row r="50099" hidden="1" x14ac:dyDescent="0.25"/>
    <row r="50100" hidden="1" x14ac:dyDescent="0.25"/>
    <row r="50101" hidden="1" x14ac:dyDescent="0.25"/>
    <row r="50102" hidden="1" x14ac:dyDescent="0.25"/>
    <row r="50103" hidden="1" x14ac:dyDescent="0.25"/>
    <row r="50104" hidden="1" x14ac:dyDescent="0.25"/>
    <row r="50105" hidden="1" x14ac:dyDescent="0.25"/>
    <row r="50106" hidden="1" x14ac:dyDescent="0.25"/>
    <row r="50107" hidden="1" x14ac:dyDescent="0.25"/>
    <row r="50108" hidden="1" x14ac:dyDescent="0.25"/>
    <row r="50109" hidden="1" x14ac:dyDescent="0.25"/>
    <row r="50110" hidden="1" x14ac:dyDescent="0.25"/>
    <row r="50111" hidden="1" x14ac:dyDescent="0.25"/>
    <row r="50112" hidden="1" x14ac:dyDescent="0.25"/>
    <row r="50113" hidden="1" x14ac:dyDescent="0.25"/>
    <row r="50114" hidden="1" x14ac:dyDescent="0.25"/>
    <row r="50115" hidden="1" x14ac:dyDescent="0.25"/>
    <row r="50116" hidden="1" x14ac:dyDescent="0.25"/>
    <row r="50117" hidden="1" x14ac:dyDescent="0.25"/>
    <row r="50118" hidden="1" x14ac:dyDescent="0.25"/>
    <row r="50119" hidden="1" x14ac:dyDescent="0.25"/>
    <row r="50120" hidden="1" x14ac:dyDescent="0.25"/>
    <row r="50121" hidden="1" x14ac:dyDescent="0.25"/>
    <row r="50122" hidden="1" x14ac:dyDescent="0.25"/>
    <row r="50123" hidden="1" x14ac:dyDescent="0.25"/>
    <row r="50124" hidden="1" x14ac:dyDescent="0.25"/>
    <row r="50125" hidden="1" x14ac:dyDescent="0.25"/>
    <row r="50126" hidden="1" x14ac:dyDescent="0.25"/>
    <row r="50127" hidden="1" x14ac:dyDescent="0.25"/>
    <row r="50128" hidden="1" x14ac:dyDescent="0.25"/>
    <row r="50129" hidden="1" x14ac:dyDescent="0.25"/>
    <row r="50130" hidden="1" x14ac:dyDescent="0.25"/>
    <row r="50131" hidden="1" x14ac:dyDescent="0.25"/>
    <row r="50132" hidden="1" x14ac:dyDescent="0.25"/>
    <row r="50133" hidden="1" x14ac:dyDescent="0.25"/>
    <row r="50134" hidden="1" x14ac:dyDescent="0.25"/>
    <row r="50135" hidden="1" x14ac:dyDescent="0.25"/>
    <row r="50136" hidden="1" x14ac:dyDescent="0.25"/>
    <row r="50137" hidden="1" x14ac:dyDescent="0.25"/>
    <row r="50138" hidden="1" x14ac:dyDescent="0.25"/>
    <row r="50139" hidden="1" x14ac:dyDescent="0.25"/>
    <row r="50140" hidden="1" x14ac:dyDescent="0.25"/>
    <row r="50141" hidden="1" x14ac:dyDescent="0.25"/>
    <row r="50142" hidden="1" x14ac:dyDescent="0.25"/>
    <row r="50143" hidden="1" x14ac:dyDescent="0.25"/>
    <row r="50144" hidden="1" x14ac:dyDescent="0.25"/>
    <row r="50145" hidden="1" x14ac:dyDescent="0.25"/>
    <row r="50146" hidden="1" x14ac:dyDescent="0.25"/>
    <row r="50147" hidden="1" x14ac:dyDescent="0.25"/>
    <row r="50148" hidden="1" x14ac:dyDescent="0.25"/>
    <row r="50149" hidden="1" x14ac:dyDescent="0.25"/>
    <row r="50150" hidden="1" x14ac:dyDescent="0.25"/>
    <row r="50151" hidden="1" x14ac:dyDescent="0.25"/>
    <row r="50152" hidden="1" x14ac:dyDescent="0.25"/>
    <row r="50153" hidden="1" x14ac:dyDescent="0.25"/>
    <row r="50154" hidden="1" x14ac:dyDescent="0.25"/>
    <row r="50155" hidden="1" x14ac:dyDescent="0.25"/>
    <row r="50156" hidden="1" x14ac:dyDescent="0.25"/>
    <row r="50157" hidden="1" x14ac:dyDescent="0.25"/>
    <row r="50158" hidden="1" x14ac:dyDescent="0.25"/>
    <row r="50159" hidden="1" x14ac:dyDescent="0.25"/>
    <row r="50160" hidden="1" x14ac:dyDescent="0.25"/>
    <row r="50161" hidden="1" x14ac:dyDescent="0.25"/>
    <row r="50162" hidden="1" x14ac:dyDescent="0.25"/>
    <row r="50163" hidden="1" x14ac:dyDescent="0.25"/>
    <row r="50164" hidden="1" x14ac:dyDescent="0.25"/>
    <row r="50165" hidden="1" x14ac:dyDescent="0.25"/>
    <row r="50166" hidden="1" x14ac:dyDescent="0.25"/>
    <row r="50167" hidden="1" x14ac:dyDescent="0.25"/>
    <row r="50168" hidden="1" x14ac:dyDescent="0.25"/>
    <row r="50169" hidden="1" x14ac:dyDescent="0.25"/>
    <row r="50170" hidden="1" x14ac:dyDescent="0.25"/>
    <row r="50171" hidden="1" x14ac:dyDescent="0.25"/>
    <row r="50172" hidden="1" x14ac:dyDescent="0.25"/>
    <row r="50173" hidden="1" x14ac:dyDescent="0.25"/>
    <row r="50174" hidden="1" x14ac:dyDescent="0.25"/>
    <row r="50175" hidden="1" x14ac:dyDescent="0.25"/>
    <row r="50176" hidden="1" x14ac:dyDescent="0.25"/>
    <row r="50177" hidden="1" x14ac:dyDescent="0.25"/>
    <row r="50178" hidden="1" x14ac:dyDescent="0.25"/>
    <row r="50179" hidden="1" x14ac:dyDescent="0.25"/>
    <row r="50180" hidden="1" x14ac:dyDescent="0.25"/>
    <row r="50181" hidden="1" x14ac:dyDescent="0.25"/>
    <row r="50182" hidden="1" x14ac:dyDescent="0.25"/>
    <row r="50183" hidden="1" x14ac:dyDescent="0.25"/>
    <row r="50184" hidden="1" x14ac:dyDescent="0.25"/>
    <row r="50185" hidden="1" x14ac:dyDescent="0.25"/>
    <row r="50186" hidden="1" x14ac:dyDescent="0.25"/>
    <row r="50187" hidden="1" x14ac:dyDescent="0.25"/>
    <row r="50188" hidden="1" x14ac:dyDescent="0.25"/>
    <row r="50189" hidden="1" x14ac:dyDescent="0.25"/>
    <row r="50190" hidden="1" x14ac:dyDescent="0.25"/>
    <row r="50191" hidden="1" x14ac:dyDescent="0.25"/>
    <row r="50192" hidden="1" x14ac:dyDescent="0.25"/>
    <row r="50193" hidden="1" x14ac:dyDescent="0.25"/>
    <row r="50194" hidden="1" x14ac:dyDescent="0.25"/>
    <row r="50195" hidden="1" x14ac:dyDescent="0.25"/>
    <row r="50196" hidden="1" x14ac:dyDescent="0.25"/>
    <row r="50197" hidden="1" x14ac:dyDescent="0.25"/>
    <row r="50198" hidden="1" x14ac:dyDescent="0.25"/>
    <row r="50199" hidden="1" x14ac:dyDescent="0.25"/>
    <row r="50200" hidden="1" x14ac:dyDescent="0.25"/>
    <row r="50201" hidden="1" x14ac:dyDescent="0.25"/>
    <row r="50202" hidden="1" x14ac:dyDescent="0.25"/>
    <row r="50203" hidden="1" x14ac:dyDescent="0.25"/>
    <row r="50204" hidden="1" x14ac:dyDescent="0.25"/>
    <row r="50205" hidden="1" x14ac:dyDescent="0.25"/>
    <row r="50206" hidden="1" x14ac:dyDescent="0.25"/>
    <row r="50207" hidden="1" x14ac:dyDescent="0.25"/>
    <row r="50208" hidden="1" x14ac:dyDescent="0.25"/>
    <row r="50209" hidden="1" x14ac:dyDescent="0.25"/>
    <row r="50210" hidden="1" x14ac:dyDescent="0.25"/>
    <row r="50211" hidden="1" x14ac:dyDescent="0.25"/>
    <row r="50212" hidden="1" x14ac:dyDescent="0.25"/>
    <row r="50213" hidden="1" x14ac:dyDescent="0.25"/>
    <row r="50214" hidden="1" x14ac:dyDescent="0.25"/>
    <row r="50215" hidden="1" x14ac:dyDescent="0.25"/>
    <row r="50216" hidden="1" x14ac:dyDescent="0.25"/>
    <row r="50217" hidden="1" x14ac:dyDescent="0.25"/>
    <row r="50218" hidden="1" x14ac:dyDescent="0.25"/>
    <row r="50219" hidden="1" x14ac:dyDescent="0.25"/>
    <row r="50220" hidden="1" x14ac:dyDescent="0.25"/>
    <row r="50221" hidden="1" x14ac:dyDescent="0.25"/>
    <row r="50222" hidden="1" x14ac:dyDescent="0.25"/>
    <row r="50223" hidden="1" x14ac:dyDescent="0.25"/>
    <row r="50224" hidden="1" x14ac:dyDescent="0.25"/>
    <row r="50225" hidden="1" x14ac:dyDescent="0.25"/>
    <row r="50226" hidden="1" x14ac:dyDescent="0.25"/>
    <row r="50227" hidden="1" x14ac:dyDescent="0.25"/>
    <row r="50228" hidden="1" x14ac:dyDescent="0.25"/>
    <row r="50229" hidden="1" x14ac:dyDescent="0.25"/>
    <row r="50230" hidden="1" x14ac:dyDescent="0.25"/>
    <row r="50231" hidden="1" x14ac:dyDescent="0.25"/>
    <row r="50232" hidden="1" x14ac:dyDescent="0.25"/>
    <row r="50233" hidden="1" x14ac:dyDescent="0.25"/>
    <row r="50234" hidden="1" x14ac:dyDescent="0.25"/>
    <row r="50235" hidden="1" x14ac:dyDescent="0.25"/>
    <row r="50236" hidden="1" x14ac:dyDescent="0.25"/>
    <row r="50237" hidden="1" x14ac:dyDescent="0.25"/>
    <row r="50238" hidden="1" x14ac:dyDescent="0.25"/>
    <row r="50239" hidden="1" x14ac:dyDescent="0.25"/>
    <row r="50240" hidden="1" x14ac:dyDescent="0.25"/>
    <row r="50241" hidden="1" x14ac:dyDescent="0.25"/>
    <row r="50242" hidden="1" x14ac:dyDescent="0.25"/>
    <row r="50243" hidden="1" x14ac:dyDescent="0.25"/>
    <row r="50244" hidden="1" x14ac:dyDescent="0.25"/>
    <row r="50245" hidden="1" x14ac:dyDescent="0.25"/>
    <row r="50246" hidden="1" x14ac:dyDescent="0.25"/>
    <row r="50247" hidden="1" x14ac:dyDescent="0.25"/>
    <row r="50248" hidden="1" x14ac:dyDescent="0.25"/>
    <row r="50249" hidden="1" x14ac:dyDescent="0.25"/>
    <row r="50250" hidden="1" x14ac:dyDescent="0.25"/>
    <row r="50251" hidden="1" x14ac:dyDescent="0.25"/>
    <row r="50252" hidden="1" x14ac:dyDescent="0.25"/>
    <row r="50253" hidden="1" x14ac:dyDescent="0.25"/>
    <row r="50254" hidden="1" x14ac:dyDescent="0.25"/>
    <row r="50255" hidden="1" x14ac:dyDescent="0.25"/>
    <row r="50256" hidden="1" x14ac:dyDescent="0.25"/>
    <row r="50257" hidden="1" x14ac:dyDescent="0.25"/>
    <row r="50258" hidden="1" x14ac:dyDescent="0.25"/>
    <row r="50259" hidden="1" x14ac:dyDescent="0.25"/>
    <row r="50260" hidden="1" x14ac:dyDescent="0.25"/>
    <row r="50261" hidden="1" x14ac:dyDescent="0.25"/>
    <row r="50262" hidden="1" x14ac:dyDescent="0.25"/>
    <row r="50263" hidden="1" x14ac:dyDescent="0.25"/>
    <row r="50264" hidden="1" x14ac:dyDescent="0.25"/>
    <row r="50265" hidden="1" x14ac:dyDescent="0.25"/>
    <row r="50266" hidden="1" x14ac:dyDescent="0.25"/>
    <row r="50267" hidden="1" x14ac:dyDescent="0.25"/>
    <row r="50268" hidden="1" x14ac:dyDescent="0.25"/>
    <row r="50269" hidden="1" x14ac:dyDescent="0.25"/>
    <row r="50270" hidden="1" x14ac:dyDescent="0.25"/>
    <row r="50271" hidden="1" x14ac:dyDescent="0.25"/>
    <row r="50272" hidden="1" x14ac:dyDescent="0.25"/>
    <row r="50273" hidden="1" x14ac:dyDescent="0.25"/>
    <row r="50274" hidden="1" x14ac:dyDescent="0.25"/>
    <row r="50275" hidden="1" x14ac:dyDescent="0.25"/>
    <row r="50276" hidden="1" x14ac:dyDescent="0.25"/>
    <row r="50277" hidden="1" x14ac:dyDescent="0.25"/>
    <row r="50278" hidden="1" x14ac:dyDescent="0.25"/>
    <row r="50279" hidden="1" x14ac:dyDescent="0.25"/>
    <row r="50280" hidden="1" x14ac:dyDescent="0.25"/>
    <row r="50281" hidden="1" x14ac:dyDescent="0.25"/>
    <row r="50282" hidden="1" x14ac:dyDescent="0.25"/>
    <row r="50283" hidden="1" x14ac:dyDescent="0.25"/>
    <row r="50284" hidden="1" x14ac:dyDescent="0.25"/>
    <row r="50285" hidden="1" x14ac:dyDescent="0.25"/>
    <row r="50286" hidden="1" x14ac:dyDescent="0.25"/>
    <row r="50287" hidden="1" x14ac:dyDescent="0.25"/>
    <row r="50288" hidden="1" x14ac:dyDescent="0.25"/>
    <row r="50289" hidden="1" x14ac:dyDescent="0.25"/>
    <row r="50290" hidden="1" x14ac:dyDescent="0.25"/>
    <row r="50291" hidden="1" x14ac:dyDescent="0.25"/>
    <row r="50292" hidden="1" x14ac:dyDescent="0.25"/>
    <row r="50293" hidden="1" x14ac:dyDescent="0.25"/>
    <row r="50294" hidden="1" x14ac:dyDescent="0.25"/>
    <row r="50295" hidden="1" x14ac:dyDescent="0.25"/>
    <row r="50296" hidden="1" x14ac:dyDescent="0.25"/>
    <row r="50297" hidden="1" x14ac:dyDescent="0.25"/>
    <row r="50298" hidden="1" x14ac:dyDescent="0.25"/>
    <row r="50299" hidden="1" x14ac:dyDescent="0.25"/>
    <row r="50300" hidden="1" x14ac:dyDescent="0.25"/>
    <row r="50301" hidden="1" x14ac:dyDescent="0.25"/>
    <row r="50302" hidden="1" x14ac:dyDescent="0.25"/>
    <row r="50303" hidden="1" x14ac:dyDescent="0.25"/>
    <row r="50304" hidden="1" x14ac:dyDescent="0.25"/>
    <row r="50305" hidden="1" x14ac:dyDescent="0.25"/>
    <row r="50306" hidden="1" x14ac:dyDescent="0.25"/>
    <row r="50307" hidden="1" x14ac:dyDescent="0.25"/>
    <row r="50308" hidden="1" x14ac:dyDescent="0.25"/>
    <row r="50309" hidden="1" x14ac:dyDescent="0.25"/>
    <row r="50310" hidden="1" x14ac:dyDescent="0.25"/>
    <row r="50311" hidden="1" x14ac:dyDescent="0.25"/>
    <row r="50312" hidden="1" x14ac:dyDescent="0.25"/>
    <row r="50313" hidden="1" x14ac:dyDescent="0.25"/>
    <row r="50314" hidden="1" x14ac:dyDescent="0.25"/>
    <row r="50315" hidden="1" x14ac:dyDescent="0.25"/>
    <row r="50316" hidden="1" x14ac:dyDescent="0.25"/>
    <row r="50317" hidden="1" x14ac:dyDescent="0.25"/>
    <row r="50318" hidden="1" x14ac:dyDescent="0.25"/>
    <row r="50319" hidden="1" x14ac:dyDescent="0.25"/>
    <row r="50320" hidden="1" x14ac:dyDescent="0.25"/>
    <row r="50321" hidden="1" x14ac:dyDescent="0.25"/>
    <row r="50322" hidden="1" x14ac:dyDescent="0.25"/>
    <row r="50323" hidden="1" x14ac:dyDescent="0.25"/>
    <row r="50324" hidden="1" x14ac:dyDescent="0.25"/>
    <row r="50325" hidden="1" x14ac:dyDescent="0.25"/>
    <row r="50326" hidden="1" x14ac:dyDescent="0.25"/>
    <row r="50327" hidden="1" x14ac:dyDescent="0.25"/>
    <row r="50328" hidden="1" x14ac:dyDescent="0.25"/>
    <row r="50329" hidden="1" x14ac:dyDescent="0.25"/>
    <row r="50330" hidden="1" x14ac:dyDescent="0.25"/>
    <row r="50331" hidden="1" x14ac:dyDescent="0.25"/>
    <row r="50332" hidden="1" x14ac:dyDescent="0.25"/>
    <row r="50333" hidden="1" x14ac:dyDescent="0.25"/>
    <row r="50334" hidden="1" x14ac:dyDescent="0.25"/>
    <row r="50335" hidden="1" x14ac:dyDescent="0.25"/>
    <row r="50336" hidden="1" x14ac:dyDescent="0.25"/>
    <row r="50337" hidden="1" x14ac:dyDescent="0.25"/>
    <row r="50338" hidden="1" x14ac:dyDescent="0.25"/>
    <row r="50339" hidden="1" x14ac:dyDescent="0.25"/>
    <row r="50340" hidden="1" x14ac:dyDescent="0.25"/>
    <row r="50341" hidden="1" x14ac:dyDescent="0.25"/>
    <row r="50342" hidden="1" x14ac:dyDescent="0.25"/>
    <row r="50343" hidden="1" x14ac:dyDescent="0.25"/>
    <row r="50344" hidden="1" x14ac:dyDescent="0.25"/>
    <row r="50345" hidden="1" x14ac:dyDescent="0.25"/>
    <row r="50346" hidden="1" x14ac:dyDescent="0.25"/>
    <row r="50347" hidden="1" x14ac:dyDescent="0.25"/>
    <row r="50348" hidden="1" x14ac:dyDescent="0.25"/>
    <row r="50349" hidden="1" x14ac:dyDescent="0.25"/>
    <row r="50350" hidden="1" x14ac:dyDescent="0.25"/>
    <row r="50351" hidden="1" x14ac:dyDescent="0.25"/>
    <row r="50352" hidden="1" x14ac:dyDescent="0.25"/>
    <row r="50353" hidden="1" x14ac:dyDescent="0.25"/>
    <row r="50354" hidden="1" x14ac:dyDescent="0.25"/>
    <row r="50355" hidden="1" x14ac:dyDescent="0.25"/>
    <row r="50356" hidden="1" x14ac:dyDescent="0.25"/>
    <row r="50357" hidden="1" x14ac:dyDescent="0.25"/>
    <row r="50358" hidden="1" x14ac:dyDescent="0.25"/>
    <row r="50359" hidden="1" x14ac:dyDescent="0.25"/>
    <row r="50360" hidden="1" x14ac:dyDescent="0.25"/>
    <row r="50361" hidden="1" x14ac:dyDescent="0.25"/>
    <row r="50362" hidden="1" x14ac:dyDescent="0.25"/>
    <row r="50363" hidden="1" x14ac:dyDescent="0.25"/>
    <row r="50364" hidden="1" x14ac:dyDescent="0.25"/>
    <row r="50365" hidden="1" x14ac:dyDescent="0.25"/>
    <row r="50366" hidden="1" x14ac:dyDescent="0.25"/>
    <row r="50367" hidden="1" x14ac:dyDescent="0.25"/>
    <row r="50368" hidden="1" x14ac:dyDescent="0.25"/>
    <row r="50369" hidden="1" x14ac:dyDescent="0.25"/>
    <row r="50370" hidden="1" x14ac:dyDescent="0.25"/>
    <row r="50371" hidden="1" x14ac:dyDescent="0.25"/>
    <row r="50372" hidden="1" x14ac:dyDescent="0.25"/>
    <row r="50373" hidden="1" x14ac:dyDescent="0.25"/>
    <row r="50374" hidden="1" x14ac:dyDescent="0.25"/>
    <row r="50375" hidden="1" x14ac:dyDescent="0.25"/>
    <row r="50376" hidden="1" x14ac:dyDescent="0.25"/>
    <row r="50377" hidden="1" x14ac:dyDescent="0.25"/>
    <row r="50378" hidden="1" x14ac:dyDescent="0.25"/>
    <row r="50379" hidden="1" x14ac:dyDescent="0.25"/>
    <row r="50380" hidden="1" x14ac:dyDescent="0.25"/>
    <row r="50381" hidden="1" x14ac:dyDescent="0.25"/>
    <row r="50382" hidden="1" x14ac:dyDescent="0.25"/>
    <row r="50383" hidden="1" x14ac:dyDescent="0.25"/>
    <row r="50384" hidden="1" x14ac:dyDescent="0.25"/>
    <row r="50385" hidden="1" x14ac:dyDescent="0.25"/>
    <row r="50386" hidden="1" x14ac:dyDescent="0.25"/>
    <row r="50387" hidden="1" x14ac:dyDescent="0.25"/>
    <row r="50388" hidden="1" x14ac:dyDescent="0.25"/>
    <row r="50389" hidden="1" x14ac:dyDescent="0.25"/>
    <row r="50390" hidden="1" x14ac:dyDescent="0.25"/>
    <row r="50391" hidden="1" x14ac:dyDescent="0.25"/>
    <row r="50392" hidden="1" x14ac:dyDescent="0.25"/>
    <row r="50393" hidden="1" x14ac:dyDescent="0.25"/>
    <row r="50394" hidden="1" x14ac:dyDescent="0.25"/>
    <row r="50395" hidden="1" x14ac:dyDescent="0.25"/>
    <row r="50396" hidden="1" x14ac:dyDescent="0.25"/>
    <row r="50397" hidden="1" x14ac:dyDescent="0.25"/>
    <row r="50398" hidden="1" x14ac:dyDescent="0.25"/>
    <row r="50399" hidden="1" x14ac:dyDescent="0.25"/>
    <row r="50400" hidden="1" x14ac:dyDescent="0.25"/>
    <row r="50401" hidden="1" x14ac:dyDescent="0.25"/>
    <row r="50402" hidden="1" x14ac:dyDescent="0.25"/>
    <row r="50403" hidden="1" x14ac:dyDescent="0.25"/>
    <row r="50404" hidden="1" x14ac:dyDescent="0.25"/>
    <row r="50405" hidden="1" x14ac:dyDescent="0.25"/>
    <row r="50406" hidden="1" x14ac:dyDescent="0.25"/>
    <row r="50407" hidden="1" x14ac:dyDescent="0.25"/>
    <row r="50408" hidden="1" x14ac:dyDescent="0.25"/>
    <row r="50409" hidden="1" x14ac:dyDescent="0.25"/>
    <row r="50410" hidden="1" x14ac:dyDescent="0.25"/>
    <row r="50411" hidden="1" x14ac:dyDescent="0.25"/>
    <row r="50412" hidden="1" x14ac:dyDescent="0.25"/>
    <row r="50413" hidden="1" x14ac:dyDescent="0.25"/>
    <row r="50414" hidden="1" x14ac:dyDescent="0.25"/>
    <row r="50415" hidden="1" x14ac:dyDescent="0.25"/>
    <row r="50416" hidden="1" x14ac:dyDescent="0.25"/>
    <row r="50417" hidden="1" x14ac:dyDescent="0.25"/>
    <row r="50418" hidden="1" x14ac:dyDescent="0.25"/>
    <row r="50419" hidden="1" x14ac:dyDescent="0.25"/>
    <row r="50420" hidden="1" x14ac:dyDescent="0.25"/>
    <row r="50421" hidden="1" x14ac:dyDescent="0.25"/>
    <row r="50422" hidden="1" x14ac:dyDescent="0.25"/>
    <row r="50423" hidden="1" x14ac:dyDescent="0.25"/>
    <row r="50424" hidden="1" x14ac:dyDescent="0.25"/>
    <row r="50425" hidden="1" x14ac:dyDescent="0.25"/>
    <row r="50426" hidden="1" x14ac:dyDescent="0.25"/>
    <row r="50427" hidden="1" x14ac:dyDescent="0.25"/>
    <row r="50428" hidden="1" x14ac:dyDescent="0.25"/>
    <row r="50429" hidden="1" x14ac:dyDescent="0.25"/>
    <row r="50430" hidden="1" x14ac:dyDescent="0.25"/>
    <row r="50431" hidden="1" x14ac:dyDescent="0.25"/>
    <row r="50432" hidden="1" x14ac:dyDescent="0.25"/>
    <row r="50433" hidden="1" x14ac:dyDescent="0.25"/>
    <row r="50434" hidden="1" x14ac:dyDescent="0.25"/>
    <row r="50435" hidden="1" x14ac:dyDescent="0.25"/>
    <row r="50436" hidden="1" x14ac:dyDescent="0.25"/>
    <row r="50437" hidden="1" x14ac:dyDescent="0.25"/>
    <row r="50438" hidden="1" x14ac:dyDescent="0.25"/>
    <row r="50439" hidden="1" x14ac:dyDescent="0.25"/>
    <row r="50440" hidden="1" x14ac:dyDescent="0.25"/>
    <row r="50441" hidden="1" x14ac:dyDescent="0.25"/>
    <row r="50442" hidden="1" x14ac:dyDescent="0.25"/>
    <row r="50443" hidden="1" x14ac:dyDescent="0.25"/>
    <row r="50444" hidden="1" x14ac:dyDescent="0.25"/>
    <row r="50445" hidden="1" x14ac:dyDescent="0.25"/>
    <row r="50446" hidden="1" x14ac:dyDescent="0.25"/>
    <row r="50447" hidden="1" x14ac:dyDescent="0.25"/>
    <row r="50448" hidden="1" x14ac:dyDescent="0.25"/>
    <row r="50449" hidden="1" x14ac:dyDescent="0.25"/>
    <row r="50450" hidden="1" x14ac:dyDescent="0.25"/>
    <row r="50451" hidden="1" x14ac:dyDescent="0.25"/>
    <row r="50452" hidden="1" x14ac:dyDescent="0.25"/>
    <row r="50453" hidden="1" x14ac:dyDescent="0.25"/>
    <row r="50454" hidden="1" x14ac:dyDescent="0.25"/>
    <row r="50455" hidden="1" x14ac:dyDescent="0.25"/>
    <row r="50456" hidden="1" x14ac:dyDescent="0.25"/>
    <row r="50457" hidden="1" x14ac:dyDescent="0.25"/>
    <row r="50458" hidden="1" x14ac:dyDescent="0.25"/>
    <row r="50459" hidden="1" x14ac:dyDescent="0.25"/>
    <row r="50460" hidden="1" x14ac:dyDescent="0.25"/>
    <row r="50461" hidden="1" x14ac:dyDescent="0.25"/>
    <row r="50462" hidden="1" x14ac:dyDescent="0.25"/>
    <row r="50463" hidden="1" x14ac:dyDescent="0.25"/>
    <row r="50464" hidden="1" x14ac:dyDescent="0.25"/>
    <row r="50465" hidden="1" x14ac:dyDescent="0.25"/>
    <row r="50466" hidden="1" x14ac:dyDescent="0.25"/>
    <row r="50467" hidden="1" x14ac:dyDescent="0.25"/>
    <row r="50468" hidden="1" x14ac:dyDescent="0.25"/>
    <row r="50469" hidden="1" x14ac:dyDescent="0.25"/>
    <row r="50470" hidden="1" x14ac:dyDescent="0.25"/>
    <row r="50471" hidden="1" x14ac:dyDescent="0.25"/>
    <row r="50472" hidden="1" x14ac:dyDescent="0.25"/>
    <row r="50473" hidden="1" x14ac:dyDescent="0.25"/>
    <row r="50474" hidden="1" x14ac:dyDescent="0.25"/>
    <row r="50475" hidden="1" x14ac:dyDescent="0.25"/>
    <row r="50476" hidden="1" x14ac:dyDescent="0.25"/>
    <row r="50477" hidden="1" x14ac:dyDescent="0.25"/>
    <row r="50478" hidden="1" x14ac:dyDescent="0.25"/>
    <row r="50479" hidden="1" x14ac:dyDescent="0.25"/>
    <row r="50480" hidden="1" x14ac:dyDescent="0.25"/>
    <row r="50481" hidden="1" x14ac:dyDescent="0.25"/>
    <row r="50482" hidden="1" x14ac:dyDescent="0.25"/>
    <row r="50483" hidden="1" x14ac:dyDescent="0.25"/>
    <row r="50484" hidden="1" x14ac:dyDescent="0.25"/>
    <row r="50485" hidden="1" x14ac:dyDescent="0.25"/>
    <row r="50486" hidden="1" x14ac:dyDescent="0.25"/>
    <row r="50487" hidden="1" x14ac:dyDescent="0.25"/>
    <row r="50488" hidden="1" x14ac:dyDescent="0.25"/>
    <row r="50489" hidden="1" x14ac:dyDescent="0.25"/>
    <row r="50490" hidden="1" x14ac:dyDescent="0.25"/>
    <row r="50491" hidden="1" x14ac:dyDescent="0.25"/>
    <row r="50492" hidden="1" x14ac:dyDescent="0.25"/>
    <row r="50493" hidden="1" x14ac:dyDescent="0.25"/>
    <row r="50494" hidden="1" x14ac:dyDescent="0.25"/>
    <row r="50495" hidden="1" x14ac:dyDescent="0.25"/>
    <row r="50496" hidden="1" x14ac:dyDescent="0.25"/>
    <row r="50497" hidden="1" x14ac:dyDescent="0.25"/>
    <row r="50498" hidden="1" x14ac:dyDescent="0.25"/>
    <row r="50499" hidden="1" x14ac:dyDescent="0.25"/>
    <row r="50500" hidden="1" x14ac:dyDescent="0.25"/>
    <row r="50501" hidden="1" x14ac:dyDescent="0.25"/>
    <row r="50502" hidden="1" x14ac:dyDescent="0.25"/>
    <row r="50503" hidden="1" x14ac:dyDescent="0.25"/>
    <row r="50504" hidden="1" x14ac:dyDescent="0.25"/>
    <row r="50505" hidden="1" x14ac:dyDescent="0.25"/>
    <row r="50506" hidden="1" x14ac:dyDescent="0.25"/>
    <row r="50507" hidden="1" x14ac:dyDescent="0.25"/>
    <row r="50508" hidden="1" x14ac:dyDescent="0.25"/>
    <row r="50509" hidden="1" x14ac:dyDescent="0.25"/>
    <row r="50510" hidden="1" x14ac:dyDescent="0.25"/>
    <row r="50511" hidden="1" x14ac:dyDescent="0.25"/>
    <row r="50512" hidden="1" x14ac:dyDescent="0.25"/>
    <row r="50513" hidden="1" x14ac:dyDescent="0.25"/>
    <row r="50514" hidden="1" x14ac:dyDescent="0.25"/>
    <row r="50515" hidden="1" x14ac:dyDescent="0.25"/>
    <row r="50516" hidden="1" x14ac:dyDescent="0.25"/>
    <row r="50517" hidden="1" x14ac:dyDescent="0.25"/>
    <row r="50518" hidden="1" x14ac:dyDescent="0.25"/>
    <row r="50519" hidden="1" x14ac:dyDescent="0.25"/>
    <row r="50520" hidden="1" x14ac:dyDescent="0.25"/>
    <row r="50521" hidden="1" x14ac:dyDescent="0.25"/>
    <row r="50522" hidden="1" x14ac:dyDescent="0.25"/>
    <row r="50523" hidden="1" x14ac:dyDescent="0.25"/>
    <row r="50524" hidden="1" x14ac:dyDescent="0.25"/>
    <row r="50525" hidden="1" x14ac:dyDescent="0.25"/>
    <row r="50526" hidden="1" x14ac:dyDescent="0.25"/>
    <row r="50527" hidden="1" x14ac:dyDescent="0.25"/>
    <row r="50528" hidden="1" x14ac:dyDescent="0.25"/>
    <row r="50529" hidden="1" x14ac:dyDescent="0.25"/>
    <row r="50530" hidden="1" x14ac:dyDescent="0.25"/>
    <row r="50531" hidden="1" x14ac:dyDescent="0.25"/>
    <row r="50532" hidden="1" x14ac:dyDescent="0.25"/>
    <row r="50533" hidden="1" x14ac:dyDescent="0.25"/>
    <row r="50534" hidden="1" x14ac:dyDescent="0.25"/>
    <row r="50535" hidden="1" x14ac:dyDescent="0.25"/>
    <row r="50536" hidden="1" x14ac:dyDescent="0.25"/>
    <row r="50537" hidden="1" x14ac:dyDescent="0.25"/>
    <row r="50538" hidden="1" x14ac:dyDescent="0.25"/>
    <row r="50539" hidden="1" x14ac:dyDescent="0.25"/>
    <row r="50540" hidden="1" x14ac:dyDescent="0.25"/>
    <row r="50541" hidden="1" x14ac:dyDescent="0.25"/>
    <row r="50542" hidden="1" x14ac:dyDescent="0.25"/>
    <row r="50543" hidden="1" x14ac:dyDescent="0.25"/>
    <row r="50544" hidden="1" x14ac:dyDescent="0.25"/>
    <row r="50545" hidden="1" x14ac:dyDescent="0.25"/>
    <row r="50546" hidden="1" x14ac:dyDescent="0.25"/>
    <row r="50547" hidden="1" x14ac:dyDescent="0.25"/>
    <row r="50548" hidden="1" x14ac:dyDescent="0.25"/>
    <row r="50549" hidden="1" x14ac:dyDescent="0.25"/>
    <row r="50550" hidden="1" x14ac:dyDescent="0.25"/>
    <row r="50551" hidden="1" x14ac:dyDescent="0.25"/>
    <row r="50552" hidden="1" x14ac:dyDescent="0.25"/>
    <row r="50553" hidden="1" x14ac:dyDescent="0.25"/>
    <row r="50554" hidden="1" x14ac:dyDescent="0.25"/>
    <row r="50555" hidden="1" x14ac:dyDescent="0.25"/>
    <row r="50556" hidden="1" x14ac:dyDescent="0.25"/>
    <row r="50557" hidden="1" x14ac:dyDescent="0.25"/>
    <row r="50558" hidden="1" x14ac:dyDescent="0.25"/>
    <row r="50559" hidden="1" x14ac:dyDescent="0.25"/>
    <row r="50560" hidden="1" x14ac:dyDescent="0.25"/>
    <row r="50561" hidden="1" x14ac:dyDescent="0.25"/>
    <row r="50562" hidden="1" x14ac:dyDescent="0.25"/>
    <row r="50563" hidden="1" x14ac:dyDescent="0.25"/>
    <row r="50564" hidden="1" x14ac:dyDescent="0.25"/>
    <row r="50565" hidden="1" x14ac:dyDescent="0.25"/>
    <row r="50566" hidden="1" x14ac:dyDescent="0.25"/>
    <row r="50567" hidden="1" x14ac:dyDescent="0.25"/>
    <row r="50568" hidden="1" x14ac:dyDescent="0.25"/>
    <row r="50569" hidden="1" x14ac:dyDescent="0.25"/>
    <row r="50570" hidden="1" x14ac:dyDescent="0.25"/>
    <row r="50571" hidden="1" x14ac:dyDescent="0.25"/>
    <row r="50572" hidden="1" x14ac:dyDescent="0.25"/>
    <row r="50573" hidden="1" x14ac:dyDescent="0.25"/>
    <row r="50574" hidden="1" x14ac:dyDescent="0.25"/>
    <row r="50575" hidden="1" x14ac:dyDescent="0.25"/>
    <row r="50576" hidden="1" x14ac:dyDescent="0.25"/>
    <row r="50577" hidden="1" x14ac:dyDescent="0.25"/>
    <row r="50578" hidden="1" x14ac:dyDescent="0.25"/>
    <row r="50579" hidden="1" x14ac:dyDescent="0.25"/>
    <row r="50580" hidden="1" x14ac:dyDescent="0.25"/>
    <row r="50581" hidden="1" x14ac:dyDescent="0.25"/>
    <row r="50582" hidden="1" x14ac:dyDescent="0.25"/>
    <row r="50583" hidden="1" x14ac:dyDescent="0.25"/>
    <row r="50584" hidden="1" x14ac:dyDescent="0.25"/>
    <row r="50585" hidden="1" x14ac:dyDescent="0.25"/>
    <row r="50586" hidden="1" x14ac:dyDescent="0.25"/>
    <row r="50587" hidden="1" x14ac:dyDescent="0.25"/>
    <row r="50588" hidden="1" x14ac:dyDescent="0.25"/>
    <row r="50589" hidden="1" x14ac:dyDescent="0.25"/>
    <row r="50590" hidden="1" x14ac:dyDescent="0.25"/>
    <row r="50591" hidden="1" x14ac:dyDescent="0.25"/>
    <row r="50592" hidden="1" x14ac:dyDescent="0.25"/>
    <row r="50593" hidden="1" x14ac:dyDescent="0.25"/>
    <row r="50594" hidden="1" x14ac:dyDescent="0.25"/>
    <row r="50595" hidden="1" x14ac:dyDescent="0.25"/>
    <row r="50596" hidden="1" x14ac:dyDescent="0.25"/>
    <row r="50597" hidden="1" x14ac:dyDescent="0.25"/>
    <row r="50598" hidden="1" x14ac:dyDescent="0.25"/>
    <row r="50599" hidden="1" x14ac:dyDescent="0.25"/>
    <row r="50600" hidden="1" x14ac:dyDescent="0.25"/>
    <row r="50601" hidden="1" x14ac:dyDescent="0.25"/>
    <row r="50602" hidden="1" x14ac:dyDescent="0.25"/>
    <row r="50603" hidden="1" x14ac:dyDescent="0.25"/>
    <row r="50604" hidden="1" x14ac:dyDescent="0.25"/>
    <row r="50605" hidden="1" x14ac:dyDescent="0.25"/>
    <row r="50606" hidden="1" x14ac:dyDescent="0.25"/>
    <row r="50607" hidden="1" x14ac:dyDescent="0.25"/>
    <row r="50608" hidden="1" x14ac:dyDescent="0.25"/>
    <row r="50609" hidden="1" x14ac:dyDescent="0.25"/>
    <row r="50610" hidden="1" x14ac:dyDescent="0.25"/>
    <row r="50611" hidden="1" x14ac:dyDescent="0.25"/>
    <row r="50612" hidden="1" x14ac:dyDescent="0.25"/>
    <row r="50613" hidden="1" x14ac:dyDescent="0.25"/>
    <row r="50614" hidden="1" x14ac:dyDescent="0.25"/>
    <row r="50615" hidden="1" x14ac:dyDescent="0.25"/>
    <row r="50616" hidden="1" x14ac:dyDescent="0.25"/>
    <row r="50617" hidden="1" x14ac:dyDescent="0.25"/>
    <row r="50618" hidden="1" x14ac:dyDescent="0.25"/>
    <row r="50619" hidden="1" x14ac:dyDescent="0.25"/>
    <row r="50620" hidden="1" x14ac:dyDescent="0.25"/>
    <row r="50621" hidden="1" x14ac:dyDescent="0.25"/>
    <row r="50622" hidden="1" x14ac:dyDescent="0.25"/>
    <row r="50623" hidden="1" x14ac:dyDescent="0.25"/>
    <row r="50624" hidden="1" x14ac:dyDescent="0.25"/>
    <row r="50625" hidden="1" x14ac:dyDescent="0.25"/>
    <row r="50626" hidden="1" x14ac:dyDescent="0.25"/>
    <row r="50627" hidden="1" x14ac:dyDescent="0.25"/>
    <row r="50628" hidden="1" x14ac:dyDescent="0.25"/>
    <row r="50629" hidden="1" x14ac:dyDescent="0.25"/>
    <row r="50630" hidden="1" x14ac:dyDescent="0.25"/>
    <row r="50631" hidden="1" x14ac:dyDescent="0.25"/>
    <row r="50632" hidden="1" x14ac:dyDescent="0.25"/>
    <row r="50633" hidden="1" x14ac:dyDescent="0.25"/>
    <row r="50634" hidden="1" x14ac:dyDescent="0.25"/>
    <row r="50635" hidden="1" x14ac:dyDescent="0.25"/>
    <row r="50636" hidden="1" x14ac:dyDescent="0.25"/>
    <row r="50637" hidden="1" x14ac:dyDescent="0.25"/>
    <row r="50638" hidden="1" x14ac:dyDescent="0.25"/>
    <row r="50639" hidden="1" x14ac:dyDescent="0.25"/>
    <row r="50640" hidden="1" x14ac:dyDescent="0.25"/>
    <row r="50641" hidden="1" x14ac:dyDescent="0.25"/>
    <row r="50642" hidden="1" x14ac:dyDescent="0.25"/>
    <row r="50643" hidden="1" x14ac:dyDescent="0.25"/>
    <row r="50644" hidden="1" x14ac:dyDescent="0.25"/>
    <row r="50645" hidden="1" x14ac:dyDescent="0.25"/>
    <row r="50646" hidden="1" x14ac:dyDescent="0.25"/>
    <row r="50647" hidden="1" x14ac:dyDescent="0.25"/>
    <row r="50648" hidden="1" x14ac:dyDescent="0.25"/>
    <row r="50649" hidden="1" x14ac:dyDescent="0.25"/>
    <row r="50650" hidden="1" x14ac:dyDescent="0.25"/>
    <row r="50651" hidden="1" x14ac:dyDescent="0.25"/>
    <row r="50652" hidden="1" x14ac:dyDescent="0.25"/>
    <row r="50653" hidden="1" x14ac:dyDescent="0.25"/>
    <row r="50654" hidden="1" x14ac:dyDescent="0.25"/>
    <row r="50655" hidden="1" x14ac:dyDescent="0.25"/>
    <row r="50656" hidden="1" x14ac:dyDescent="0.25"/>
    <row r="50657" hidden="1" x14ac:dyDescent="0.25"/>
    <row r="50658" hidden="1" x14ac:dyDescent="0.25"/>
    <row r="50659" hidden="1" x14ac:dyDescent="0.25"/>
    <row r="50660" hidden="1" x14ac:dyDescent="0.25"/>
    <row r="50661" hidden="1" x14ac:dyDescent="0.25"/>
    <row r="50662" hidden="1" x14ac:dyDescent="0.25"/>
    <row r="50663" hidden="1" x14ac:dyDescent="0.25"/>
    <row r="50664" hidden="1" x14ac:dyDescent="0.25"/>
    <row r="50665" hidden="1" x14ac:dyDescent="0.25"/>
    <row r="50666" hidden="1" x14ac:dyDescent="0.25"/>
    <row r="50667" hidden="1" x14ac:dyDescent="0.25"/>
    <row r="50668" hidden="1" x14ac:dyDescent="0.25"/>
    <row r="50669" hidden="1" x14ac:dyDescent="0.25"/>
    <row r="50670" hidden="1" x14ac:dyDescent="0.25"/>
    <row r="50671" hidden="1" x14ac:dyDescent="0.25"/>
    <row r="50672" hidden="1" x14ac:dyDescent="0.25"/>
    <row r="50673" hidden="1" x14ac:dyDescent="0.25"/>
    <row r="50674" hidden="1" x14ac:dyDescent="0.25"/>
    <row r="50675" hidden="1" x14ac:dyDescent="0.25"/>
    <row r="50676" hidden="1" x14ac:dyDescent="0.25"/>
    <row r="50677" hidden="1" x14ac:dyDescent="0.25"/>
    <row r="50678" hidden="1" x14ac:dyDescent="0.25"/>
    <row r="50679" hidden="1" x14ac:dyDescent="0.25"/>
    <row r="50680" hidden="1" x14ac:dyDescent="0.25"/>
    <row r="50681" hidden="1" x14ac:dyDescent="0.25"/>
    <row r="50682" hidden="1" x14ac:dyDescent="0.25"/>
    <row r="50683" hidden="1" x14ac:dyDescent="0.25"/>
    <row r="50684" hidden="1" x14ac:dyDescent="0.25"/>
    <row r="50685" hidden="1" x14ac:dyDescent="0.25"/>
    <row r="50686" hidden="1" x14ac:dyDescent="0.25"/>
    <row r="50687" hidden="1" x14ac:dyDescent="0.25"/>
    <row r="50688" hidden="1" x14ac:dyDescent="0.25"/>
    <row r="50689" hidden="1" x14ac:dyDescent="0.25"/>
    <row r="50690" hidden="1" x14ac:dyDescent="0.25"/>
    <row r="50691" hidden="1" x14ac:dyDescent="0.25"/>
    <row r="50692" hidden="1" x14ac:dyDescent="0.25"/>
    <row r="50693" hidden="1" x14ac:dyDescent="0.25"/>
    <row r="50694" hidden="1" x14ac:dyDescent="0.25"/>
    <row r="50695" hidden="1" x14ac:dyDescent="0.25"/>
    <row r="50696" hidden="1" x14ac:dyDescent="0.25"/>
    <row r="50697" hidden="1" x14ac:dyDescent="0.25"/>
    <row r="50698" hidden="1" x14ac:dyDescent="0.25"/>
    <row r="50699" hidden="1" x14ac:dyDescent="0.25"/>
    <row r="50700" hidden="1" x14ac:dyDescent="0.25"/>
    <row r="50701" hidden="1" x14ac:dyDescent="0.25"/>
    <row r="50702" hidden="1" x14ac:dyDescent="0.25"/>
    <row r="50703" hidden="1" x14ac:dyDescent="0.25"/>
    <row r="50704" hidden="1" x14ac:dyDescent="0.25"/>
    <row r="50705" hidden="1" x14ac:dyDescent="0.25"/>
    <row r="50706" hidden="1" x14ac:dyDescent="0.25"/>
    <row r="50707" hidden="1" x14ac:dyDescent="0.25"/>
    <row r="50708" hidden="1" x14ac:dyDescent="0.25"/>
    <row r="50709" hidden="1" x14ac:dyDescent="0.25"/>
    <row r="50710" hidden="1" x14ac:dyDescent="0.25"/>
    <row r="50711" hidden="1" x14ac:dyDescent="0.25"/>
    <row r="50712" hidden="1" x14ac:dyDescent="0.25"/>
    <row r="50713" hidden="1" x14ac:dyDescent="0.25"/>
    <row r="50714" hidden="1" x14ac:dyDescent="0.25"/>
    <row r="50715" hidden="1" x14ac:dyDescent="0.25"/>
    <row r="50716" hidden="1" x14ac:dyDescent="0.25"/>
    <row r="50717" hidden="1" x14ac:dyDescent="0.25"/>
    <row r="50718" hidden="1" x14ac:dyDescent="0.25"/>
    <row r="50719" hidden="1" x14ac:dyDescent="0.25"/>
    <row r="50720" hidden="1" x14ac:dyDescent="0.25"/>
    <row r="50721" hidden="1" x14ac:dyDescent="0.25"/>
    <row r="50722" hidden="1" x14ac:dyDescent="0.25"/>
    <row r="50723" hidden="1" x14ac:dyDescent="0.25"/>
    <row r="50724" hidden="1" x14ac:dyDescent="0.25"/>
    <row r="50725" hidden="1" x14ac:dyDescent="0.25"/>
    <row r="50726" hidden="1" x14ac:dyDescent="0.25"/>
    <row r="50727" hidden="1" x14ac:dyDescent="0.25"/>
    <row r="50728" hidden="1" x14ac:dyDescent="0.25"/>
    <row r="50729" hidden="1" x14ac:dyDescent="0.25"/>
    <row r="50730" hidden="1" x14ac:dyDescent="0.25"/>
    <row r="50731" hidden="1" x14ac:dyDescent="0.25"/>
    <row r="50732" hidden="1" x14ac:dyDescent="0.25"/>
    <row r="50733" hidden="1" x14ac:dyDescent="0.25"/>
    <row r="50734" hidden="1" x14ac:dyDescent="0.25"/>
    <row r="50735" hidden="1" x14ac:dyDescent="0.25"/>
    <row r="50736" hidden="1" x14ac:dyDescent="0.25"/>
    <row r="50737" hidden="1" x14ac:dyDescent="0.25"/>
    <row r="50738" hidden="1" x14ac:dyDescent="0.25"/>
    <row r="50739" hidden="1" x14ac:dyDescent="0.25"/>
    <row r="50740" hidden="1" x14ac:dyDescent="0.25"/>
    <row r="50741" hidden="1" x14ac:dyDescent="0.25"/>
    <row r="50742" hidden="1" x14ac:dyDescent="0.25"/>
    <row r="50743" hidden="1" x14ac:dyDescent="0.25"/>
    <row r="50744" hidden="1" x14ac:dyDescent="0.25"/>
    <row r="50745" hidden="1" x14ac:dyDescent="0.25"/>
    <row r="50746" hidden="1" x14ac:dyDescent="0.25"/>
    <row r="50747" hidden="1" x14ac:dyDescent="0.25"/>
    <row r="50748" hidden="1" x14ac:dyDescent="0.25"/>
    <row r="50749" hidden="1" x14ac:dyDescent="0.25"/>
    <row r="50750" hidden="1" x14ac:dyDescent="0.25"/>
    <row r="50751" hidden="1" x14ac:dyDescent="0.25"/>
    <row r="50752" hidden="1" x14ac:dyDescent="0.25"/>
    <row r="50753" hidden="1" x14ac:dyDescent="0.25"/>
    <row r="50754" hidden="1" x14ac:dyDescent="0.25"/>
    <row r="50755" hidden="1" x14ac:dyDescent="0.25"/>
    <row r="50756" hidden="1" x14ac:dyDescent="0.25"/>
    <row r="50757" hidden="1" x14ac:dyDescent="0.25"/>
    <row r="50758" hidden="1" x14ac:dyDescent="0.25"/>
    <row r="50759" hidden="1" x14ac:dyDescent="0.25"/>
    <row r="50760" hidden="1" x14ac:dyDescent="0.25"/>
    <row r="50761" hidden="1" x14ac:dyDescent="0.25"/>
    <row r="50762" hidden="1" x14ac:dyDescent="0.25"/>
    <row r="50763" hidden="1" x14ac:dyDescent="0.25"/>
    <row r="50764" hidden="1" x14ac:dyDescent="0.25"/>
    <row r="50765" hidden="1" x14ac:dyDescent="0.25"/>
    <row r="50766" hidden="1" x14ac:dyDescent="0.25"/>
    <row r="50767" hidden="1" x14ac:dyDescent="0.25"/>
    <row r="50768" hidden="1" x14ac:dyDescent="0.25"/>
    <row r="50769" hidden="1" x14ac:dyDescent="0.25"/>
    <row r="50770" hidden="1" x14ac:dyDescent="0.25"/>
    <row r="50771" hidden="1" x14ac:dyDescent="0.25"/>
    <row r="50772" hidden="1" x14ac:dyDescent="0.25"/>
    <row r="50773" hidden="1" x14ac:dyDescent="0.25"/>
    <row r="50774" hidden="1" x14ac:dyDescent="0.25"/>
    <row r="50775" hidden="1" x14ac:dyDescent="0.25"/>
    <row r="50776" hidden="1" x14ac:dyDescent="0.25"/>
    <row r="50777" hidden="1" x14ac:dyDescent="0.25"/>
    <row r="50778" hidden="1" x14ac:dyDescent="0.25"/>
    <row r="50779" hidden="1" x14ac:dyDescent="0.25"/>
    <row r="50780" hidden="1" x14ac:dyDescent="0.25"/>
    <row r="50781" hidden="1" x14ac:dyDescent="0.25"/>
    <row r="50782" hidden="1" x14ac:dyDescent="0.25"/>
    <row r="50783" hidden="1" x14ac:dyDescent="0.25"/>
    <row r="50784" hidden="1" x14ac:dyDescent="0.25"/>
    <row r="50785" hidden="1" x14ac:dyDescent="0.25"/>
    <row r="50786" hidden="1" x14ac:dyDescent="0.25"/>
    <row r="50787" hidden="1" x14ac:dyDescent="0.25"/>
    <row r="50788" hidden="1" x14ac:dyDescent="0.25"/>
    <row r="50789" hidden="1" x14ac:dyDescent="0.25"/>
    <row r="50790" hidden="1" x14ac:dyDescent="0.25"/>
    <row r="50791" hidden="1" x14ac:dyDescent="0.25"/>
    <row r="50792" hidden="1" x14ac:dyDescent="0.25"/>
    <row r="50793" hidden="1" x14ac:dyDescent="0.25"/>
    <row r="50794" hidden="1" x14ac:dyDescent="0.25"/>
    <row r="50795" hidden="1" x14ac:dyDescent="0.25"/>
    <row r="50796" hidden="1" x14ac:dyDescent="0.25"/>
    <row r="50797" hidden="1" x14ac:dyDescent="0.25"/>
    <row r="50798" hidden="1" x14ac:dyDescent="0.25"/>
    <row r="50799" hidden="1" x14ac:dyDescent="0.25"/>
    <row r="50800" hidden="1" x14ac:dyDescent="0.25"/>
    <row r="50801" hidden="1" x14ac:dyDescent="0.25"/>
    <row r="50802" hidden="1" x14ac:dyDescent="0.25"/>
    <row r="50803" hidden="1" x14ac:dyDescent="0.25"/>
    <row r="50804" hidden="1" x14ac:dyDescent="0.25"/>
    <row r="50805" hidden="1" x14ac:dyDescent="0.25"/>
    <row r="50806" hidden="1" x14ac:dyDescent="0.25"/>
    <row r="50807" hidden="1" x14ac:dyDescent="0.25"/>
    <row r="50808" hidden="1" x14ac:dyDescent="0.25"/>
    <row r="50809" hidden="1" x14ac:dyDescent="0.25"/>
    <row r="50810" hidden="1" x14ac:dyDescent="0.25"/>
    <row r="50811" hidden="1" x14ac:dyDescent="0.25"/>
    <row r="50812" hidden="1" x14ac:dyDescent="0.25"/>
    <row r="50813" hidden="1" x14ac:dyDescent="0.25"/>
    <row r="50814" hidden="1" x14ac:dyDescent="0.25"/>
    <row r="50815" hidden="1" x14ac:dyDescent="0.25"/>
    <row r="50816" hidden="1" x14ac:dyDescent="0.25"/>
    <row r="50817" hidden="1" x14ac:dyDescent="0.25"/>
    <row r="50818" hidden="1" x14ac:dyDescent="0.25"/>
    <row r="50819" hidden="1" x14ac:dyDescent="0.25"/>
    <row r="50820" hidden="1" x14ac:dyDescent="0.25"/>
    <row r="50821" hidden="1" x14ac:dyDescent="0.25"/>
    <row r="50822" hidden="1" x14ac:dyDescent="0.25"/>
    <row r="50823" hidden="1" x14ac:dyDescent="0.25"/>
    <row r="50824" hidden="1" x14ac:dyDescent="0.25"/>
    <row r="50825" hidden="1" x14ac:dyDescent="0.25"/>
    <row r="50826" hidden="1" x14ac:dyDescent="0.25"/>
    <row r="50827" hidden="1" x14ac:dyDescent="0.25"/>
    <row r="50828" hidden="1" x14ac:dyDescent="0.25"/>
    <row r="50829" hidden="1" x14ac:dyDescent="0.25"/>
    <row r="50830" hidden="1" x14ac:dyDescent="0.25"/>
    <row r="50831" hidden="1" x14ac:dyDescent="0.25"/>
    <row r="50832" hidden="1" x14ac:dyDescent="0.25"/>
    <row r="50833" hidden="1" x14ac:dyDescent="0.25"/>
    <row r="50834" hidden="1" x14ac:dyDescent="0.25"/>
    <row r="50835" hidden="1" x14ac:dyDescent="0.25"/>
    <row r="50836" hidden="1" x14ac:dyDescent="0.25"/>
    <row r="50837" hidden="1" x14ac:dyDescent="0.25"/>
    <row r="50838" hidden="1" x14ac:dyDescent="0.25"/>
    <row r="50839" hidden="1" x14ac:dyDescent="0.25"/>
    <row r="50840" hidden="1" x14ac:dyDescent="0.25"/>
    <row r="50841" hidden="1" x14ac:dyDescent="0.25"/>
    <row r="50842" hidden="1" x14ac:dyDescent="0.25"/>
    <row r="50843" hidden="1" x14ac:dyDescent="0.25"/>
    <row r="50844" hidden="1" x14ac:dyDescent="0.25"/>
    <row r="50845" hidden="1" x14ac:dyDescent="0.25"/>
    <row r="50846" hidden="1" x14ac:dyDescent="0.25"/>
    <row r="50847" hidden="1" x14ac:dyDescent="0.25"/>
    <row r="50848" hidden="1" x14ac:dyDescent="0.25"/>
    <row r="50849" hidden="1" x14ac:dyDescent="0.25"/>
    <row r="50850" hidden="1" x14ac:dyDescent="0.25"/>
    <row r="50851" hidden="1" x14ac:dyDescent="0.25"/>
    <row r="50852" hidden="1" x14ac:dyDescent="0.25"/>
    <row r="50853" hidden="1" x14ac:dyDescent="0.25"/>
    <row r="50854" hidden="1" x14ac:dyDescent="0.25"/>
    <row r="50855" hidden="1" x14ac:dyDescent="0.25"/>
    <row r="50856" hidden="1" x14ac:dyDescent="0.25"/>
    <row r="50857" hidden="1" x14ac:dyDescent="0.25"/>
    <row r="50858" hidden="1" x14ac:dyDescent="0.25"/>
    <row r="50859" hidden="1" x14ac:dyDescent="0.25"/>
    <row r="50860" hidden="1" x14ac:dyDescent="0.25"/>
    <row r="50861" hidden="1" x14ac:dyDescent="0.25"/>
    <row r="50862" hidden="1" x14ac:dyDescent="0.25"/>
    <row r="50863" hidden="1" x14ac:dyDescent="0.25"/>
    <row r="50864" hidden="1" x14ac:dyDescent="0.25"/>
    <row r="50865" hidden="1" x14ac:dyDescent="0.25"/>
    <row r="50866" hidden="1" x14ac:dyDescent="0.25"/>
    <row r="50867" hidden="1" x14ac:dyDescent="0.25"/>
    <row r="50868" hidden="1" x14ac:dyDescent="0.25"/>
    <row r="50869" hidden="1" x14ac:dyDescent="0.25"/>
    <row r="50870" hidden="1" x14ac:dyDescent="0.25"/>
    <row r="50871" hidden="1" x14ac:dyDescent="0.25"/>
    <row r="50872" hidden="1" x14ac:dyDescent="0.25"/>
    <row r="50873" hidden="1" x14ac:dyDescent="0.25"/>
    <row r="50874" hidden="1" x14ac:dyDescent="0.25"/>
    <row r="50875" hidden="1" x14ac:dyDescent="0.25"/>
    <row r="50876" hidden="1" x14ac:dyDescent="0.25"/>
    <row r="50877" hidden="1" x14ac:dyDescent="0.25"/>
    <row r="50878" hidden="1" x14ac:dyDescent="0.25"/>
    <row r="50879" hidden="1" x14ac:dyDescent="0.25"/>
    <row r="50880" hidden="1" x14ac:dyDescent="0.25"/>
    <row r="50881" hidden="1" x14ac:dyDescent="0.25"/>
    <row r="50882" hidden="1" x14ac:dyDescent="0.25"/>
    <row r="50883" hidden="1" x14ac:dyDescent="0.25"/>
    <row r="50884" hidden="1" x14ac:dyDescent="0.25"/>
    <row r="50885" hidden="1" x14ac:dyDescent="0.25"/>
    <row r="50886" hidden="1" x14ac:dyDescent="0.25"/>
    <row r="50887" hidden="1" x14ac:dyDescent="0.25"/>
    <row r="50888" hidden="1" x14ac:dyDescent="0.25"/>
    <row r="50889" hidden="1" x14ac:dyDescent="0.25"/>
    <row r="50890" hidden="1" x14ac:dyDescent="0.25"/>
    <row r="50891" hidden="1" x14ac:dyDescent="0.25"/>
    <row r="50892" hidden="1" x14ac:dyDescent="0.25"/>
    <row r="50893" hidden="1" x14ac:dyDescent="0.25"/>
    <row r="50894" hidden="1" x14ac:dyDescent="0.25"/>
    <row r="50895" hidden="1" x14ac:dyDescent="0.25"/>
    <row r="50896" hidden="1" x14ac:dyDescent="0.25"/>
    <row r="50897" hidden="1" x14ac:dyDescent="0.25"/>
    <row r="50898" hidden="1" x14ac:dyDescent="0.25"/>
    <row r="50899" hidden="1" x14ac:dyDescent="0.25"/>
    <row r="50900" hidden="1" x14ac:dyDescent="0.25"/>
    <row r="50901" hidden="1" x14ac:dyDescent="0.25"/>
    <row r="50902" hidden="1" x14ac:dyDescent="0.25"/>
    <row r="50903" hidden="1" x14ac:dyDescent="0.25"/>
    <row r="50904" hidden="1" x14ac:dyDescent="0.25"/>
    <row r="50905" hidden="1" x14ac:dyDescent="0.25"/>
    <row r="50906" hidden="1" x14ac:dyDescent="0.25"/>
    <row r="50907" hidden="1" x14ac:dyDescent="0.25"/>
    <row r="50908" hidden="1" x14ac:dyDescent="0.25"/>
    <row r="50909" hidden="1" x14ac:dyDescent="0.25"/>
    <row r="50910" hidden="1" x14ac:dyDescent="0.25"/>
    <row r="50911" hidden="1" x14ac:dyDescent="0.25"/>
    <row r="50912" hidden="1" x14ac:dyDescent="0.25"/>
    <row r="50913" hidden="1" x14ac:dyDescent="0.25"/>
    <row r="50914" hidden="1" x14ac:dyDescent="0.25"/>
    <row r="50915" hidden="1" x14ac:dyDescent="0.25"/>
    <row r="50916" hidden="1" x14ac:dyDescent="0.25"/>
    <row r="50917" hidden="1" x14ac:dyDescent="0.25"/>
    <row r="50918" hidden="1" x14ac:dyDescent="0.25"/>
    <row r="50919" hidden="1" x14ac:dyDescent="0.25"/>
    <row r="50920" hidden="1" x14ac:dyDescent="0.25"/>
    <row r="50921" hidden="1" x14ac:dyDescent="0.25"/>
    <row r="50922" hidden="1" x14ac:dyDescent="0.25"/>
    <row r="50923" hidden="1" x14ac:dyDescent="0.25"/>
    <row r="50924" hidden="1" x14ac:dyDescent="0.25"/>
    <row r="50925" hidden="1" x14ac:dyDescent="0.25"/>
    <row r="50926" hidden="1" x14ac:dyDescent="0.25"/>
    <row r="50927" hidden="1" x14ac:dyDescent="0.25"/>
    <row r="50928" hidden="1" x14ac:dyDescent="0.25"/>
    <row r="50929" hidden="1" x14ac:dyDescent="0.25"/>
    <row r="50930" hidden="1" x14ac:dyDescent="0.25"/>
    <row r="50931" hidden="1" x14ac:dyDescent="0.25"/>
    <row r="50932" hidden="1" x14ac:dyDescent="0.25"/>
    <row r="50933" hidden="1" x14ac:dyDescent="0.25"/>
    <row r="50934" hidden="1" x14ac:dyDescent="0.25"/>
    <row r="50935" hidden="1" x14ac:dyDescent="0.25"/>
    <row r="50936" hidden="1" x14ac:dyDescent="0.25"/>
    <row r="50937" hidden="1" x14ac:dyDescent="0.25"/>
    <row r="50938" hidden="1" x14ac:dyDescent="0.25"/>
    <row r="50939" hidden="1" x14ac:dyDescent="0.25"/>
    <row r="50940" hidden="1" x14ac:dyDescent="0.25"/>
    <row r="50941" hidden="1" x14ac:dyDescent="0.25"/>
    <row r="50942" hidden="1" x14ac:dyDescent="0.25"/>
    <row r="50943" hidden="1" x14ac:dyDescent="0.25"/>
    <row r="50944" hidden="1" x14ac:dyDescent="0.25"/>
    <row r="50945" hidden="1" x14ac:dyDescent="0.25"/>
    <row r="50946" hidden="1" x14ac:dyDescent="0.25"/>
    <row r="50947" hidden="1" x14ac:dyDescent="0.25"/>
    <row r="50948" hidden="1" x14ac:dyDescent="0.25"/>
    <row r="50949" hidden="1" x14ac:dyDescent="0.25"/>
    <row r="50950" hidden="1" x14ac:dyDescent="0.25"/>
    <row r="50951" hidden="1" x14ac:dyDescent="0.25"/>
    <row r="50952" hidden="1" x14ac:dyDescent="0.25"/>
    <row r="50953" hidden="1" x14ac:dyDescent="0.25"/>
    <row r="50954" hidden="1" x14ac:dyDescent="0.25"/>
    <row r="50955" hidden="1" x14ac:dyDescent="0.25"/>
    <row r="50956" hidden="1" x14ac:dyDescent="0.25"/>
    <row r="50957" hidden="1" x14ac:dyDescent="0.25"/>
    <row r="50958" hidden="1" x14ac:dyDescent="0.25"/>
    <row r="50959" hidden="1" x14ac:dyDescent="0.25"/>
    <row r="50960" hidden="1" x14ac:dyDescent="0.25"/>
    <row r="50961" hidden="1" x14ac:dyDescent="0.25"/>
    <row r="50962" hidden="1" x14ac:dyDescent="0.25"/>
    <row r="50963" hidden="1" x14ac:dyDescent="0.25"/>
    <row r="50964" hidden="1" x14ac:dyDescent="0.25"/>
    <row r="50965" hidden="1" x14ac:dyDescent="0.25"/>
    <row r="50966" hidden="1" x14ac:dyDescent="0.25"/>
    <row r="50967" hidden="1" x14ac:dyDescent="0.25"/>
    <row r="50968" hidden="1" x14ac:dyDescent="0.25"/>
    <row r="50969" hidden="1" x14ac:dyDescent="0.25"/>
    <row r="50970" hidden="1" x14ac:dyDescent="0.25"/>
    <row r="50971" hidden="1" x14ac:dyDescent="0.25"/>
    <row r="50972" hidden="1" x14ac:dyDescent="0.25"/>
    <row r="50973" hidden="1" x14ac:dyDescent="0.25"/>
    <row r="50974" hidden="1" x14ac:dyDescent="0.25"/>
    <row r="50975" hidden="1" x14ac:dyDescent="0.25"/>
    <row r="50976" hidden="1" x14ac:dyDescent="0.25"/>
    <row r="50977" hidden="1" x14ac:dyDescent="0.25"/>
    <row r="50978" hidden="1" x14ac:dyDescent="0.25"/>
    <row r="50979" hidden="1" x14ac:dyDescent="0.25"/>
    <row r="50980" hidden="1" x14ac:dyDescent="0.25"/>
    <row r="50981" hidden="1" x14ac:dyDescent="0.25"/>
    <row r="50982" hidden="1" x14ac:dyDescent="0.25"/>
    <row r="50983" hidden="1" x14ac:dyDescent="0.25"/>
    <row r="50984" hidden="1" x14ac:dyDescent="0.25"/>
    <row r="50985" hidden="1" x14ac:dyDescent="0.25"/>
    <row r="50986" hidden="1" x14ac:dyDescent="0.25"/>
    <row r="50987" hidden="1" x14ac:dyDescent="0.25"/>
    <row r="50988" hidden="1" x14ac:dyDescent="0.25"/>
    <row r="50989" hidden="1" x14ac:dyDescent="0.25"/>
    <row r="50990" hidden="1" x14ac:dyDescent="0.25"/>
    <row r="50991" hidden="1" x14ac:dyDescent="0.25"/>
    <row r="50992" hidden="1" x14ac:dyDescent="0.25"/>
    <row r="50993" hidden="1" x14ac:dyDescent="0.25"/>
    <row r="50994" hidden="1" x14ac:dyDescent="0.25"/>
    <row r="50995" hidden="1" x14ac:dyDescent="0.25"/>
    <row r="50996" hidden="1" x14ac:dyDescent="0.25"/>
    <row r="50997" hidden="1" x14ac:dyDescent="0.25"/>
    <row r="50998" hidden="1" x14ac:dyDescent="0.25"/>
    <row r="50999" hidden="1" x14ac:dyDescent="0.25"/>
    <row r="51000" hidden="1" x14ac:dyDescent="0.25"/>
    <row r="51001" hidden="1" x14ac:dyDescent="0.25"/>
    <row r="51002" hidden="1" x14ac:dyDescent="0.25"/>
    <row r="51003" hidden="1" x14ac:dyDescent="0.25"/>
    <row r="51004" hidden="1" x14ac:dyDescent="0.25"/>
    <row r="51005" hidden="1" x14ac:dyDescent="0.25"/>
    <row r="51006" hidden="1" x14ac:dyDescent="0.25"/>
    <row r="51007" hidden="1" x14ac:dyDescent="0.25"/>
    <row r="51008" hidden="1" x14ac:dyDescent="0.25"/>
    <row r="51009" hidden="1" x14ac:dyDescent="0.25"/>
    <row r="51010" hidden="1" x14ac:dyDescent="0.25"/>
    <row r="51011" hidden="1" x14ac:dyDescent="0.25"/>
    <row r="51012" hidden="1" x14ac:dyDescent="0.25"/>
    <row r="51013" hidden="1" x14ac:dyDescent="0.25"/>
    <row r="51014" hidden="1" x14ac:dyDescent="0.25"/>
    <row r="51015" hidden="1" x14ac:dyDescent="0.25"/>
    <row r="51016" hidden="1" x14ac:dyDescent="0.25"/>
    <row r="51017" hidden="1" x14ac:dyDescent="0.25"/>
    <row r="51018" hidden="1" x14ac:dyDescent="0.25"/>
    <row r="51019" hidden="1" x14ac:dyDescent="0.25"/>
    <row r="51020" hidden="1" x14ac:dyDescent="0.25"/>
    <row r="51021" hidden="1" x14ac:dyDescent="0.25"/>
    <row r="51022" hidden="1" x14ac:dyDescent="0.25"/>
    <row r="51023" hidden="1" x14ac:dyDescent="0.25"/>
    <row r="51024" hidden="1" x14ac:dyDescent="0.25"/>
    <row r="51025" hidden="1" x14ac:dyDescent="0.25"/>
    <row r="51026" hidden="1" x14ac:dyDescent="0.25"/>
    <row r="51027" hidden="1" x14ac:dyDescent="0.25"/>
    <row r="51028" hidden="1" x14ac:dyDescent="0.25"/>
    <row r="51029" hidden="1" x14ac:dyDescent="0.25"/>
    <row r="51030" hidden="1" x14ac:dyDescent="0.25"/>
    <row r="51031" hidden="1" x14ac:dyDescent="0.25"/>
    <row r="51032" hidden="1" x14ac:dyDescent="0.25"/>
    <row r="51033" hidden="1" x14ac:dyDescent="0.25"/>
    <row r="51034" hidden="1" x14ac:dyDescent="0.25"/>
    <row r="51035" hidden="1" x14ac:dyDescent="0.25"/>
    <row r="51036" hidden="1" x14ac:dyDescent="0.25"/>
    <row r="51037" hidden="1" x14ac:dyDescent="0.25"/>
    <row r="51038" hidden="1" x14ac:dyDescent="0.25"/>
    <row r="51039" hidden="1" x14ac:dyDescent="0.25"/>
    <row r="51040" hidden="1" x14ac:dyDescent="0.25"/>
    <row r="51041" hidden="1" x14ac:dyDescent="0.25"/>
    <row r="51042" hidden="1" x14ac:dyDescent="0.25"/>
    <row r="51043" hidden="1" x14ac:dyDescent="0.25"/>
    <row r="51044" hidden="1" x14ac:dyDescent="0.25"/>
    <row r="51045" hidden="1" x14ac:dyDescent="0.25"/>
    <row r="51046" hidden="1" x14ac:dyDescent="0.25"/>
    <row r="51047" hidden="1" x14ac:dyDescent="0.25"/>
    <row r="51048" hidden="1" x14ac:dyDescent="0.25"/>
    <row r="51049" hidden="1" x14ac:dyDescent="0.25"/>
    <row r="51050" hidden="1" x14ac:dyDescent="0.25"/>
    <row r="51051" hidden="1" x14ac:dyDescent="0.25"/>
    <row r="51052" hidden="1" x14ac:dyDescent="0.25"/>
    <row r="51053" hidden="1" x14ac:dyDescent="0.25"/>
    <row r="51054" hidden="1" x14ac:dyDescent="0.25"/>
    <row r="51055" hidden="1" x14ac:dyDescent="0.25"/>
    <row r="51056" hidden="1" x14ac:dyDescent="0.25"/>
    <row r="51057" hidden="1" x14ac:dyDescent="0.25"/>
    <row r="51058" hidden="1" x14ac:dyDescent="0.25"/>
    <row r="51059" hidden="1" x14ac:dyDescent="0.25"/>
    <row r="51060" hidden="1" x14ac:dyDescent="0.25"/>
    <row r="51061" hidden="1" x14ac:dyDescent="0.25"/>
    <row r="51062" hidden="1" x14ac:dyDescent="0.25"/>
    <row r="51063" hidden="1" x14ac:dyDescent="0.25"/>
    <row r="51064" hidden="1" x14ac:dyDescent="0.25"/>
    <row r="51065" hidden="1" x14ac:dyDescent="0.25"/>
    <row r="51066" hidden="1" x14ac:dyDescent="0.25"/>
    <row r="51067" hidden="1" x14ac:dyDescent="0.25"/>
    <row r="51068" hidden="1" x14ac:dyDescent="0.25"/>
    <row r="51069" hidden="1" x14ac:dyDescent="0.25"/>
    <row r="51070" hidden="1" x14ac:dyDescent="0.25"/>
    <row r="51071" hidden="1" x14ac:dyDescent="0.25"/>
    <row r="51072" hidden="1" x14ac:dyDescent="0.25"/>
    <row r="51073" hidden="1" x14ac:dyDescent="0.25"/>
    <row r="51074" hidden="1" x14ac:dyDescent="0.25"/>
    <row r="51075" hidden="1" x14ac:dyDescent="0.25"/>
    <row r="51076" hidden="1" x14ac:dyDescent="0.25"/>
    <row r="51077" hidden="1" x14ac:dyDescent="0.25"/>
    <row r="51078" hidden="1" x14ac:dyDescent="0.25"/>
    <row r="51079" hidden="1" x14ac:dyDescent="0.25"/>
    <row r="51080" hidden="1" x14ac:dyDescent="0.25"/>
    <row r="51081" hidden="1" x14ac:dyDescent="0.25"/>
    <row r="51082" hidden="1" x14ac:dyDescent="0.25"/>
    <row r="51083" hidden="1" x14ac:dyDescent="0.25"/>
    <row r="51084" hidden="1" x14ac:dyDescent="0.25"/>
    <row r="51085" hidden="1" x14ac:dyDescent="0.25"/>
    <row r="51086" hidden="1" x14ac:dyDescent="0.25"/>
    <row r="51087" hidden="1" x14ac:dyDescent="0.25"/>
    <row r="51088" hidden="1" x14ac:dyDescent="0.25"/>
    <row r="51089" hidden="1" x14ac:dyDescent="0.25"/>
    <row r="51090" hidden="1" x14ac:dyDescent="0.25"/>
    <row r="51091" hidden="1" x14ac:dyDescent="0.25"/>
    <row r="51092" hidden="1" x14ac:dyDescent="0.25"/>
    <row r="51093" hidden="1" x14ac:dyDescent="0.25"/>
    <row r="51094" hidden="1" x14ac:dyDescent="0.25"/>
    <row r="51095" hidden="1" x14ac:dyDescent="0.25"/>
    <row r="51096" hidden="1" x14ac:dyDescent="0.25"/>
    <row r="51097" hidden="1" x14ac:dyDescent="0.25"/>
    <row r="51098" hidden="1" x14ac:dyDescent="0.25"/>
    <row r="51099" hidden="1" x14ac:dyDescent="0.25"/>
    <row r="51100" hidden="1" x14ac:dyDescent="0.25"/>
    <row r="51101" hidden="1" x14ac:dyDescent="0.25"/>
    <row r="51102" hidden="1" x14ac:dyDescent="0.25"/>
    <row r="51103" hidden="1" x14ac:dyDescent="0.25"/>
    <row r="51104" hidden="1" x14ac:dyDescent="0.25"/>
    <row r="51105" hidden="1" x14ac:dyDescent="0.25"/>
    <row r="51106" hidden="1" x14ac:dyDescent="0.25"/>
    <row r="51107" hidden="1" x14ac:dyDescent="0.25"/>
    <row r="51108" hidden="1" x14ac:dyDescent="0.25"/>
    <row r="51109" hidden="1" x14ac:dyDescent="0.25"/>
    <row r="51110" hidden="1" x14ac:dyDescent="0.25"/>
    <row r="51111" hidden="1" x14ac:dyDescent="0.25"/>
    <row r="51112" hidden="1" x14ac:dyDescent="0.25"/>
    <row r="51113" hidden="1" x14ac:dyDescent="0.25"/>
    <row r="51114" hidden="1" x14ac:dyDescent="0.25"/>
    <row r="51115" hidden="1" x14ac:dyDescent="0.25"/>
    <row r="51116" hidden="1" x14ac:dyDescent="0.25"/>
    <row r="51117" hidden="1" x14ac:dyDescent="0.25"/>
    <row r="51118" hidden="1" x14ac:dyDescent="0.25"/>
    <row r="51119" hidden="1" x14ac:dyDescent="0.25"/>
    <row r="51120" hidden="1" x14ac:dyDescent="0.25"/>
    <row r="51121" hidden="1" x14ac:dyDescent="0.25"/>
    <row r="51122" hidden="1" x14ac:dyDescent="0.25"/>
    <row r="51123" hidden="1" x14ac:dyDescent="0.25"/>
    <row r="51124" hidden="1" x14ac:dyDescent="0.25"/>
    <row r="51125" hidden="1" x14ac:dyDescent="0.25"/>
    <row r="51126" hidden="1" x14ac:dyDescent="0.25"/>
    <row r="51127" hidden="1" x14ac:dyDescent="0.25"/>
    <row r="51128" hidden="1" x14ac:dyDescent="0.25"/>
    <row r="51129" hidden="1" x14ac:dyDescent="0.25"/>
    <row r="51130" hidden="1" x14ac:dyDescent="0.25"/>
    <row r="51131" hidden="1" x14ac:dyDescent="0.25"/>
    <row r="51132" hidden="1" x14ac:dyDescent="0.25"/>
    <row r="51133" hidden="1" x14ac:dyDescent="0.25"/>
    <row r="51134" hidden="1" x14ac:dyDescent="0.25"/>
    <row r="51135" hidden="1" x14ac:dyDescent="0.25"/>
    <row r="51136" hidden="1" x14ac:dyDescent="0.25"/>
    <row r="51137" hidden="1" x14ac:dyDescent="0.25"/>
    <row r="51138" hidden="1" x14ac:dyDescent="0.25"/>
    <row r="51139" hidden="1" x14ac:dyDescent="0.25"/>
    <row r="51140" hidden="1" x14ac:dyDescent="0.25"/>
    <row r="51141" hidden="1" x14ac:dyDescent="0.25"/>
    <row r="51142" hidden="1" x14ac:dyDescent="0.25"/>
    <row r="51143" hidden="1" x14ac:dyDescent="0.25"/>
    <row r="51144" hidden="1" x14ac:dyDescent="0.25"/>
    <row r="51145" hidden="1" x14ac:dyDescent="0.25"/>
    <row r="51146" hidden="1" x14ac:dyDescent="0.25"/>
    <row r="51147" hidden="1" x14ac:dyDescent="0.25"/>
    <row r="51148" hidden="1" x14ac:dyDescent="0.25"/>
    <row r="51149" hidden="1" x14ac:dyDescent="0.25"/>
    <row r="51150" hidden="1" x14ac:dyDescent="0.25"/>
    <row r="51151" hidden="1" x14ac:dyDescent="0.25"/>
    <row r="51152" hidden="1" x14ac:dyDescent="0.25"/>
    <row r="51153" hidden="1" x14ac:dyDescent="0.25"/>
    <row r="51154" hidden="1" x14ac:dyDescent="0.25"/>
    <row r="51155" hidden="1" x14ac:dyDescent="0.25"/>
    <row r="51156" hidden="1" x14ac:dyDescent="0.25"/>
    <row r="51157" hidden="1" x14ac:dyDescent="0.25"/>
    <row r="51158" hidden="1" x14ac:dyDescent="0.25"/>
    <row r="51159" hidden="1" x14ac:dyDescent="0.25"/>
    <row r="51160" hidden="1" x14ac:dyDescent="0.25"/>
    <row r="51161" hidden="1" x14ac:dyDescent="0.25"/>
    <row r="51162" hidden="1" x14ac:dyDescent="0.25"/>
    <row r="51163" hidden="1" x14ac:dyDescent="0.25"/>
    <row r="51164" hidden="1" x14ac:dyDescent="0.25"/>
    <row r="51165" hidden="1" x14ac:dyDescent="0.25"/>
    <row r="51166" hidden="1" x14ac:dyDescent="0.25"/>
    <row r="51167" hidden="1" x14ac:dyDescent="0.25"/>
    <row r="51168" hidden="1" x14ac:dyDescent="0.25"/>
    <row r="51169" hidden="1" x14ac:dyDescent="0.25"/>
    <row r="51170" hidden="1" x14ac:dyDescent="0.25"/>
    <row r="51171" hidden="1" x14ac:dyDescent="0.25"/>
    <row r="51172" hidden="1" x14ac:dyDescent="0.25"/>
    <row r="51173" hidden="1" x14ac:dyDescent="0.25"/>
    <row r="51174" hidden="1" x14ac:dyDescent="0.25"/>
    <row r="51175" hidden="1" x14ac:dyDescent="0.25"/>
    <row r="51176" hidden="1" x14ac:dyDescent="0.25"/>
    <row r="51177" hidden="1" x14ac:dyDescent="0.25"/>
    <row r="51178" hidden="1" x14ac:dyDescent="0.25"/>
    <row r="51179" hidden="1" x14ac:dyDescent="0.25"/>
    <row r="51180" hidden="1" x14ac:dyDescent="0.25"/>
    <row r="51181" hidden="1" x14ac:dyDescent="0.25"/>
    <row r="51182" hidden="1" x14ac:dyDescent="0.25"/>
    <row r="51183" hidden="1" x14ac:dyDescent="0.25"/>
    <row r="51184" hidden="1" x14ac:dyDescent="0.25"/>
    <row r="51185" hidden="1" x14ac:dyDescent="0.25"/>
    <row r="51186" hidden="1" x14ac:dyDescent="0.25"/>
    <row r="51187" hidden="1" x14ac:dyDescent="0.25"/>
    <row r="51188" hidden="1" x14ac:dyDescent="0.25"/>
    <row r="51189" hidden="1" x14ac:dyDescent="0.25"/>
    <row r="51190" hidden="1" x14ac:dyDescent="0.25"/>
    <row r="51191" hidden="1" x14ac:dyDescent="0.25"/>
    <row r="51192" hidden="1" x14ac:dyDescent="0.25"/>
    <row r="51193" hidden="1" x14ac:dyDescent="0.25"/>
    <row r="51194" hidden="1" x14ac:dyDescent="0.25"/>
    <row r="51195" hidden="1" x14ac:dyDescent="0.25"/>
    <row r="51196" hidden="1" x14ac:dyDescent="0.25"/>
    <row r="51197" hidden="1" x14ac:dyDescent="0.25"/>
    <row r="51198" hidden="1" x14ac:dyDescent="0.25"/>
    <row r="51199" hidden="1" x14ac:dyDescent="0.25"/>
    <row r="51200" hidden="1" x14ac:dyDescent="0.25"/>
    <row r="51201" hidden="1" x14ac:dyDescent="0.25"/>
    <row r="51202" hidden="1" x14ac:dyDescent="0.25"/>
    <row r="51203" hidden="1" x14ac:dyDescent="0.25"/>
    <row r="51204" hidden="1" x14ac:dyDescent="0.25"/>
    <row r="51205" hidden="1" x14ac:dyDescent="0.25"/>
    <row r="51206" hidden="1" x14ac:dyDescent="0.25"/>
    <row r="51207" hidden="1" x14ac:dyDescent="0.25"/>
    <row r="51208" hidden="1" x14ac:dyDescent="0.25"/>
    <row r="51209" hidden="1" x14ac:dyDescent="0.25"/>
    <row r="51210" hidden="1" x14ac:dyDescent="0.25"/>
    <row r="51211" hidden="1" x14ac:dyDescent="0.25"/>
    <row r="51212" hidden="1" x14ac:dyDescent="0.25"/>
    <row r="51213" hidden="1" x14ac:dyDescent="0.25"/>
    <row r="51214" hidden="1" x14ac:dyDescent="0.25"/>
    <row r="51215" hidden="1" x14ac:dyDescent="0.25"/>
    <row r="51216" hidden="1" x14ac:dyDescent="0.25"/>
    <row r="51217" hidden="1" x14ac:dyDescent="0.25"/>
    <row r="51218" hidden="1" x14ac:dyDescent="0.25"/>
    <row r="51219" hidden="1" x14ac:dyDescent="0.25"/>
    <row r="51220" hidden="1" x14ac:dyDescent="0.25"/>
    <row r="51221" hidden="1" x14ac:dyDescent="0.25"/>
    <row r="51222" hidden="1" x14ac:dyDescent="0.25"/>
    <row r="51223" hidden="1" x14ac:dyDescent="0.25"/>
    <row r="51224" hidden="1" x14ac:dyDescent="0.25"/>
    <row r="51225" hidden="1" x14ac:dyDescent="0.25"/>
    <row r="51226" hidden="1" x14ac:dyDescent="0.25"/>
    <row r="51227" hidden="1" x14ac:dyDescent="0.25"/>
    <row r="51228" hidden="1" x14ac:dyDescent="0.25"/>
    <row r="51229" hidden="1" x14ac:dyDescent="0.25"/>
    <row r="51230" hidden="1" x14ac:dyDescent="0.25"/>
    <row r="51231" hidden="1" x14ac:dyDescent="0.25"/>
    <row r="51232" hidden="1" x14ac:dyDescent="0.25"/>
    <row r="51233" hidden="1" x14ac:dyDescent="0.25"/>
    <row r="51234" hidden="1" x14ac:dyDescent="0.25"/>
    <row r="51235" hidden="1" x14ac:dyDescent="0.25"/>
    <row r="51236" hidden="1" x14ac:dyDescent="0.25"/>
    <row r="51237" hidden="1" x14ac:dyDescent="0.25"/>
    <row r="51238" hidden="1" x14ac:dyDescent="0.25"/>
    <row r="51239" hidden="1" x14ac:dyDescent="0.25"/>
    <row r="51240" hidden="1" x14ac:dyDescent="0.25"/>
    <row r="51241" hidden="1" x14ac:dyDescent="0.25"/>
    <row r="51242" hidden="1" x14ac:dyDescent="0.25"/>
    <row r="51243" hidden="1" x14ac:dyDescent="0.25"/>
    <row r="51244" hidden="1" x14ac:dyDescent="0.25"/>
    <row r="51245" hidden="1" x14ac:dyDescent="0.25"/>
    <row r="51246" hidden="1" x14ac:dyDescent="0.25"/>
    <row r="51247" hidden="1" x14ac:dyDescent="0.25"/>
    <row r="51248" hidden="1" x14ac:dyDescent="0.25"/>
    <row r="51249" hidden="1" x14ac:dyDescent="0.25"/>
    <row r="51250" hidden="1" x14ac:dyDescent="0.25"/>
    <row r="51251" hidden="1" x14ac:dyDescent="0.25"/>
    <row r="51252" hidden="1" x14ac:dyDescent="0.25"/>
    <row r="51253" hidden="1" x14ac:dyDescent="0.25"/>
    <row r="51254" hidden="1" x14ac:dyDescent="0.25"/>
    <row r="51255" hidden="1" x14ac:dyDescent="0.25"/>
    <row r="51256" hidden="1" x14ac:dyDescent="0.25"/>
    <row r="51257" hidden="1" x14ac:dyDescent="0.25"/>
    <row r="51258" hidden="1" x14ac:dyDescent="0.25"/>
    <row r="51259" hidden="1" x14ac:dyDescent="0.25"/>
    <row r="51260" hidden="1" x14ac:dyDescent="0.25"/>
    <row r="51261" hidden="1" x14ac:dyDescent="0.25"/>
    <row r="51262" hidden="1" x14ac:dyDescent="0.25"/>
    <row r="51263" hidden="1" x14ac:dyDescent="0.25"/>
    <row r="51264" hidden="1" x14ac:dyDescent="0.25"/>
    <row r="51265" hidden="1" x14ac:dyDescent="0.25"/>
    <row r="51266" hidden="1" x14ac:dyDescent="0.25"/>
    <row r="51267" hidden="1" x14ac:dyDescent="0.25"/>
    <row r="51268" hidden="1" x14ac:dyDescent="0.25"/>
    <row r="51269" hidden="1" x14ac:dyDescent="0.25"/>
    <row r="51270" hidden="1" x14ac:dyDescent="0.25"/>
    <row r="51271" hidden="1" x14ac:dyDescent="0.25"/>
    <row r="51272" hidden="1" x14ac:dyDescent="0.25"/>
    <row r="51273" hidden="1" x14ac:dyDescent="0.25"/>
    <row r="51274" hidden="1" x14ac:dyDescent="0.25"/>
    <row r="51275" hidden="1" x14ac:dyDescent="0.25"/>
    <row r="51276" hidden="1" x14ac:dyDescent="0.25"/>
    <row r="51277" hidden="1" x14ac:dyDescent="0.25"/>
    <row r="51278" hidden="1" x14ac:dyDescent="0.25"/>
    <row r="51279" hidden="1" x14ac:dyDescent="0.25"/>
    <row r="51280" hidden="1" x14ac:dyDescent="0.25"/>
    <row r="51281" hidden="1" x14ac:dyDescent="0.25"/>
    <row r="51282" hidden="1" x14ac:dyDescent="0.25"/>
    <row r="51283" hidden="1" x14ac:dyDescent="0.25"/>
    <row r="51284" hidden="1" x14ac:dyDescent="0.25"/>
    <row r="51285" hidden="1" x14ac:dyDescent="0.25"/>
    <row r="51286" hidden="1" x14ac:dyDescent="0.25"/>
    <row r="51287" hidden="1" x14ac:dyDescent="0.25"/>
    <row r="51288" hidden="1" x14ac:dyDescent="0.25"/>
    <row r="51289" hidden="1" x14ac:dyDescent="0.25"/>
    <row r="51290" hidden="1" x14ac:dyDescent="0.25"/>
    <row r="51291" hidden="1" x14ac:dyDescent="0.25"/>
    <row r="51292" hidden="1" x14ac:dyDescent="0.25"/>
    <row r="51293" hidden="1" x14ac:dyDescent="0.25"/>
    <row r="51294" hidden="1" x14ac:dyDescent="0.25"/>
    <row r="51295" hidden="1" x14ac:dyDescent="0.25"/>
    <row r="51296" hidden="1" x14ac:dyDescent="0.25"/>
    <row r="51297" hidden="1" x14ac:dyDescent="0.25"/>
    <row r="51298" hidden="1" x14ac:dyDescent="0.25"/>
    <row r="51299" hidden="1" x14ac:dyDescent="0.25"/>
    <row r="51300" hidden="1" x14ac:dyDescent="0.25"/>
    <row r="51301" hidden="1" x14ac:dyDescent="0.25"/>
    <row r="51302" hidden="1" x14ac:dyDescent="0.25"/>
    <row r="51303" hidden="1" x14ac:dyDescent="0.25"/>
    <row r="51304" hidden="1" x14ac:dyDescent="0.25"/>
    <row r="51305" hidden="1" x14ac:dyDescent="0.25"/>
    <row r="51306" hidden="1" x14ac:dyDescent="0.25"/>
    <row r="51307" hidden="1" x14ac:dyDescent="0.25"/>
    <row r="51308" hidden="1" x14ac:dyDescent="0.25"/>
    <row r="51309" hidden="1" x14ac:dyDescent="0.25"/>
    <row r="51310" hidden="1" x14ac:dyDescent="0.25"/>
    <row r="51311" hidden="1" x14ac:dyDescent="0.25"/>
    <row r="51312" hidden="1" x14ac:dyDescent="0.25"/>
    <row r="51313" hidden="1" x14ac:dyDescent="0.25"/>
    <row r="51314" hidden="1" x14ac:dyDescent="0.25"/>
    <row r="51315" hidden="1" x14ac:dyDescent="0.25"/>
    <row r="51316" hidden="1" x14ac:dyDescent="0.25"/>
    <row r="51317" hidden="1" x14ac:dyDescent="0.25"/>
    <row r="51318" hidden="1" x14ac:dyDescent="0.25"/>
    <row r="51319" hidden="1" x14ac:dyDescent="0.25"/>
    <row r="51320" hidden="1" x14ac:dyDescent="0.25"/>
    <row r="51321" hidden="1" x14ac:dyDescent="0.25"/>
    <row r="51322" hidden="1" x14ac:dyDescent="0.25"/>
    <row r="51323" hidden="1" x14ac:dyDescent="0.25"/>
    <row r="51324" hidden="1" x14ac:dyDescent="0.25"/>
    <row r="51325" hidden="1" x14ac:dyDescent="0.25"/>
    <row r="51326" hidden="1" x14ac:dyDescent="0.25"/>
    <row r="51327" hidden="1" x14ac:dyDescent="0.25"/>
    <row r="51328" hidden="1" x14ac:dyDescent="0.25"/>
    <row r="51329" hidden="1" x14ac:dyDescent="0.25"/>
    <row r="51330" hidden="1" x14ac:dyDescent="0.25"/>
    <row r="51331" hidden="1" x14ac:dyDescent="0.25"/>
    <row r="51332" hidden="1" x14ac:dyDescent="0.25"/>
    <row r="51333" hidden="1" x14ac:dyDescent="0.25"/>
    <row r="51334" hidden="1" x14ac:dyDescent="0.25"/>
    <row r="51335" hidden="1" x14ac:dyDescent="0.25"/>
    <row r="51336" hidden="1" x14ac:dyDescent="0.25"/>
    <row r="51337" hidden="1" x14ac:dyDescent="0.25"/>
    <row r="51338" hidden="1" x14ac:dyDescent="0.25"/>
    <row r="51339" hidden="1" x14ac:dyDescent="0.25"/>
    <row r="51340" hidden="1" x14ac:dyDescent="0.25"/>
    <row r="51341" hidden="1" x14ac:dyDescent="0.25"/>
    <row r="51342" hidden="1" x14ac:dyDescent="0.25"/>
    <row r="51343" hidden="1" x14ac:dyDescent="0.25"/>
    <row r="51344" hidden="1" x14ac:dyDescent="0.25"/>
    <row r="51345" hidden="1" x14ac:dyDescent="0.25"/>
    <row r="51346" hidden="1" x14ac:dyDescent="0.25"/>
    <row r="51347" hidden="1" x14ac:dyDescent="0.25"/>
    <row r="51348" hidden="1" x14ac:dyDescent="0.25"/>
    <row r="51349" hidden="1" x14ac:dyDescent="0.25"/>
    <row r="51350" hidden="1" x14ac:dyDescent="0.25"/>
    <row r="51351" hidden="1" x14ac:dyDescent="0.25"/>
    <row r="51352" hidden="1" x14ac:dyDescent="0.25"/>
    <row r="51353" hidden="1" x14ac:dyDescent="0.25"/>
    <row r="51354" hidden="1" x14ac:dyDescent="0.25"/>
    <row r="51355" hidden="1" x14ac:dyDescent="0.25"/>
    <row r="51356" hidden="1" x14ac:dyDescent="0.25"/>
    <row r="51357" hidden="1" x14ac:dyDescent="0.25"/>
    <row r="51358" hidden="1" x14ac:dyDescent="0.25"/>
    <row r="51359" hidden="1" x14ac:dyDescent="0.25"/>
    <row r="51360" hidden="1" x14ac:dyDescent="0.25"/>
    <row r="51361" hidden="1" x14ac:dyDescent="0.25"/>
    <row r="51362" hidden="1" x14ac:dyDescent="0.25"/>
    <row r="51363" hidden="1" x14ac:dyDescent="0.25"/>
    <row r="51364" hidden="1" x14ac:dyDescent="0.25"/>
    <row r="51365" hidden="1" x14ac:dyDescent="0.25"/>
    <row r="51366" hidden="1" x14ac:dyDescent="0.25"/>
    <row r="51367" hidden="1" x14ac:dyDescent="0.25"/>
    <row r="51368" hidden="1" x14ac:dyDescent="0.25"/>
    <row r="51369" hidden="1" x14ac:dyDescent="0.25"/>
    <row r="51370" hidden="1" x14ac:dyDescent="0.25"/>
    <row r="51371" hidden="1" x14ac:dyDescent="0.25"/>
    <row r="51372" hidden="1" x14ac:dyDescent="0.25"/>
    <row r="51373" hidden="1" x14ac:dyDescent="0.25"/>
    <row r="51374" hidden="1" x14ac:dyDescent="0.25"/>
    <row r="51375" hidden="1" x14ac:dyDescent="0.25"/>
    <row r="51376" hidden="1" x14ac:dyDescent="0.25"/>
    <row r="51377" hidden="1" x14ac:dyDescent="0.25"/>
    <row r="51378" hidden="1" x14ac:dyDescent="0.25"/>
    <row r="51379" hidden="1" x14ac:dyDescent="0.25"/>
    <row r="51380" hidden="1" x14ac:dyDescent="0.25"/>
    <row r="51381" hidden="1" x14ac:dyDescent="0.25"/>
    <row r="51382" hidden="1" x14ac:dyDescent="0.25"/>
    <row r="51383" hidden="1" x14ac:dyDescent="0.25"/>
    <row r="51384" hidden="1" x14ac:dyDescent="0.25"/>
    <row r="51385" hidden="1" x14ac:dyDescent="0.25"/>
    <row r="51386" hidden="1" x14ac:dyDescent="0.25"/>
    <row r="51387" hidden="1" x14ac:dyDescent="0.25"/>
    <row r="51388" hidden="1" x14ac:dyDescent="0.25"/>
    <row r="51389" hidden="1" x14ac:dyDescent="0.25"/>
    <row r="51390" hidden="1" x14ac:dyDescent="0.25"/>
    <row r="51391" hidden="1" x14ac:dyDescent="0.25"/>
    <row r="51392" hidden="1" x14ac:dyDescent="0.25"/>
    <row r="51393" hidden="1" x14ac:dyDescent="0.25"/>
    <row r="51394" hidden="1" x14ac:dyDescent="0.25"/>
    <row r="51395" hidden="1" x14ac:dyDescent="0.25"/>
    <row r="51396" hidden="1" x14ac:dyDescent="0.25"/>
    <row r="51397" hidden="1" x14ac:dyDescent="0.25"/>
    <row r="51398" hidden="1" x14ac:dyDescent="0.25"/>
    <row r="51399" hidden="1" x14ac:dyDescent="0.25"/>
    <row r="51400" hidden="1" x14ac:dyDescent="0.25"/>
    <row r="51401" hidden="1" x14ac:dyDescent="0.25"/>
    <row r="51402" hidden="1" x14ac:dyDescent="0.25"/>
    <row r="51403" hidden="1" x14ac:dyDescent="0.25"/>
    <row r="51404" hidden="1" x14ac:dyDescent="0.25"/>
    <row r="51405" hidden="1" x14ac:dyDescent="0.25"/>
    <row r="51406" hidden="1" x14ac:dyDescent="0.25"/>
    <row r="51407" hidden="1" x14ac:dyDescent="0.25"/>
    <row r="51408" hidden="1" x14ac:dyDescent="0.25"/>
    <row r="51409" hidden="1" x14ac:dyDescent="0.25"/>
    <row r="51410" hidden="1" x14ac:dyDescent="0.25"/>
    <row r="51411" hidden="1" x14ac:dyDescent="0.25"/>
    <row r="51412" hidden="1" x14ac:dyDescent="0.25"/>
    <row r="51413" hidden="1" x14ac:dyDescent="0.25"/>
    <row r="51414" hidden="1" x14ac:dyDescent="0.25"/>
    <row r="51415" hidden="1" x14ac:dyDescent="0.25"/>
    <row r="51416" hidden="1" x14ac:dyDescent="0.25"/>
    <row r="51417" hidden="1" x14ac:dyDescent="0.25"/>
    <row r="51418" hidden="1" x14ac:dyDescent="0.25"/>
    <row r="51419" hidden="1" x14ac:dyDescent="0.25"/>
    <row r="51420" hidden="1" x14ac:dyDescent="0.25"/>
    <row r="51421" hidden="1" x14ac:dyDescent="0.25"/>
    <row r="51422" hidden="1" x14ac:dyDescent="0.25"/>
    <row r="51423" hidden="1" x14ac:dyDescent="0.25"/>
    <row r="51424" hidden="1" x14ac:dyDescent="0.25"/>
    <row r="51425" hidden="1" x14ac:dyDescent="0.25"/>
    <row r="51426" hidden="1" x14ac:dyDescent="0.25"/>
    <row r="51427" hidden="1" x14ac:dyDescent="0.25"/>
    <row r="51428" hidden="1" x14ac:dyDescent="0.25"/>
    <row r="51429" hidden="1" x14ac:dyDescent="0.25"/>
    <row r="51430" hidden="1" x14ac:dyDescent="0.25"/>
    <row r="51431" hidden="1" x14ac:dyDescent="0.25"/>
    <row r="51432" hidden="1" x14ac:dyDescent="0.25"/>
    <row r="51433" hidden="1" x14ac:dyDescent="0.25"/>
    <row r="51434" hidden="1" x14ac:dyDescent="0.25"/>
    <row r="51435" hidden="1" x14ac:dyDescent="0.25"/>
    <row r="51436" hidden="1" x14ac:dyDescent="0.25"/>
    <row r="51437" hidden="1" x14ac:dyDescent="0.25"/>
    <row r="51438" hidden="1" x14ac:dyDescent="0.25"/>
    <row r="51439" hidden="1" x14ac:dyDescent="0.25"/>
    <row r="51440" hidden="1" x14ac:dyDescent="0.25"/>
    <row r="51441" hidden="1" x14ac:dyDescent="0.25"/>
    <row r="51442" hidden="1" x14ac:dyDescent="0.25"/>
    <row r="51443" hidden="1" x14ac:dyDescent="0.25"/>
    <row r="51444" hidden="1" x14ac:dyDescent="0.25"/>
    <row r="51445" hidden="1" x14ac:dyDescent="0.25"/>
    <row r="51446" hidden="1" x14ac:dyDescent="0.25"/>
    <row r="51447" hidden="1" x14ac:dyDescent="0.25"/>
    <row r="51448" hidden="1" x14ac:dyDescent="0.25"/>
    <row r="51449" hidden="1" x14ac:dyDescent="0.25"/>
    <row r="51450" hidden="1" x14ac:dyDescent="0.25"/>
    <row r="51451" hidden="1" x14ac:dyDescent="0.25"/>
    <row r="51452" hidden="1" x14ac:dyDescent="0.25"/>
    <row r="51453" hidden="1" x14ac:dyDescent="0.25"/>
    <row r="51454" hidden="1" x14ac:dyDescent="0.25"/>
    <row r="51455" hidden="1" x14ac:dyDescent="0.25"/>
    <row r="51456" hidden="1" x14ac:dyDescent="0.25"/>
    <row r="51457" hidden="1" x14ac:dyDescent="0.25"/>
    <row r="51458" hidden="1" x14ac:dyDescent="0.25"/>
    <row r="51459" hidden="1" x14ac:dyDescent="0.25"/>
    <row r="51460" hidden="1" x14ac:dyDescent="0.25"/>
    <row r="51461" hidden="1" x14ac:dyDescent="0.25"/>
    <row r="51462" hidden="1" x14ac:dyDescent="0.25"/>
    <row r="51463" hidden="1" x14ac:dyDescent="0.25"/>
    <row r="51464" hidden="1" x14ac:dyDescent="0.25"/>
    <row r="51465" hidden="1" x14ac:dyDescent="0.25"/>
    <row r="51466" hidden="1" x14ac:dyDescent="0.25"/>
    <row r="51467" hidden="1" x14ac:dyDescent="0.25"/>
    <row r="51468" hidden="1" x14ac:dyDescent="0.25"/>
    <row r="51469" hidden="1" x14ac:dyDescent="0.25"/>
    <row r="51470" hidden="1" x14ac:dyDescent="0.25"/>
    <row r="51471" hidden="1" x14ac:dyDescent="0.25"/>
    <row r="51472" hidden="1" x14ac:dyDescent="0.25"/>
    <row r="51473" hidden="1" x14ac:dyDescent="0.25"/>
    <row r="51474" hidden="1" x14ac:dyDescent="0.25"/>
    <row r="51475" hidden="1" x14ac:dyDescent="0.25"/>
    <row r="51476" hidden="1" x14ac:dyDescent="0.25"/>
    <row r="51477" hidden="1" x14ac:dyDescent="0.25"/>
    <row r="51478" hidden="1" x14ac:dyDescent="0.25"/>
    <row r="51479" hidden="1" x14ac:dyDescent="0.25"/>
    <row r="51480" hidden="1" x14ac:dyDescent="0.25"/>
    <row r="51481" hidden="1" x14ac:dyDescent="0.25"/>
    <row r="51482" hidden="1" x14ac:dyDescent="0.25"/>
    <row r="51483" hidden="1" x14ac:dyDescent="0.25"/>
    <row r="51484" hidden="1" x14ac:dyDescent="0.25"/>
    <row r="51485" hidden="1" x14ac:dyDescent="0.25"/>
    <row r="51486" hidden="1" x14ac:dyDescent="0.25"/>
    <row r="51487" hidden="1" x14ac:dyDescent="0.25"/>
    <row r="51488" hidden="1" x14ac:dyDescent="0.25"/>
    <row r="51489" hidden="1" x14ac:dyDescent="0.25"/>
    <row r="51490" hidden="1" x14ac:dyDescent="0.25"/>
    <row r="51491" hidden="1" x14ac:dyDescent="0.25"/>
    <row r="51492" hidden="1" x14ac:dyDescent="0.25"/>
    <row r="51493" hidden="1" x14ac:dyDescent="0.25"/>
    <row r="51494" hidden="1" x14ac:dyDescent="0.25"/>
    <row r="51495" hidden="1" x14ac:dyDescent="0.25"/>
    <row r="51496" hidden="1" x14ac:dyDescent="0.25"/>
    <row r="51497" hidden="1" x14ac:dyDescent="0.25"/>
    <row r="51498" hidden="1" x14ac:dyDescent="0.25"/>
    <row r="51499" hidden="1" x14ac:dyDescent="0.25"/>
    <row r="51500" hidden="1" x14ac:dyDescent="0.25"/>
    <row r="51501" hidden="1" x14ac:dyDescent="0.25"/>
    <row r="51502" hidden="1" x14ac:dyDescent="0.25"/>
    <row r="51503" hidden="1" x14ac:dyDescent="0.25"/>
    <row r="51504" hidden="1" x14ac:dyDescent="0.25"/>
    <row r="51505" hidden="1" x14ac:dyDescent="0.25"/>
    <row r="51506" hidden="1" x14ac:dyDescent="0.25"/>
    <row r="51507" hidden="1" x14ac:dyDescent="0.25"/>
    <row r="51508" hidden="1" x14ac:dyDescent="0.25"/>
    <row r="51509" hidden="1" x14ac:dyDescent="0.25"/>
    <row r="51510" hidden="1" x14ac:dyDescent="0.25"/>
    <row r="51511" hidden="1" x14ac:dyDescent="0.25"/>
    <row r="51512" hidden="1" x14ac:dyDescent="0.25"/>
    <row r="51513" hidden="1" x14ac:dyDescent="0.25"/>
    <row r="51514" hidden="1" x14ac:dyDescent="0.25"/>
    <row r="51515" hidden="1" x14ac:dyDescent="0.25"/>
    <row r="51516" hidden="1" x14ac:dyDescent="0.25"/>
    <row r="51517" hidden="1" x14ac:dyDescent="0.25"/>
    <row r="51518" hidden="1" x14ac:dyDescent="0.25"/>
    <row r="51519" hidden="1" x14ac:dyDescent="0.25"/>
    <row r="51520" hidden="1" x14ac:dyDescent="0.25"/>
    <row r="51521" hidden="1" x14ac:dyDescent="0.25"/>
    <row r="51522" hidden="1" x14ac:dyDescent="0.25"/>
    <row r="51523" hidden="1" x14ac:dyDescent="0.25"/>
    <row r="51524" hidden="1" x14ac:dyDescent="0.25"/>
    <row r="51525" hidden="1" x14ac:dyDescent="0.25"/>
    <row r="51526" hidden="1" x14ac:dyDescent="0.25"/>
    <row r="51527" hidden="1" x14ac:dyDescent="0.25"/>
    <row r="51528" hidden="1" x14ac:dyDescent="0.25"/>
    <row r="51529" hidden="1" x14ac:dyDescent="0.25"/>
    <row r="51530" hidden="1" x14ac:dyDescent="0.25"/>
    <row r="51531" hidden="1" x14ac:dyDescent="0.25"/>
    <row r="51532" hidden="1" x14ac:dyDescent="0.25"/>
    <row r="51533" hidden="1" x14ac:dyDescent="0.25"/>
    <row r="51534" hidden="1" x14ac:dyDescent="0.25"/>
    <row r="51535" hidden="1" x14ac:dyDescent="0.25"/>
    <row r="51536" hidden="1" x14ac:dyDescent="0.25"/>
    <row r="51537" hidden="1" x14ac:dyDescent="0.25"/>
    <row r="51538" hidden="1" x14ac:dyDescent="0.25"/>
    <row r="51539" hidden="1" x14ac:dyDescent="0.25"/>
    <row r="51540" hidden="1" x14ac:dyDescent="0.25"/>
    <row r="51541" hidden="1" x14ac:dyDescent="0.25"/>
    <row r="51542" hidden="1" x14ac:dyDescent="0.25"/>
    <row r="51543" hidden="1" x14ac:dyDescent="0.25"/>
    <row r="51544" hidden="1" x14ac:dyDescent="0.25"/>
    <row r="51545" hidden="1" x14ac:dyDescent="0.25"/>
    <row r="51546" hidden="1" x14ac:dyDescent="0.25"/>
    <row r="51547" hidden="1" x14ac:dyDescent="0.25"/>
    <row r="51548" hidden="1" x14ac:dyDescent="0.25"/>
    <row r="51549" hidden="1" x14ac:dyDescent="0.25"/>
    <row r="51550" hidden="1" x14ac:dyDescent="0.25"/>
    <row r="51551" hidden="1" x14ac:dyDescent="0.25"/>
    <row r="51552" hidden="1" x14ac:dyDescent="0.25"/>
    <row r="51553" hidden="1" x14ac:dyDescent="0.25"/>
    <row r="51554" hidden="1" x14ac:dyDescent="0.25"/>
    <row r="51555" hidden="1" x14ac:dyDescent="0.25"/>
    <row r="51556" hidden="1" x14ac:dyDescent="0.25"/>
    <row r="51557" hidden="1" x14ac:dyDescent="0.25"/>
    <row r="51558" hidden="1" x14ac:dyDescent="0.25"/>
    <row r="51559" hidden="1" x14ac:dyDescent="0.25"/>
    <row r="51560" hidden="1" x14ac:dyDescent="0.25"/>
    <row r="51561" hidden="1" x14ac:dyDescent="0.25"/>
    <row r="51562" hidden="1" x14ac:dyDescent="0.25"/>
    <row r="51563" hidden="1" x14ac:dyDescent="0.25"/>
    <row r="51564" hidden="1" x14ac:dyDescent="0.25"/>
    <row r="51565" hidden="1" x14ac:dyDescent="0.25"/>
    <row r="51566" hidden="1" x14ac:dyDescent="0.25"/>
    <row r="51567" hidden="1" x14ac:dyDescent="0.25"/>
    <row r="51568" hidden="1" x14ac:dyDescent="0.25"/>
    <row r="51569" hidden="1" x14ac:dyDescent="0.25"/>
    <row r="51570" hidden="1" x14ac:dyDescent="0.25"/>
    <row r="51571" hidden="1" x14ac:dyDescent="0.25"/>
    <row r="51572" hidden="1" x14ac:dyDescent="0.25"/>
    <row r="51573" hidden="1" x14ac:dyDescent="0.25"/>
    <row r="51574" hidden="1" x14ac:dyDescent="0.25"/>
    <row r="51575" hidden="1" x14ac:dyDescent="0.25"/>
    <row r="51576" hidden="1" x14ac:dyDescent="0.25"/>
    <row r="51577" hidden="1" x14ac:dyDescent="0.25"/>
    <row r="51578" hidden="1" x14ac:dyDescent="0.25"/>
    <row r="51579" hidden="1" x14ac:dyDescent="0.25"/>
    <row r="51580" hidden="1" x14ac:dyDescent="0.25"/>
    <row r="51581" hidden="1" x14ac:dyDescent="0.25"/>
    <row r="51582" hidden="1" x14ac:dyDescent="0.25"/>
    <row r="51583" hidden="1" x14ac:dyDescent="0.25"/>
    <row r="51584" hidden="1" x14ac:dyDescent="0.25"/>
    <row r="51585" hidden="1" x14ac:dyDescent="0.25"/>
    <row r="51586" hidden="1" x14ac:dyDescent="0.25"/>
    <row r="51587" hidden="1" x14ac:dyDescent="0.25"/>
    <row r="51588" hidden="1" x14ac:dyDescent="0.25"/>
    <row r="51589" hidden="1" x14ac:dyDescent="0.25"/>
    <row r="51590" hidden="1" x14ac:dyDescent="0.25"/>
    <row r="51591" hidden="1" x14ac:dyDescent="0.25"/>
    <row r="51592" hidden="1" x14ac:dyDescent="0.25"/>
    <row r="51593" hidden="1" x14ac:dyDescent="0.25"/>
    <row r="51594" hidden="1" x14ac:dyDescent="0.25"/>
    <row r="51595" hidden="1" x14ac:dyDescent="0.25"/>
    <row r="51596" hidden="1" x14ac:dyDescent="0.25"/>
    <row r="51597" hidden="1" x14ac:dyDescent="0.25"/>
    <row r="51598" hidden="1" x14ac:dyDescent="0.25"/>
    <row r="51599" hidden="1" x14ac:dyDescent="0.25"/>
    <row r="51600" hidden="1" x14ac:dyDescent="0.25"/>
    <row r="51601" hidden="1" x14ac:dyDescent="0.25"/>
    <row r="51602" hidden="1" x14ac:dyDescent="0.25"/>
    <row r="51603" hidden="1" x14ac:dyDescent="0.25"/>
    <row r="51604" hidden="1" x14ac:dyDescent="0.25"/>
    <row r="51605" hidden="1" x14ac:dyDescent="0.25"/>
    <row r="51606" hidden="1" x14ac:dyDescent="0.25"/>
    <row r="51607" hidden="1" x14ac:dyDescent="0.25"/>
    <row r="51608" hidden="1" x14ac:dyDescent="0.25"/>
    <row r="51609" hidden="1" x14ac:dyDescent="0.25"/>
    <row r="51610" hidden="1" x14ac:dyDescent="0.25"/>
    <row r="51611" hidden="1" x14ac:dyDescent="0.25"/>
    <row r="51612" hidden="1" x14ac:dyDescent="0.25"/>
    <row r="51613" hidden="1" x14ac:dyDescent="0.25"/>
    <row r="51614" hidden="1" x14ac:dyDescent="0.25"/>
    <row r="51615" hidden="1" x14ac:dyDescent="0.25"/>
    <row r="51616" hidden="1" x14ac:dyDescent="0.25"/>
    <row r="51617" hidden="1" x14ac:dyDescent="0.25"/>
    <row r="51618" hidden="1" x14ac:dyDescent="0.25"/>
    <row r="51619" hidden="1" x14ac:dyDescent="0.25"/>
    <row r="51620" hidden="1" x14ac:dyDescent="0.25"/>
    <row r="51621" hidden="1" x14ac:dyDescent="0.25"/>
    <row r="51622" hidden="1" x14ac:dyDescent="0.25"/>
    <row r="51623" hidden="1" x14ac:dyDescent="0.25"/>
    <row r="51624" hidden="1" x14ac:dyDescent="0.25"/>
    <row r="51625" hidden="1" x14ac:dyDescent="0.25"/>
    <row r="51626" hidden="1" x14ac:dyDescent="0.25"/>
    <row r="51627" hidden="1" x14ac:dyDescent="0.25"/>
    <row r="51628" hidden="1" x14ac:dyDescent="0.25"/>
    <row r="51629" hidden="1" x14ac:dyDescent="0.25"/>
    <row r="51630" hidden="1" x14ac:dyDescent="0.25"/>
    <row r="51631" hidden="1" x14ac:dyDescent="0.25"/>
    <row r="51632" hidden="1" x14ac:dyDescent="0.25"/>
    <row r="51633" hidden="1" x14ac:dyDescent="0.25"/>
    <row r="51634" hidden="1" x14ac:dyDescent="0.25"/>
    <row r="51635" hidden="1" x14ac:dyDescent="0.25"/>
    <row r="51636" hidden="1" x14ac:dyDescent="0.25"/>
    <row r="51637" hidden="1" x14ac:dyDescent="0.25"/>
    <row r="51638" hidden="1" x14ac:dyDescent="0.25"/>
    <row r="51639" hidden="1" x14ac:dyDescent="0.25"/>
    <row r="51640" hidden="1" x14ac:dyDescent="0.25"/>
    <row r="51641" hidden="1" x14ac:dyDescent="0.25"/>
    <row r="51642" hidden="1" x14ac:dyDescent="0.25"/>
    <row r="51643" hidden="1" x14ac:dyDescent="0.25"/>
    <row r="51644" hidden="1" x14ac:dyDescent="0.25"/>
    <row r="51645" hidden="1" x14ac:dyDescent="0.25"/>
    <row r="51646" hidden="1" x14ac:dyDescent="0.25"/>
    <row r="51647" hidden="1" x14ac:dyDescent="0.25"/>
    <row r="51648" hidden="1" x14ac:dyDescent="0.25"/>
    <row r="51649" hidden="1" x14ac:dyDescent="0.25"/>
    <row r="51650" hidden="1" x14ac:dyDescent="0.25"/>
    <row r="51651" hidden="1" x14ac:dyDescent="0.25"/>
    <row r="51652" hidden="1" x14ac:dyDescent="0.25"/>
    <row r="51653" hidden="1" x14ac:dyDescent="0.25"/>
    <row r="51654" hidden="1" x14ac:dyDescent="0.25"/>
    <row r="51655" hidden="1" x14ac:dyDescent="0.25"/>
    <row r="51656" hidden="1" x14ac:dyDescent="0.25"/>
    <row r="51657" hidden="1" x14ac:dyDescent="0.25"/>
    <row r="51658" hidden="1" x14ac:dyDescent="0.25"/>
    <row r="51659" hidden="1" x14ac:dyDescent="0.25"/>
    <row r="51660" hidden="1" x14ac:dyDescent="0.25"/>
    <row r="51661" hidden="1" x14ac:dyDescent="0.25"/>
    <row r="51662" hidden="1" x14ac:dyDescent="0.25"/>
    <row r="51663" hidden="1" x14ac:dyDescent="0.25"/>
    <row r="51664" hidden="1" x14ac:dyDescent="0.25"/>
    <row r="51665" hidden="1" x14ac:dyDescent="0.25"/>
    <row r="51666" hidden="1" x14ac:dyDescent="0.25"/>
    <row r="51667" hidden="1" x14ac:dyDescent="0.25"/>
    <row r="51668" hidden="1" x14ac:dyDescent="0.25"/>
    <row r="51669" hidden="1" x14ac:dyDescent="0.25"/>
    <row r="51670" hidden="1" x14ac:dyDescent="0.25"/>
    <row r="51671" hidden="1" x14ac:dyDescent="0.25"/>
    <row r="51672" hidden="1" x14ac:dyDescent="0.25"/>
    <row r="51673" hidden="1" x14ac:dyDescent="0.25"/>
    <row r="51674" hidden="1" x14ac:dyDescent="0.25"/>
    <row r="51675" hidden="1" x14ac:dyDescent="0.25"/>
    <row r="51676" hidden="1" x14ac:dyDescent="0.25"/>
    <row r="51677" hidden="1" x14ac:dyDescent="0.25"/>
    <row r="51678" hidden="1" x14ac:dyDescent="0.25"/>
    <row r="51679" hidden="1" x14ac:dyDescent="0.25"/>
    <row r="51680" hidden="1" x14ac:dyDescent="0.25"/>
    <row r="51681" hidden="1" x14ac:dyDescent="0.25"/>
    <row r="51682" hidden="1" x14ac:dyDescent="0.25"/>
    <row r="51683" hidden="1" x14ac:dyDescent="0.25"/>
    <row r="51684" hidden="1" x14ac:dyDescent="0.25"/>
    <row r="51685" hidden="1" x14ac:dyDescent="0.25"/>
    <row r="51686" hidden="1" x14ac:dyDescent="0.25"/>
    <row r="51687" hidden="1" x14ac:dyDescent="0.25"/>
    <row r="51688" hidden="1" x14ac:dyDescent="0.25"/>
    <row r="51689" hidden="1" x14ac:dyDescent="0.25"/>
    <row r="51690" hidden="1" x14ac:dyDescent="0.25"/>
    <row r="51691" hidden="1" x14ac:dyDescent="0.25"/>
    <row r="51692" hidden="1" x14ac:dyDescent="0.25"/>
    <row r="51693" hidden="1" x14ac:dyDescent="0.25"/>
    <row r="51694" hidden="1" x14ac:dyDescent="0.25"/>
    <row r="51695" hidden="1" x14ac:dyDescent="0.25"/>
    <row r="51696" hidden="1" x14ac:dyDescent="0.25"/>
    <row r="51697" hidden="1" x14ac:dyDescent="0.25"/>
    <row r="51698" hidden="1" x14ac:dyDescent="0.25"/>
    <row r="51699" hidden="1" x14ac:dyDescent="0.25"/>
    <row r="51700" hidden="1" x14ac:dyDescent="0.25"/>
    <row r="51701" hidden="1" x14ac:dyDescent="0.25"/>
    <row r="51702" hidden="1" x14ac:dyDescent="0.25"/>
    <row r="51703" hidden="1" x14ac:dyDescent="0.25"/>
    <row r="51704" hidden="1" x14ac:dyDescent="0.25"/>
    <row r="51705" hidden="1" x14ac:dyDescent="0.25"/>
    <row r="51706" hidden="1" x14ac:dyDescent="0.25"/>
    <row r="51707" hidden="1" x14ac:dyDescent="0.25"/>
    <row r="51708" hidden="1" x14ac:dyDescent="0.25"/>
    <row r="51709" hidden="1" x14ac:dyDescent="0.25"/>
    <row r="51710" hidden="1" x14ac:dyDescent="0.25"/>
    <row r="51711" hidden="1" x14ac:dyDescent="0.25"/>
    <row r="51712" hidden="1" x14ac:dyDescent="0.25"/>
    <row r="51713" hidden="1" x14ac:dyDescent="0.25"/>
    <row r="51714" hidden="1" x14ac:dyDescent="0.25"/>
    <row r="51715" hidden="1" x14ac:dyDescent="0.25"/>
    <row r="51716" hidden="1" x14ac:dyDescent="0.25"/>
    <row r="51717" hidden="1" x14ac:dyDescent="0.25"/>
    <row r="51718" hidden="1" x14ac:dyDescent="0.25"/>
    <row r="51719" hidden="1" x14ac:dyDescent="0.25"/>
    <row r="51720" hidden="1" x14ac:dyDescent="0.25"/>
    <row r="51721" hidden="1" x14ac:dyDescent="0.25"/>
    <row r="51722" hidden="1" x14ac:dyDescent="0.25"/>
    <row r="51723" hidden="1" x14ac:dyDescent="0.25"/>
    <row r="51724" hidden="1" x14ac:dyDescent="0.25"/>
    <row r="51725" hidden="1" x14ac:dyDescent="0.25"/>
    <row r="51726" hidden="1" x14ac:dyDescent="0.25"/>
    <row r="51727" hidden="1" x14ac:dyDescent="0.25"/>
    <row r="51728" hidden="1" x14ac:dyDescent="0.25"/>
    <row r="51729" hidden="1" x14ac:dyDescent="0.25"/>
    <row r="51730" hidden="1" x14ac:dyDescent="0.25"/>
    <row r="51731" hidden="1" x14ac:dyDescent="0.25"/>
    <row r="51732" hidden="1" x14ac:dyDescent="0.25"/>
    <row r="51733" hidden="1" x14ac:dyDescent="0.25"/>
    <row r="51734" hidden="1" x14ac:dyDescent="0.25"/>
    <row r="51735" hidden="1" x14ac:dyDescent="0.25"/>
    <row r="51736" hidden="1" x14ac:dyDescent="0.25"/>
    <row r="51737" hidden="1" x14ac:dyDescent="0.25"/>
    <row r="51738" hidden="1" x14ac:dyDescent="0.25"/>
    <row r="51739" hidden="1" x14ac:dyDescent="0.25"/>
    <row r="51740" hidden="1" x14ac:dyDescent="0.25"/>
    <row r="51741" hidden="1" x14ac:dyDescent="0.25"/>
    <row r="51742" hidden="1" x14ac:dyDescent="0.25"/>
    <row r="51743" hidden="1" x14ac:dyDescent="0.25"/>
    <row r="51744" hidden="1" x14ac:dyDescent="0.25"/>
    <row r="51745" hidden="1" x14ac:dyDescent="0.25"/>
    <row r="51746" hidden="1" x14ac:dyDescent="0.25"/>
    <row r="51747" hidden="1" x14ac:dyDescent="0.25"/>
    <row r="51748" hidden="1" x14ac:dyDescent="0.25"/>
    <row r="51749" hidden="1" x14ac:dyDescent="0.25"/>
    <row r="51750" hidden="1" x14ac:dyDescent="0.25"/>
    <row r="51751" hidden="1" x14ac:dyDescent="0.25"/>
    <row r="51752" hidden="1" x14ac:dyDescent="0.25"/>
    <row r="51753" hidden="1" x14ac:dyDescent="0.25"/>
    <row r="51754" hidden="1" x14ac:dyDescent="0.25"/>
    <row r="51755" hidden="1" x14ac:dyDescent="0.25"/>
    <row r="51756" hidden="1" x14ac:dyDescent="0.25"/>
    <row r="51757" hidden="1" x14ac:dyDescent="0.25"/>
    <row r="51758" hidden="1" x14ac:dyDescent="0.25"/>
    <row r="51759" hidden="1" x14ac:dyDescent="0.25"/>
    <row r="51760" hidden="1" x14ac:dyDescent="0.25"/>
    <row r="51761" hidden="1" x14ac:dyDescent="0.25"/>
    <row r="51762" hidden="1" x14ac:dyDescent="0.25"/>
    <row r="51763" hidden="1" x14ac:dyDescent="0.25"/>
    <row r="51764" hidden="1" x14ac:dyDescent="0.25"/>
    <row r="51765" hidden="1" x14ac:dyDescent="0.25"/>
    <row r="51766" hidden="1" x14ac:dyDescent="0.25"/>
    <row r="51767" hidden="1" x14ac:dyDescent="0.25"/>
    <row r="51768" hidden="1" x14ac:dyDescent="0.25"/>
    <row r="51769" hidden="1" x14ac:dyDescent="0.25"/>
    <row r="51770" hidden="1" x14ac:dyDescent="0.25"/>
    <row r="51771" hidden="1" x14ac:dyDescent="0.25"/>
    <row r="51772" hidden="1" x14ac:dyDescent="0.25"/>
    <row r="51773" hidden="1" x14ac:dyDescent="0.25"/>
    <row r="51774" hidden="1" x14ac:dyDescent="0.25"/>
    <row r="51775" hidden="1" x14ac:dyDescent="0.25"/>
    <row r="51776" hidden="1" x14ac:dyDescent="0.25"/>
    <row r="51777" hidden="1" x14ac:dyDescent="0.25"/>
    <row r="51778" hidden="1" x14ac:dyDescent="0.25"/>
    <row r="51779" hidden="1" x14ac:dyDescent="0.25"/>
    <row r="51780" hidden="1" x14ac:dyDescent="0.25"/>
    <row r="51781" hidden="1" x14ac:dyDescent="0.25"/>
    <row r="51782" hidden="1" x14ac:dyDescent="0.25"/>
    <row r="51783" hidden="1" x14ac:dyDescent="0.25"/>
    <row r="51784" hidden="1" x14ac:dyDescent="0.25"/>
    <row r="51785" hidden="1" x14ac:dyDescent="0.25"/>
    <row r="51786" hidden="1" x14ac:dyDescent="0.25"/>
    <row r="51787" hidden="1" x14ac:dyDescent="0.25"/>
    <row r="51788" hidden="1" x14ac:dyDescent="0.25"/>
    <row r="51789" hidden="1" x14ac:dyDescent="0.25"/>
    <row r="51790" hidden="1" x14ac:dyDescent="0.25"/>
    <row r="51791" hidden="1" x14ac:dyDescent="0.25"/>
    <row r="51792" hidden="1" x14ac:dyDescent="0.25"/>
    <row r="51793" hidden="1" x14ac:dyDescent="0.25"/>
    <row r="51794" hidden="1" x14ac:dyDescent="0.25"/>
    <row r="51795" hidden="1" x14ac:dyDescent="0.25"/>
    <row r="51796" hidden="1" x14ac:dyDescent="0.25"/>
    <row r="51797" hidden="1" x14ac:dyDescent="0.25"/>
    <row r="51798" hidden="1" x14ac:dyDescent="0.25"/>
    <row r="51799" hidden="1" x14ac:dyDescent="0.25"/>
    <row r="51800" hidden="1" x14ac:dyDescent="0.25"/>
    <row r="51801" hidden="1" x14ac:dyDescent="0.25"/>
    <row r="51802" hidden="1" x14ac:dyDescent="0.25"/>
    <row r="51803" hidden="1" x14ac:dyDescent="0.25"/>
    <row r="51804" hidden="1" x14ac:dyDescent="0.25"/>
    <row r="51805" hidden="1" x14ac:dyDescent="0.25"/>
    <row r="51806" hidden="1" x14ac:dyDescent="0.25"/>
    <row r="51807" hidden="1" x14ac:dyDescent="0.25"/>
    <row r="51808" hidden="1" x14ac:dyDescent="0.25"/>
    <row r="51809" hidden="1" x14ac:dyDescent="0.25"/>
    <row r="51810" hidden="1" x14ac:dyDescent="0.25"/>
    <row r="51811" hidden="1" x14ac:dyDescent="0.25"/>
    <row r="51812" hidden="1" x14ac:dyDescent="0.25"/>
    <row r="51813" hidden="1" x14ac:dyDescent="0.25"/>
    <row r="51814" hidden="1" x14ac:dyDescent="0.25"/>
    <row r="51815" hidden="1" x14ac:dyDescent="0.25"/>
    <row r="51816" hidden="1" x14ac:dyDescent="0.25"/>
    <row r="51817" hidden="1" x14ac:dyDescent="0.25"/>
    <row r="51818" hidden="1" x14ac:dyDescent="0.25"/>
    <row r="51819" hidden="1" x14ac:dyDescent="0.25"/>
    <row r="51820" hidden="1" x14ac:dyDescent="0.25"/>
    <row r="51821" hidden="1" x14ac:dyDescent="0.25"/>
    <row r="51822" hidden="1" x14ac:dyDescent="0.25"/>
    <row r="51823" hidden="1" x14ac:dyDescent="0.25"/>
    <row r="51824" hidden="1" x14ac:dyDescent="0.25"/>
    <row r="51825" hidden="1" x14ac:dyDescent="0.25"/>
    <row r="51826" hidden="1" x14ac:dyDescent="0.25"/>
    <row r="51827" hidden="1" x14ac:dyDescent="0.25"/>
    <row r="51828" hidden="1" x14ac:dyDescent="0.25"/>
    <row r="51829" hidden="1" x14ac:dyDescent="0.25"/>
    <row r="51830" hidden="1" x14ac:dyDescent="0.25"/>
    <row r="51831" hidden="1" x14ac:dyDescent="0.25"/>
    <row r="51832" hidden="1" x14ac:dyDescent="0.25"/>
    <row r="51833" hidden="1" x14ac:dyDescent="0.25"/>
    <row r="51834" hidden="1" x14ac:dyDescent="0.25"/>
    <row r="51835" hidden="1" x14ac:dyDescent="0.25"/>
    <row r="51836" hidden="1" x14ac:dyDescent="0.25"/>
    <row r="51837" hidden="1" x14ac:dyDescent="0.25"/>
    <row r="51838" hidden="1" x14ac:dyDescent="0.25"/>
    <row r="51839" hidden="1" x14ac:dyDescent="0.25"/>
    <row r="51840" hidden="1" x14ac:dyDescent="0.25"/>
    <row r="51841" hidden="1" x14ac:dyDescent="0.25"/>
    <row r="51842" hidden="1" x14ac:dyDescent="0.25"/>
    <row r="51843" hidden="1" x14ac:dyDescent="0.25"/>
    <row r="51844" hidden="1" x14ac:dyDescent="0.25"/>
    <row r="51845" hidden="1" x14ac:dyDescent="0.25"/>
    <row r="51846" hidden="1" x14ac:dyDescent="0.25"/>
    <row r="51847" hidden="1" x14ac:dyDescent="0.25"/>
    <row r="51848" hidden="1" x14ac:dyDescent="0.25"/>
    <row r="51849" hidden="1" x14ac:dyDescent="0.25"/>
    <row r="51850" hidden="1" x14ac:dyDescent="0.25"/>
    <row r="51851" hidden="1" x14ac:dyDescent="0.25"/>
    <row r="51852" hidden="1" x14ac:dyDescent="0.25"/>
    <row r="51853" hidden="1" x14ac:dyDescent="0.25"/>
    <row r="51854" hidden="1" x14ac:dyDescent="0.25"/>
    <row r="51855" hidden="1" x14ac:dyDescent="0.25"/>
    <row r="51856" hidden="1" x14ac:dyDescent="0.25"/>
    <row r="51857" hidden="1" x14ac:dyDescent="0.25"/>
    <row r="51858" hidden="1" x14ac:dyDescent="0.25"/>
    <row r="51859" hidden="1" x14ac:dyDescent="0.25"/>
    <row r="51860" hidden="1" x14ac:dyDescent="0.25"/>
    <row r="51861" hidden="1" x14ac:dyDescent="0.25"/>
    <row r="51862" hidden="1" x14ac:dyDescent="0.25"/>
    <row r="51863" hidden="1" x14ac:dyDescent="0.25"/>
    <row r="51864" hidden="1" x14ac:dyDescent="0.25"/>
    <row r="51865" hidden="1" x14ac:dyDescent="0.25"/>
    <row r="51866" hidden="1" x14ac:dyDescent="0.25"/>
    <row r="51867" hidden="1" x14ac:dyDescent="0.25"/>
    <row r="51868" hidden="1" x14ac:dyDescent="0.25"/>
    <row r="51869" hidden="1" x14ac:dyDescent="0.25"/>
    <row r="51870" hidden="1" x14ac:dyDescent="0.25"/>
    <row r="51871" hidden="1" x14ac:dyDescent="0.25"/>
    <row r="51872" hidden="1" x14ac:dyDescent="0.25"/>
    <row r="51873" hidden="1" x14ac:dyDescent="0.25"/>
    <row r="51874" hidden="1" x14ac:dyDescent="0.25"/>
    <row r="51875" hidden="1" x14ac:dyDescent="0.25"/>
    <row r="51876" hidden="1" x14ac:dyDescent="0.25"/>
    <row r="51877" hidden="1" x14ac:dyDescent="0.25"/>
    <row r="51878" hidden="1" x14ac:dyDescent="0.25"/>
    <row r="51879" hidden="1" x14ac:dyDescent="0.25"/>
    <row r="51880" hidden="1" x14ac:dyDescent="0.25"/>
    <row r="51881" hidden="1" x14ac:dyDescent="0.25"/>
    <row r="51882" hidden="1" x14ac:dyDescent="0.25"/>
    <row r="51883" hidden="1" x14ac:dyDescent="0.25"/>
    <row r="51884" hidden="1" x14ac:dyDescent="0.25"/>
    <row r="51885" hidden="1" x14ac:dyDescent="0.25"/>
    <row r="51886" hidden="1" x14ac:dyDescent="0.25"/>
    <row r="51887" hidden="1" x14ac:dyDescent="0.25"/>
    <row r="51888" hidden="1" x14ac:dyDescent="0.25"/>
    <row r="51889" hidden="1" x14ac:dyDescent="0.25"/>
    <row r="51890" hidden="1" x14ac:dyDescent="0.25"/>
    <row r="51891" hidden="1" x14ac:dyDescent="0.25"/>
    <row r="51892" hidden="1" x14ac:dyDescent="0.25"/>
    <row r="51893" hidden="1" x14ac:dyDescent="0.25"/>
    <row r="51894" hidden="1" x14ac:dyDescent="0.25"/>
    <row r="51895" hidden="1" x14ac:dyDescent="0.25"/>
    <row r="51896" hidden="1" x14ac:dyDescent="0.25"/>
    <row r="51897" hidden="1" x14ac:dyDescent="0.25"/>
    <row r="51898" hidden="1" x14ac:dyDescent="0.25"/>
    <row r="51899" hidden="1" x14ac:dyDescent="0.25"/>
    <row r="51900" hidden="1" x14ac:dyDescent="0.25"/>
    <row r="51901" hidden="1" x14ac:dyDescent="0.25"/>
    <row r="51902" hidden="1" x14ac:dyDescent="0.25"/>
    <row r="51903" hidden="1" x14ac:dyDescent="0.25"/>
    <row r="51904" hidden="1" x14ac:dyDescent="0.25"/>
    <row r="51905" hidden="1" x14ac:dyDescent="0.25"/>
    <row r="51906" hidden="1" x14ac:dyDescent="0.25"/>
    <row r="51907" hidden="1" x14ac:dyDescent="0.25"/>
    <row r="51908" hidden="1" x14ac:dyDescent="0.25"/>
    <row r="51909" hidden="1" x14ac:dyDescent="0.25"/>
    <row r="51910" hidden="1" x14ac:dyDescent="0.25"/>
    <row r="51911" hidden="1" x14ac:dyDescent="0.25"/>
    <row r="51912" hidden="1" x14ac:dyDescent="0.25"/>
    <row r="51913" hidden="1" x14ac:dyDescent="0.25"/>
    <row r="51914" hidden="1" x14ac:dyDescent="0.25"/>
    <row r="51915" hidden="1" x14ac:dyDescent="0.25"/>
    <row r="51916" hidden="1" x14ac:dyDescent="0.25"/>
    <row r="51917" hidden="1" x14ac:dyDescent="0.25"/>
    <row r="51918" hidden="1" x14ac:dyDescent="0.25"/>
    <row r="51919" hidden="1" x14ac:dyDescent="0.25"/>
    <row r="51920" hidden="1" x14ac:dyDescent="0.25"/>
    <row r="51921" hidden="1" x14ac:dyDescent="0.25"/>
    <row r="51922" hidden="1" x14ac:dyDescent="0.25"/>
    <row r="51923" hidden="1" x14ac:dyDescent="0.25"/>
    <row r="51924" hidden="1" x14ac:dyDescent="0.25"/>
    <row r="51925" hidden="1" x14ac:dyDescent="0.25"/>
    <row r="51926" hidden="1" x14ac:dyDescent="0.25"/>
    <row r="51927" hidden="1" x14ac:dyDescent="0.25"/>
    <row r="51928" hidden="1" x14ac:dyDescent="0.25"/>
    <row r="51929" hidden="1" x14ac:dyDescent="0.25"/>
    <row r="51930" hidden="1" x14ac:dyDescent="0.25"/>
    <row r="51931" hidden="1" x14ac:dyDescent="0.25"/>
    <row r="51932" hidden="1" x14ac:dyDescent="0.25"/>
    <row r="51933" hidden="1" x14ac:dyDescent="0.25"/>
    <row r="51934" hidden="1" x14ac:dyDescent="0.25"/>
    <row r="51935" hidden="1" x14ac:dyDescent="0.25"/>
    <row r="51936" hidden="1" x14ac:dyDescent="0.25"/>
    <row r="51937" hidden="1" x14ac:dyDescent="0.25"/>
    <row r="51938" hidden="1" x14ac:dyDescent="0.25"/>
    <row r="51939" hidden="1" x14ac:dyDescent="0.25"/>
    <row r="51940" hidden="1" x14ac:dyDescent="0.25"/>
    <row r="51941" hidden="1" x14ac:dyDescent="0.25"/>
    <row r="51942" hidden="1" x14ac:dyDescent="0.25"/>
    <row r="51943" hidden="1" x14ac:dyDescent="0.25"/>
    <row r="51944" hidden="1" x14ac:dyDescent="0.25"/>
    <row r="51945" hidden="1" x14ac:dyDescent="0.25"/>
    <row r="51946" hidden="1" x14ac:dyDescent="0.25"/>
    <row r="51947" hidden="1" x14ac:dyDescent="0.25"/>
    <row r="51948" hidden="1" x14ac:dyDescent="0.25"/>
    <row r="51949" hidden="1" x14ac:dyDescent="0.25"/>
    <row r="51950" hidden="1" x14ac:dyDescent="0.25"/>
    <row r="51951" hidden="1" x14ac:dyDescent="0.25"/>
    <row r="51952" hidden="1" x14ac:dyDescent="0.25"/>
    <row r="51953" hidden="1" x14ac:dyDescent="0.25"/>
    <row r="51954" hidden="1" x14ac:dyDescent="0.25"/>
    <row r="51955" hidden="1" x14ac:dyDescent="0.25"/>
    <row r="51956" hidden="1" x14ac:dyDescent="0.25"/>
    <row r="51957" hidden="1" x14ac:dyDescent="0.25"/>
    <row r="51958" hidden="1" x14ac:dyDescent="0.25"/>
    <row r="51959" hidden="1" x14ac:dyDescent="0.25"/>
    <row r="51960" hidden="1" x14ac:dyDescent="0.25"/>
    <row r="51961" hidden="1" x14ac:dyDescent="0.25"/>
    <row r="51962" hidden="1" x14ac:dyDescent="0.25"/>
    <row r="51963" hidden="1" x14ac:dyDescent="0.25"/>
    <row r="51964" hidden="1" x14ac:dyDescent="0.25"/>
    <row r="51965" hidden="1" x14ac:dyDescent="0.25"/>
    <row r="51966" hidden="1" x14ac:dyDescent="0.25"/>
    <row r="51967" hidden="1" x14ac:dyDescent="0.25"/>
    <row r="51968" hidden="1" x14ac:dyDescent="0.25"/>
    <row r="51969" hidden="1" x14ac:dyDescent="0.25"/>
    <row r="51970" hidden="1" x14ac:dyDescent="0.25"/>
    <row r="51971" hidden="1" x14ac:dyDescent="0.25"/>
    <row r="51972" hidden="1" x14ac:dyDescent="0.25"/>
    <row r="51973" hidden="1" x14ac:dyDescent="0.25"/>
    <row r="51974" hidden="1" x14ac:dyDescent="0.25"/>
    <row r="51975" hidden="1" x14ac:dyDescent="0.25"/>
    <row r="51976" hidden="1" x14ac:dyDescent="0.25"/>
    <row r="51977" hidden="1" x14ac:dyDescent="0.25"/>
    <row r="51978" hidden="1" x14ac:dyDescent="0.25"/>
    <row r="51979" hidden="1" x14ac:dyDescent="0.25"/>
    <row r="51980" hidden="1" x14ac:dyDescent="0.25"/>
    <row r="51981" hidden="1" x14ac:dyDescent="0.25"/>
    <row r="51982" hidden="1" x14ac:dyDescent="0.25"/>
    <row r="51983" hidden="1" x14ac:dyDescent="0.25"/>
    <row r="51984" hidden="1" x14ac:dyDescent="0.25"/>
    <row r="51985" hidden="1" x14ac:dyDescent="0.25"/>
    <row r="51986" hidden="1" x14ac:dyDescent="0.25"/>
    <row r="51987" hidden="1" x14ac:dyDescent="0.25"/>
    <row r="51988" hidden="1" x14ac:dyDescent="0.25"/>
    <row r="51989" hidden="1" x14ac:dyDescent="0.25"/>
    <row r="51990" hidden="1" x14ac:dyDescent="0.25"/>
    <row r="51991" hidden="1" x14ac:dyDescent="0.25"/>
    <row r="51992" hidden="1" x14ac:dyDescent="0.25"/>
    <row r="51993" hidden="1" x14ac:dyDescent="0.25"/>
    <row r="51994" hidden="1" x14ac:dyDescent="0.25"/>
    <row r="51995" hidden="1" x14ac:dyDescent="0.25"/>
    <row r="51996" hidden="1" x14ac:dyDescent="0.25"/>
    <row r="51997" hidden="1" x14ac:dyDescent="0.25"/>
    <row r="51998" hidden="1" x14ac:dyDescent="0.25"/>
    <row r="51999" hidden="1" x14ac:dyDescent="0.25"/>
    <row r="52000" hidden="1" x14ac:dyDescent="0.25"/>
    <row r="52001" hidden="1" x14ac:dyDescent="0.25"/>
    <row r="52002" hidden="1" x14ac:dyDescent="0.25"/>
    <row r="52003" hidden="1" x14ac:dyDescent="0.25"/>
    <row r="52004" hidden="1" x14ac:dyDescent="0.25"/>
    <row r="52005" hidden="1" x14ac:dyDescent="0.25"/>
    <row r="52006" hidden="1" x14ac:dyDescent="0.25"/>
    <row r="52007" hidden="1" x14ac:dyDescent="0.25"/>
    <row r="52008" hidden="1" x14ac:dyDescent="0.25"/>
    <row r="52009" hidden="1" x14ac:dyDescent="0.25"/>
    <row r="52010" hidden="1" x14ac:dyDescent="0.25"/>
    <row r="52011" hidden="1" x14ac:dyDescent="0.25"/>
    <row r="52012" hidden="1" x14ac:dyDescent="0.25"/>
    <row r="52013" hidden="1" x14ac:dyDescent="0.25"/>
    <row r="52014" hidden="1" x14ac:dyDescent="0.25"/>
    <row r="52015" hidden="1" x14ac:dyDescent="0.25"/>
    <row r="52016" hidden="1" x14ac:dyDescent="0.25"/>
    <row r="52017" hidden="1" x14ac:dyDescent="0.25"/>
    <row r="52018" hidden="1" x14ac:dyDescent="0.25"/>
    <row r="52019" hidden="1" x14ac:dyDescent="0.25"/>
    <row r="52020" hidden="1" x14ac:dyDescent="0.25"/>
    <row r="52021" hidden="1" x14ac:dyDescent="0.25"/>
    <row r="52022" hidden="1" x14ac:dyDescent="0.25"/>
    <row r="52023" hidden="1" x14ac:dyDescent="0.25"/>
    <row r="52024" hidden="1" x14ac:dyDescent="0.25"/>
    <row r="52025" hidden="1" x14ac:dyDescent="0.25"/>
    <row r="52026" hidden="1" x14ac:dyDescent="0.25"/>
    <row r="52027" hidden="1" x14ac:dyDescent="0.25"/>
    <row r="52028" hidden="1" x14ac:dyDescent="0.25"/>
    <row r="52029" hidden="1" x14ac:dyDescent="0.25"/>
    <row r="52030" hidden="1" x14ac:dyDescent="0.25"/>
    <row r="52031" hidden="1" x14ac:dyDescent="0.25"/>
    <row r="52032" hidden="1" x14ac:dyDescent="0.25"/>
    <row r="52033" hidden="1" x14ac:dyDescent="0.25"/>
    <row r="52034" hidden="1" x14ac:dyDescent="0.25"/>
    <row r="52035" hidden="1" x14ac:dyDescent="0.25"/>
    <row r="52036" hidden="1" x14ac:dyDescent="0.25"/>
    <row r="52037" hidden="1" x14ac:dyDescent="0.25"/>
    <row r="52038" hidden="1" x14ac:dyDescent="0.25"/>
    <row r="52039" hidden="1" x14ac:dyDescent="0.25"/>
    <row r="52040" hidden="1" x14ac:dyDescent="0.25"/>
    <row r="52041" hidden="1" x14ac:dyDescent="0.25"/>
    <row r="52042" hidden="1" x14ac:dyDescent="0.25"/>
    <row r="52043" hidden="1" x14ac:dyDescent="0.25"/>
    <row r="52044" hidden="1" x14ac:dyDescent="0.25"/>
    <row r="52045" hidden="1" x14ac:dyDescent="0.25"/>
    <row r="52046" hidden="1" x14ac:dyDescent="0.25"/>
    <row r="52047" hidden="1" x14ac:dyDescent="0.25"/>
    <row r="52048" hidden="1" x14ac:dyDescent="0.25"/>
    <row r="52049" hidden="1" x14ac:dyDescent="0.25"/>
    <row r="52050" hidden="1" x14ac:dyDescent="0.25"/>
    <row r="52051" hidden="1" x14ac:dyDescent="0.25"/>
    <row r="52052" hidden="1" x14ac:dyDescent="0.25"/>
    <row r="52053" hidden="1" x14ac:dyDescent="0.25"/>
    <row r="52054" hidden="1" x14ac:dyDescent="0.25"/>
    <row r="52055" hidden="1" x14ac:dyDescent="0.25"/>
    <row r="52056" hidden="1" x14ac:dyDescent="0.25"/>
    <row r="52057" hidden="1" x14ac:dyDescent="0.25"/>
    <row r="52058" hidden="1" x14ac:dyDescent="0.25"/>
    <row r="52059" hidden="1" x14ac:dyDescent="0.25"/>
    <row r="52060" hidden="1" x14ac:dyDescent="0.25"/>
    <row r="52061" hidden="1" x14ac:dyDescent="0.25"/>
    <row r="52062" hidden="1" x14ac:dyDescent="0.25"/>
    <row r="52063" hidden="1" x14ac:dyDescent="0.25"/>
    <row r="52064" hidden="1" x14ac:dyDescent="0.25"/>
    <row r="52065" hidden="1" x14ac:dyDescent="0.25"/>
    <row r="52066" hidden="1" x14ac:dyDescent="0.25"/>
    <row r="52067" hidden="1" x14ac:dyDescent="0.25"/>
    <row r="52068" hidden="1" x14ac:dyDescent="0.25"/>
    <row r="52069" hidden="1" x14ac:dyDescent="0.25"/>
    <row r="52070" hidden="1" x14ac:dyDescent="0.25"/>
    <row r="52071" hidden="1" x14ac:dyDescent="0.25"/>
    <row r="52072" hidden="1" x14ac:dyDescent="0.25"/>
    <row r="52073" hidden="1" x14ac:dyDescent="0.25"/>
    <row r="52074" hidden="1" x14ac:dyDescent="0.25"/>
    <row r="52075" hidden="1" x14ac:dyDescent="0.25"/>
    <row r="52076" hidden="1" x14ac:dyDescent="0.25"/>
    <row r="52077" hidden="1" x14ac:dyDescent="0.25"/>
    <row r="52078" hidden="1" x14ac:dyDescent="0.25"/>
    <row r="52079" hidden="1" x14ac:dyDescent="0.25"/>
    <row r="52080" hidden="1" x14ac:dyDescent="0.25"/>
    <row r="52081" hidden="1" x14ac:dyDescent="0.25"/>
    <row r="52082" hidden="1" x14ac:dyDescent="0.25"/>
    <row r="52083" hidden="1" x14ac:dyDescent="0.25"/>
    <row r="52084" hidden="1" x14ac:dyDescent="0.25"/>
    <row r="52085" hidden="1" x14ac:dyDescent="0.25"/>
    <row r="52086" hidden="1" x14ac:dyDescent="0.25"/>
    <row r="52087" hidden="1" x14ac:dyDescent="0.25"/>
    <row r="52088" hidden="1" x14ac:dyDescent="0.25"/>
    <row r="52089" hidden="1" x14ac:dyDescent="0.25"/>
    <row r="52090" hidden="1" x14ac:dyDescent="0.25"/>
    <row r="52091" hidden="1" x14ac:dyDescent="0.25"/>
    <row r="52092" hidden="1" x14ac:dyDescent="0.25"/>
    <row r="52093" hidden="1" x14ac:dyDescent="0.25"/>
    <row r="52094" hidden="1" x14ac:dyDescent="0.25"/>
    <row r="52095" hidden="1" x14ac:dyDescent="0.25"/>
    <row r="52096" hidden="1" x14ac:dyDescent="0.25"/>
    <row r="52097" hidden="1" x14ac:dyDescent="0.25"/>
    <row r="52098" hidden="1" x14ac:dyDescent="0.25"/>
    <row r="52099" hidden="1" x14ac:dyDescent="0.25"/>
    <row r="52100" hidden="1" x14ac:dyDescent="0.25"/>
    <row r="52101" hidden="1" x14ac:dyDescent="0.25"/>
    <row r="52102" hidden="1" x14ac:dyDescent="0.25"/>
    <row r="52103" hidden="1" x14ac:dyDescent="0.25"/>
    <row r="52104" hidden="1" x14ac:dyDescent="0.25"/>
    <row r="52105" hidden="1" x14ac:dyDescent="0.25"/>
    <row r="52106" hidden="1" x14ac:dyDescent="0.25"/>
    <row r="52107" hidden="1" x14ac:dyDescent="0.25"/>
    <row r="52108" hidden="1" x14ac:dyDescent="0.25"/>
    <row r="52109" hidden="1" x14ac:dyDescent="0.25"/>
    <row r="52110" hidden="1" x14ac:dyDescent="0.25"/>
    <row r="52111" hidden="1" x14ac:dyDescent="0.25"/>
    <row r="52112" hidden="1" x14ac:dyDescent="0.25"/>
    <row r="52113" hidden="1" x14ac:dyDescent="0.25"/>
    <row r="52114" hidden="1" x14ac:dyDescent="0.25"/>
    <row r="52115" hidden="1" x14ac:dyDescent="0.25"/>
    <row r="52116" hidden="1" x14ac:dyDescent="0.25"/>
    <row r="52117" hidden="1" x14ac:dyDescent="0.25"/>
    <row r="52118" hidden="1" x14ac:dyDescent="0.25"/>
    <row r="52119" hidden="1" x14ac:dyDescent="0.25"/>
    <row r="52120" hidden="1" x14ac:dyDescent="0.25"/>
    <row r="52121" hidden="1" x14ac:dyDescent="0.25"/>
    <row r="52122" hidden="1" x14ac:dyDescent="0.25"/>
    <row r="52123" hidden="1" x14ac:dyDescent="0.25"/>
    <row r="52124" hidden="1" x14ac:dyDescent="0.25"/>
    <row r="52125" hidden="1" x14ac:dyDescent="0.25"/>
    <row r="52126" hidden="1" x14ac:dyDescent="0.25"/>
    <row r="52127" hidden="1" x14ac:dyDescent="0.25"/>
    <row r="52128" hidden="1" x14ac:dyDescent="0.25"/>
    <row r="52129" hidden="1" x14ac:dyDescent="0.25"/>
    <row r="52130" hidden="1" x14ac:dyDescent="0.25"/>
    <row r="52131" hidden="1" x14ac:dyDescent="0.25"/>
    <row r="52132" hidden="1" x14ac:dyDescent="0.25"/>
    <row r="52133" hidden="1" x14ac:dyDescent="0.25"/>
    <row r="52134" hidden="1" x14ac:dyDescent="0.25"/>
    <row r="52135" hidden="1" x14ac:dyDescent="0.25"/>
    <row r="52136" hidden="1" x14ac:dyDescent="0.25"/>
    <row r="52137" hidden="1" x14ac:dyDescent="0.25"/>
    <row r="52138" hidden="1" x14ac:dyDescent="0.25"/>
    <row r="52139" hidden="1" x14ac:dyDescent="0.25"/>
    <row r="52140" hidden="1" x14ac:dyDescent="0.25"/>
    <row r="52141" hidden="1" x14ac:dyDescent="0.25"/>
    <row r="52142" hidden="1" x14ac:dyDescent="0.25"/>
    <row r="52143" hidden="1" x14ac:dyDescent="0.25"/>
    <row r="52144" hidden="1" x14ac:dyDescent="0.25"/>
    <row r="52145" hidden="1" x14ac:dyDescent="0.25"/>
    <row r="52146" hidden="1" x14ac:dyDescent="0.25"/>
    <row r="52147" hidden="1" x14ac:dyDescent="0.25"/>
    <row r="52148" hidden="1" x14ac:dyDescent="0.25"/>
    <row r="52149" hidden="1" x14ac:dyDescent="0.25"/>
    <row r="52150" hidden="1" x14ac:dyDescent="0.25"/>
    <row r="52151" hidden="1" x14ac:dyDescent="0.25"/>
    <row r="52152" hidden="1" x14ac:dyDescent="0.25"/>
    <row r="52153" hidden="1" x14ac:dyDescent="0.25"/>
    <row r="52154" hidden="1" x14ac:dyDescent="0.25"/>
    <row r="52155" hidden="1" x14ac:dyDescent="0.25"/>
    <row r="52156" hidden="1" x14ac:dyDescent="0.25"/>
    <row r="52157" hidden="1" x14ac:dyDescent="0.25"/>
    <row r="52158" hidden="1" x14ac:dyDescent="0.25"/>
    <row r="52159" hidden="1" x14ac:dyDescent="0.25"/>
    <row r="52160" hidden="1" x14ac:dyDescent="0.25"/>
    <row r="52161" hidden="1" x14ac:dyDescent="0.25"/>
    <row r="52162" hidden="1" x14ac:dyDescent="0.25"/>
    <row r="52163" hidden="1" x14ac:dyDescent="0.25"/>
    <row r="52164" hidden="1" x14ac:dyDescent="0.25"/>
    <row r="52165" hidden="1" x14ac:dyDescent="0.25"/>
    <row r="52166" hidden="1" x14ac:dyDescent="0.25"/>
    <row r="52167" hidden="1" x14ac:dyDescent="0.25"/>
    <row r="52168" hidden="1" x14ac:dyDescent="0.25"/>
    <row r="52169" hidden="1" x14ac:dyDescent="0.25"/>
    <row r="52170" hidden="1" x14ac:dyDescent="0.25"/>
    <row r="52171" hidden="1" x14ac:dyDescent="0.25"/>
    <row r="52172" hidden="1" x14ac:dyDescent="0.25"/>
    <row r="52173" hidden="1" x14ac:dyDescent="0.25"/>
    <row r="52174" hidden="1" x14ac:dyDescent="0.25"/>
    <row r="52175" hidden="1" x14ac:dyDescent="0.25"/>
    <row r="52176" hidden="1" x14ac:dyDescent="0.25"/>
    <row r="52177" hidden="1" x14ac:dyDescent="0.25"/>
    <row r="52178" hidden="1" x14ac:dyDescent="0.25"/>
    <row r="52179" hidden="1" x14ac:dyDescent="0.25"/>
    <row r="52180" hidden="1" x14ac:dyDescent="0.25"/>
    <row r="52181" hidden="1" x14ac:dyDescent="0.25"/>
    <row r="52182" hidden="1" x14ac:dyDescent="0.25"/>
    <row r="52183" hidden="1" x14ac:dyDescent="0.25"/>
    <row r="52184" hidden="1" x14ac:dyDescent="0.25"/>
    <row r="52185" hidden="1" x14ac:dyDescent="0.25"/>
    <row r="52186" hidden="1" x14ac:dyDescent="0.25"/>
    <row r="52187" hidden="1" x14ac:dyDescent="0.25"/>
    <row r="52188" hidden="1" x14ac:dyDescent="0.25"/>
    <row r="52189" hidden="1" x14ac:dyDescent="0.25"/>
    <row r="52190" hidden="1" x14ac:dyDescent="0.25"/>
    <row r="52191" hidden="1" x14ac:dyDescent="0.25"/>
    <row r="52192" hidden="1" x14ac:dyDescent="0.25"/>
    <row r="52193" hidden="1" x14ac:dyDescent="0.25"/>
    <row r="52194" hidden="1" x14ac:dyDescent="0.25"/>
    <row r="52195" hidden="1" x14ac:dyDescent="0.25"/>
    <row r="52196" hidden="1" x14ac:dyDescent="0.25"/>
    <row r="52197" hidden="1" x14ac:dyDescent="0.25"/>
    <row r="52198" hidden="1" x14ac:dyDescent="0.25"/>
    <row r="52199" hidden="1" x14ac:dyDescent="0.25"/>
    <row r="52200" hidden="1" x14ac:dyDescent="0.25"/>
    <row r="52201" hidden="1" x14ac:dyDescent="0.25"/>
    <row r="52202" hidden="1" x14ac:dyDescent="0.25"/>
    <row r="52203" hidden="1" x14ac:dyDescent="0.25"/>
    <row r="52204" hidden="1" x14ac:dyDescent="0.25"/>
    <row r="52205" hidden="1" x14ac:dyDescent="0.25"/>
    <row r="52206" hidden="1" x14ac:dyDescent="0.25"/>
    <row r="52207" hidden="1" x14ac:dyDescent="0.25"/>
    <row r="52208" hidden="1" x14ac:dyDescent="0.25"/>
    <row r="52209" hidden="1" x14ac:dyDescent="0.25"/>
    <row r="52210" hidden="1" x14ac:dyDescent="0.25"/>
    <row r="52211" hidden="1" x14ac:dyDescent="0.25"/>
    <row r="52212" hidden="1" x14ac:dyDescent="0.25"/>
    <row r="52213" hidden="1" x14ac:dyDescent="0.25"/>
    <row r="52214" hidden="1" x14ac:dyDescent="0.25"/>
    <row r="52215" hidden="1" x14ac:dyDescent="0.25"/>
    <row r="52216" hidden="1" x14ac:dyDescent="0.25"/>
    <row r="52217" hidden="1" x14ac:dyDescent="0.25"/>
    <row r="52218" hidden="1" x14ac:dyDescent="0.25"/>
    <row r="52219" hidden="1" x14ac:dyDescent="0.25"/>
    <row r="52220" hidden="1" x14ac:dyDescent="0.25"/>
    <row r="52221" hidden="1" x14ac:dyDescent="0.25"/>
    <row r="52222" hidden="1" x14ac:dyDescent="0.25"/>
    <row r="52223" hidden="1" x14ac:dyDescent="0.25"/>
    <row r="52224" hidden="1" x14ac:dyDescent="0.25"/>
    <row r="52225" hidden="1" x14ac:dyDescent="0.25"/>
    <row r="52226" hidden="1" x14ac:dyDescent="0.25"/>
    <row r="52227" hidden="1" x14ac:dyDescent="0.25"/>
    <row r="52228" hidden="1" x14ac:dyDescent="0.25"/>
    <row r="52229" hidden="1" x14ac:dyDescent="0.25"/>
    <row r="52230" hidden="1" x14ac:dyDescent="0.25"/>
    <row r="52231" hidden="1" x14ac:dyDescent="0.25"/>
    <row r="52232" hidden="1" x14ac:dyDescent="0.25"/>
    <row r="52233" hidden="1" x14ac:dyDescent="0.25"/>
    <row r="52234" hidden="1" x14ac:dyDescent="0.25"/>
    <row r="52235" hidden="1" x14ac:dyDescent="0.25"/>
    <row r="52236" hidden="1" x14ac:dyDescent="0.25"/>
    <row r="52237" hidden="1" x14ac:dyDescent="0.25"/>
    <row r="52238" hidden="1" x14ac:dyDescent="0.25"/>
    <row r="52239" hidden="1" x14ac:dyDescent="0.25"/>
    <row r="52240" hidden="1" x14ac:dyDescent="0.25"/>
    <row r="52241" hidden="1" x14ac:dyDescent="0.25"/>
    <row r="52242" hidden="1" x14ac:dyDescent="0.25"/>
    <row r="52243" hidden="1" x14ac:dyDescent="0.25"/>
    <row r="52244" hidden="1" x14ac:dyDescent="0.25"/>
    <row r="52245" hidden="1" x14ac:dyDescent="0.25"/>
    <row r="52246" hidden="1" x14ac:dyDescent="0.25"/>
    <row r="52247" hidden="1" x14ac:dyDescent="0.25"/>
    <row r="52248" hidden="1" x14ac:dyDescent="0.25"/>
    <row r="52249" hidden="1" x14ac:dyDescent="0.25"/>
    <row r="52250" hidden="1" x14ac:dyDescent="0.25"/>
    <row r="52251" hidden="1" x14ac:dyDescent="0.25"/>
    <row r="52252" hidden="1" x14ac:dyDescent="0.25"/>
    <row r="52253" hidden="1" x14ac:dyDescent="0.25"/>
    <row r="52254" hidden="1" x14ac:dyDescent="0.25"/>
    <row r="52255" hidden="1" x14ac:dyDescent="0.25"/>
    <row r="52256" hidden="1" x14ac:dyDescent="0.25"/>
    <row r="52257" hidden="1" x14ac:dyDescent="0.25"/>
    <row r="52258" hidden="1" x14ac:dyDescent="0.25"/>
    <row r="52259" hidden="1" x14ac:dyDescent="0.25"/>
    <row r="52260" hidden="1" x14ac:dyDescent="0.25"/>
    <row r="52261" hidden="1" x14ac:dyDescent="0.25"/>
    <row r="52262" hidden="1" x14ac:dyDescent="0.25"/>
    <row r="52263" hidden="1" x14ac:dyDescent="0.25"/>
    <row r="52264" hidden="1" x14ac:dyDescent="0.25"/>
    <row r="52265" hidden="1" x14ac:dyDescent="0.25"/>
    <row r="52266" hidden="1" x14ac:dyDescent="0.25"/>
    <row r="52267" hidden="1" x14ac:dyDescent="0.25"/>
    <row r="52268" hidden="1" x14ac:dyDescent="0.25"/>
    <row r="52269" hidden="1" x14ac:dyDescent="0.25"/>
    <row r="52270" hidden="1" x14ac:dyDescent="0.25"/>
    <row r="52271" hidden="1" x14ac:dyDescent="0.25"/>
    <row r="52272" hidden="1" x14ac:dyDescent="0.25"/>
    <row r="52273" hidden="1" x14ac:dyDescent="0.25"/>
    <row r="52274" hidden="1" x14ac:dyDescent="0.25"/>
    <row r="52275" hidden="1" x14ac:dyDescent="0.25"/>
    <row r="52276" hidden="1" x14ac:dyDescent="0.25"/>
    <row r="52277" hidden="1" x14ac:dyDescent="0.25"/>
    <row r="52278" hidden="1" x14ac:dyDescent="0.25"/>
    <row r="52279" hidden="1" x14ac:dyDescent="0.25"/>
    <row r="52280" hidden="1" x14ac:dyDescent="0.25"/>
    <row r="52281" hidden="1" x14ac:dyDescent="0.25"/>
    <row r="52282" hidden="1" x14ac:dyDescent="0.25"/>
    <row r="52283" hidden="1" x14ac:dyDescent="0.25"/>
    <row r="52284" hidden="1" x14ac:dyDescent="0.25"/>
    <row r="52285" hidden="1" x14ac:dyDescent="0.25"/>
    <row r="52286" hidden="1" x14ac:dyDescent="0.25"/>
    <row r="52287" hidden="1" x14ac:dyDescent="0.25"/>
    <row r="52288" hidden="1" x14ac:dyDescent="0.25"/>
    <row r="52289" hidden="1" x14ac:dyDescent="0.25"/>
    <row r="52290" hidden="1" x14ac:dyDescent="0.25"/>
    <row r="52291" hidden="1" x14ac:dyDescent="0.25"/>
    <row r="52292" hidden="1" x14ac:dyDescent="0.25"/>
    <row r="52293" hidden="1" x14ac:dyDescent="0.25"/>
    <row r="52294" hidden="1" x14ac:dyDescent="0.25"/>
    <row r="52295" hidden="1" x14ac:dyDescent="0.25"/>
    <row r="52296" hidden="1" x14ac:dyDescent="0.25"/>
    <row r="52297" hidden="1" x14ac:dyDescent="0.25"/>
    <row r="52298" hidden="1" x14ac:dyDescent="0.25"/>
    <row r="52299" hidden="1" x14ac:dyDescent="0.25"/>
    <row r="52300" hidden="1" x14ac:dyDescent="0.25"/>
    <row r="52301" hidden="1" x14ac:dyDescent="0.25"/>
    <row r="52302" hidden="1" x14ac:dyDescent="0.25"/>
    <row r="52303" hidden="1" x14ac:dyDescent="0.25"/>
    <row r="52304" hidden="1" x14ac:dyDescent="0.25"/>
    <row r="52305" hidden="1" x14ac:dyDescent="0.25"/>
    <row r="52306" hidden="1" x14ac:dyDescent="0.25"/>
    <row r="52307" hidden="1" x14ac:dyDescent="0.25"/>
    <row r="52308" hidden="1" x14ac:dyDescent="0.25"/>
    <row r="52309" hidden="1" x14ac:dyDescent="0.25"/>
    <row r="52310" hidden="1" x14ac:dyDescent="0.25"/>
    <row r="52311" hidden="1" x14ac:dyDescent="0.25"/>
    <row r="52312" hidden="1" x14ac:dyDescent="0.25"/>
    <row r="52313" hidden="1" x14ac:dyDescent="0.25"/>
    <row r="52314" hidden="1" x14ac:dyDescent="0.25"/>
    <row r="52315" hidden="1" x14ac:dyDescent="0.25"/>
    <row r="52316" hidden="1" x14ac:dyDescent="0.25"/>
    <row r="52317" hidden="1" x14ac:dyDescent="0.25"/>
    <row r="52318" hidden="1" x14ac:dyDescent="0.25"/>
    <row r="52319" hidden="1" x14ac:dyDescent="0.25"/>
    <row r="52320" hidden="1" x14ac:dyDescent="0.25"/>
    <row r="52321" hidden="1" x14ac:dyDescent="0.25"/>
    <row r="52322" hidden="1" x14ac:dyDescent="0.25"/>
    <row r="52323" hidden="1" x14ac:dyDescent="0.25"/>
    <row r="52324" hidden="1" x14ac:dyDescent="0.25"/>
    <row r="52325" hidden="1" x14ac:dyDescent="0.25"/>
    <row r="52326" hidden="1" x14ac:dyDescent="0.25"/>
    <row r="52327" hidden="1" x14ac:dyDescent="0.25"/>
    <row r="52328" hidden="1" x14ac:dyDescent="0.25"/>
    <row r="52329" hidden="1" x14ac:dyDescent="0.25"/>
    <row r="52330" hidden="1" x14ac:dyDescent="0.25"/>
    <row r="52331" hidden="1" x14ac:dyDescent="0.25"/>
    <row r="52332" hidden="1" x14ac:dyDescent="0.25"/>
    <row r="52333" hidden="1" x14ac:dyDescent="0.25"/>
    <row r="52334" hidden="1" x14ac:dyDescent="0.25"/>
    <row r="52335" hidden="1" x14ac:dyDescent="0.25"/>
    <row r="52336" hidden="1" x14ac:dyDescent="0.25"/>
    <row r="52337" hidden="1" x14ac:dyDescent="0.25"/>
    <row r="52338" hidden="1" x14ac:dyDescent="0.25"/>
    <row r="52339" hidden="1" x14ac:dyDescent="0.25"/>
    <row r="52340" hidden="1" x14ac:dyDescent="0.25"/>
    <row r="52341" hidden="1" x14ac:dyDescent="0.25"/>
    <row r="52342" hidden="1" x14ac:dyDescent="0.25"/>
    <row r="52343" hidden="1" x14ac:dyDescent="0.25"/>
    <row r="52344" hidden="1" x14ac:dyDescent="0.25"/>
    <row r="52345" hidden="1" x14ac:dyDescent="0.25"/>
    <row r="52346" hidden="1" x14ac:dyDescent="0.25"/>
    <row r="52347" hidden="1" x14ac:dyDescent="0.25"/>
    <row r="52348" hidden="1" x14ac:dyDescent="0.25"/>
    <row r="52349" hidden="1" x14ac:dyDescent="0.25"/>
    <row r="52350" hidden="1" x14ac:dyDescent="0.25"/>
    <row r="52351" hidden="1" x14ac:dyDescent="0.25"/>
    <row r="52352" hidden="1" x14ac:dyDescent="0.25"/>
    <row r="52353" hidden="1" x14ac:dyDescent="0.25"/>
    <row r="52354" hidden="1" x14ac:dyDescent="0.25"/>
    <row r="52355" hidden="1" x14ac:dyDescent="0.25"/>
    <row r="52356" hidden="1" x14ac:dyDescent="0.25"/>
    <row r="52357" hidden="1" x14ac:dyDescent="0.25"/>
    <row r="52358" hidden="1" x14ac:dyDescent="0.25"/>
    <row r="52359" hidden="1" x14ac:dyDescent="0.25"/>
    <row r="52360" hidden="1" x14ac:dyDescent="0.25"/>
    <row r="52361" hidden="1" x14ac:dyDescent="0.25"/>
    <row r="52362" hidden="1" x14ac:dyDescent="0.25"/>
    <row r="52363" hidden="1" x14ac:dyDescent="0.25"/>
    <row r="52364" hidden="1" x14ac:dyDescent="0.25"/>
    <row r="52365" hidden="1" x14ac:dyDescent="0.25"/>
    <row r="52366" hidden="1" x14ac:dyDescent="0.25"/>
    <row r="52367" hidden="1" x14ac:dyDescent="0.25"/>
    <row r="52368" hidden="1" x14ac:dyDescent="0.25"/>
    <row r="52369" hidden="1" x14ac:dyDescent="0.25"/>
    <row r="52370" hidden="1" x14ac:dyDescent="0.25"/>
    <row r="52371" hidden="1" x14ac:dyDescent="0.25"/>
    <row r="52372" hidden="1" x14ac:dyDescent="0.25"/>
    <row r="52373" hidden="1" x14ac:dyDescent="0.25"/>
    <row r="52374" hidden="1" x14ac:dyDescent="0.25"/>
    <row r="52375" hidden="1" x14ac:dyDescent="0.25"/>
    <row r="52376" hidden="1" x14ac:dyDescent="0.25"/>
    <row r="52377" hidden="1" x14ac:dyDescent="0.25"/>
    <row r="52378" hidden="1" x14ac:dyDescent="0.25"/>
    <row r="52379" hidden="1" x14ac:dyDescent="0.25"/>
    <row r="52380" hidden="1" x14ac:dyDescent="0.25"/>
    <row r="52381" hidden="1" x14ac:dyDescent="0.25"/>
    <row r="52382" hidden="1" x14ac:dyDescent="0.25"/>
    <row r="52383" hidden="1" x14ac:dyDescent="0.25"/>
    <row r="52384" hidden="1" x14ac:dyDescent="0.25"/>
    <row r="52385" hidden="1" x14ac:dyDescent="0.25"/>
    <row r="52386" hidden="1" x14ac:dyDescent="0.25"/>
    <row r="52387" hidden="1" x14ac:dyDescent="0.25"/>
    <row r="52388" hidden="1" x14ac:dyDescent="0.25"/>
    <row r="52389" hidden="1" x14ac:dyDescent="0.25"/>
    <row r="52390" hidden="1" x14ac:dyDescent="0.25"/>
    <row r="52391" hidden="1" x14ac:dyDescent="0.25"/>
    <row r="52392" hidden="1" x14ac:dyDescent="0.25"/>
    <row r="52393" hidden="1" x14ac:dyDescent="0.25"/>
    <row r="52394" hidden="1" x14ac:dyDescent="0.25"/>
    <row r="52395" hidden="1" x14ac:dyDescent="0.25"/>
    <row r="52396" hidden="1" x14ac:dyDescent="0.25"/>
    <row r="52397" hidden="1" x14ac:dyDescent="0.25"/>
    <row r="52398" hidden="1" x14ac:dyDescent="0.25"/>
    <row r="52399" hidden="1" x14ac:dyDescent="0.25"/>
    <row r="52400" hidden="1" x14ac:dyDescent="0.25"/>
    <row r="52401" hidden="1" x14ac:dyDescent="0.25"/>
    <row r="52402" hidden="1" x14ac:dyDescent="0.25"/>
    <row r="52403" hidden="1" x14ac:dyDescent="0.25"/>
    <row r="52404" hidden="1" x14ac:dyDescent="0.25"/>
    <row r="52405" hidden="1" x14ac:dyDescent="0.25"/>
    <row r="52406" hidden="1" x14ac:dyDescent="0.25"/>
    <row r="52407" hidden="1" x14ac:dyDescent="0.25"/>
    <row r="52408" hidden="1" x14ac:dyDescent="0.25"/>
    <row r="52409" hidden="1" x14ac:dyDescent="0.25"/>
    <row r="52410" hidden="1" x14ac:dyDescent="0.25"/>
    <row r="52411" hidden="1" x14ac:dyDescent="0.25"/>
    <row r="52412" hidden="1" x14ac:dyDescent="0.25"/>
    <row r="52413" hidden="1" x14ac:dyDescent="0.25"/>
    <row r="52414" hidden="1" x14ac:dyDescent="0.25"/>
    <row r="52415" hidden="1" x14ac:dyDescent="0.25"/>
    <row r="52416" hidden="1" x14ac:dyDescent="0.25"/>
    <row r="52417" hidden="1" x14ac:dyDescent="0.25"/>
    <row r="52418" hidden="1" x14ac:dyDescent="0.25"/>
    <row r="52419" hidden="1" x14ac:dyDescent="0.25"/>
    <row r="52420" hidden="1" x14ac:dyDescent="0.25"/>
    <row r="52421" hidden="1" x14ac:dyDescent="0.25"/>
    <row r="52422" hidden="1" x14ac:dyDescent="0.25"/>
    <row r="52423" hidden="1" x14ac:dyDescent="0.25"/>
    <row r="52424" hidden="1" x14ac:dyDescent="0.25"/>
    <row r="52425" hidden="1" x14ac:dyDescent="0.25"/>
    <row r="52426" hidden="1" x14ac:dyDescent="0.25"/>
    <row r="52427" hidden="1" x14ac:dyDescent="0.25"/>
    <row r="52428" hidden="1" x14ac:dyDescent="0.25"/>
    <row r="52429" hidden="1" x14ac:dyDescent="0.25"/>
    <row r="52430" hidden="1" x14ac:dyDescent="0.25"/>
    <row r="52431" hidden="1" x14ac:dyDescent="0.25"/>
    <row r="52432" hidden="1" x14ac:dyDescent="0.25"/>
    <row r="52433" hidden="1" x14ac:dyDescent="0.25"/>
    <row r="52434" hidden="1" x14ac:dyDescent="0.25"/>
    <row r="52435" hidden="1" x14ac:dyDescent="0.25"/>
    <row r="52436" hidden="1" x14ac:dyDescent="0.25"/>
    <row r="52437" hidden="1" x14ac:dyDescent="0.25"/>
    <row r="52438" hidden="1" x14ac:dyDescent="0.25"/>
    <row r="52439" hidden="1" x14ac:dyDescent="0.25"/>
    <row r="52440" hidden="1" x14ac:dyDescent="0.25"/>
    <row r="52441" hidden="1" x14ac:dyDescent="0.25"/>
    <row r="52442" hidden="1" x14ac:dyDescent="0.25"/>
    <row r="52443" hidden="1" x14ac:dyDescent="0.25"/>
    <row r="52444" hidden="1" x14ac:dyDescent="0.25"/>
    <row r="52445" hidden="1" x14ac:dyDescent="0.25"/>
    <row r="52446" hidden="1" x14ac:dyDescent="0.25"/>
    <row r="52447" hidden="1" x14ac:dyDescent="0.25"/>
    <row r="52448" hidden="1" x14ac:dyDescent="0.25"/>
    <row r="52449" hidden="1" x14ac:dyDescent="0.25"/>
    <row r="52450" hidden="1" x14ac:dyDescent="0.25"/>
    <row r="52451" hidden="1" x14ac:dyDescent="0.25"/>
    <row r="52452" hidden="1" x14ac:dyDescent="0.25"/>
    <row r="52453" hidden="1" x14ac:dyDescent="0.25"/>
    <row r="52454" hidden="1" x14ac:dyDescent="0.25"/>
    <row r="52455" hidden="1" x14ac:dyDescent="0.25"/>
    <row r="52456" hidden="1" x14ac:dyDescent="0.25"/>
    <row r="52457" hidden="1" x14ac:dyDescent="0.25"/>
    <row r="52458" hidden="1" x14ac:dyDescent="0.25"/>
    <row r="52459" hidden="1" x14ac:dyDescent="0.25"/>
    <row r="52460" hidden="1" x14ac:dyDescent="0.25"/>
    <row r="52461" hidden="1" x14ac:dyDescent="0.25"/>
    <row r="52462" hidden="1" x14ac:dyDescent="0.25"/>
    <row r="52463" hidden="1" x14ac:dyDescent="0.25"/>
    <row r="52464" hidden="1" x14ac:dyDescent="0.25"/>
    <row r="52465" hidden="1" x14ac:dyDescent="0.25"/>
    <row r="52466" hidden="1" x14ac:dyDescent="0.25"/>
    <row r="52467" hidden="1" x14ac:dyDescent="0.25"/>
    <row r="52468" hidden="1" x14ac:dyDescent="0.25"/>
    <row r="52469" hidden="1" x14ac:dyDescent="0.25"/>
    <row r="52470" hidden="1" x14ac:dyDescent="0.25"/>
    <row r="52471" hidden="1" x14ac:dyDescent="0.25"/>
    <row r="52472" hidden="1" x14ac:dyDescent="0.25"/>
    <row r="52473" hidden="1" x14ac:dyDescent="0.25"/>
    <row r="52474" hidden="1" x14ac:dyDescent="0.25"/>
    <row r="52475" hidden="1" x14ac:dyDescent="0.25"/>
    <row r="52476" hidden="1" x14ac:dyDescent="0.25"/>
    <row r="52477" hidden="1" x14ac:dyDescent="0.25"/>
    <row r="52478" hidden="1" x14ac:dyDescent="0.25"/>
    <row r="52479" hidden="1" x14ac:dyDescent="0.25"/>
    <row r="52480" hidden="1" x14ac:dyDescent="0.25"/>
    <row r="52481" hidden="1" x14ac:dyDescent="0.25"/>
    <row r="52482" hidden="1" x14ac:dyDescent="0.25"/>
    <row r="52483" hidden="1" x14ac:dyDescent="0.25"/>
    <row r="52484" hidden="1" x14ac:dyDescent="0.25"/>
    <row r="52485" hidden="1" x14ac:dyDescent="0.25"/>
    <row r="52486" hidden="1" x14ac:dyDescent="0.25"/>
    <row r="52487" hidden="1" x14ac:dyDescent="0.25"/>
    <row r="52488" hidden="1" x14ac:dyDescent="0.25"/>
    <row r="52489" hidden="1" x14ac:dyDescent="0.25"/>
    <row r="52490" hidden="1" x14ac:dyDescent="0.25"/>
    <row r="52491" hidden="1" x14ac:dyDescent="0.25"/>
    <row r="52492" hidden="1" x14ac:dyDescent="0.25"/>
    <row r="52493" hidden="1" x14ac:dyDescent="0.25"/>
    <row r="52494" hidden="1" x14ac:dyDescent="0.25"/>
    <row r="52495" hidden="1" x14ac:dyDescent="0.25"/>
    <row r="52496" hidden="1" x14ac:dyDescent="0.25"/>
    <row r="52497" hidden="1" x14ac:dyDescent="0.25"/>
    <row r="52498" hidden="1" x14ac:dyDescent="0.25"/>
    <row r="52499" hidden="1" x14ac:dyDescent="0.25"/>
    <row r="52500" hidden="1" x14ac:dyDescent="0.25"/>
    <row r="52501" hidden="1" x14ac:dyDescent="0.25"/>
    <row r="52502" hidden="1" x14ac:dyDescent="0.25"/>
    <row r="52503" hidden="1" x14ac:dyDescent="0.25"/>
    <row r="52504" hidden="1" x14ac:dyDescent="0.25"/>
    <row r="52505" hidden="1" x14ac:dyDescent="0.25"/>
    <row r="52506" hidden="1" x14ac:dyDescent="0.25"/>
    <row r="52507" hidden="1" x14ac:dyDescent="0.25"/>
    <row r="52508" hidden="1" x14ac:dyDescent="0.25"/>
    <row r="52509" hidden="1" x14ac:dyDescent="0.25"/>
    <row r="52510" hidden="1" x14ac:dyDescent="0.25"/>
    <row r="52511" hidden="1" x14ac:dyDescent="0.25"/>
    <row r="52512" hidden="1" x14ac:dyDescent="0.25"/>
    <row r="52513" hidden="1" x14ac:dyDescent="0.25"/>
    <row r="52514" hidden="1" x14ac:dyDescent="0.25"/>
    <row r="52515" hidden="1" x14ac:dyDescent="0.25"/>
    <row r="52516" hidden="1" x14ac:dyDescent="0.25"/>
    <row r="52517" hidden="1" x14ac:dyDescent="0.25"/>
    <row r="52518" hidden="1" x14ac:dyDescent="0.25"/>
    <row r="52519" hidden="1" x14ac:dyDescent="0.25"/>
    <row r="52520" hidden="1" x14ac:dyDescent="0.25"/>
    <row r="52521" hidden="1" x14ac:dyDescent="0.25"/>
    <row r="52522" hidden="1" x14ac:dyDescent="0.25"/>
    <row r="52523" hidden="1" x14ac:dyDescent="0.25"/>
    <row r="52524" hidden="1" x14ac:dyDescent="0.25"/>
    <row r="52525" hidden="1" x14ac:dyDescent="0.25"/>
    <row r="52526" hidden="1" x14ac:dyDescent="0.25"/>
    <row r="52527" hidden="1" x14ac:dyDescent="0.25"/>
    <row r="52528" hidden="1" x14ac:dyDescent="0.25"/>
    <row r="52529" hidden="1" x14ac:dyDescent="0.25"/>
    <row r="52530" hidden="1" x14ac:dyDescent="0.25"/>
    <row r="52531" hidden="1" x14ac:dyDescent="0.25"/>
    <row r="52532" hidden="1" x14ac:dyDescent="0.25"/>
    <row r="52533" hidden="1" x14ac:dyDescent="0.25"/>
    <row r="52534" hidden="1" x14ac:dyDescent="0.25"/>
    <row r="52535" hidden="1" x14ac:dyDescent="0.25"/>
    <row r="52536" hidden="1" x14ac:dyDescent="0.25"/>
    <row r="52537" hidden="1" x14ac:dyDescent="0.25"/>
    <row r="52538" hidden="1" x14ac:dyDescent="0.25"/>
    <row r="52539" hidden="1" x14ac:dyDescent="0.25"/>
    <row r="52540" hidden="1" x14ac:dyDescent="0.25"/>
    <row r="52541" hidden="1" x14ac:dyDescent="0.25"/>
    <row r="52542" hidden="1" x14ac:dyDescent="0.25"/>
    <row r="52543" hidden="1" x14ac:dyDescent="0.25"/>
    <row r="52544" hidden="1" x14ac:dyDescent="0.25"/>
    <row r="52545" hidden="1" x14ac:dyDescent="0.25"/>
    <row r="52546" hidden="1" x14ac:dyDescent="0.25"/>
    <row r="52547" hidden="1" x14ac:dyDescent="0.25"/>
    <row r="52548" hidden="1" x14ac:dyDescent="0.25"/>
    <row r="52549" hidden="1" x14ac:dyDescent="0.25"/>
    <row r="52550" hidden="1" x14ac:dyDescent="0.25"/>
    <row r="52551" hidden="1" x14ac:dyDescent="0.25"/>
    <row r="52552" hidden="1" x14ac:dyDescent="0.25"/>
    <row r="52553" hidden="1" x14ac:dyDescent="0.25"/>
    <row r="52554" hidden="1" x14ac:dyDescent="0.25"/>
    <row r="52555" hidden="1" x14ac:dyDescent="0.25"/>
    <row r="52556" hidden="1" x14ac:dyDescent="0.25"/>
    <row r="52557" hidden="1" x14ac:dyDescent="0.25"/>
    <row r="52558" hidden="1" x14ac:dyDescent="0.25"/>
    <row r="52559" hidden="1" x14ac:dyDescent="0.25"/>
    <row r="52560" hidden="1" x14ac:dyDescent="0.25"/>
    <row r="52561" hidden="1" x14ac:dyDescent="0.25"/>
    <row r="52562" hidden="1" x14ac:dyDescent="0.25"/>
    <row r="52563" hidden="1" x14ac:dyDescent="0.25"/>
    <row r="52564" hidden="1" x14ac:dyDescent="0.25"/>
    <row r="52565" hidden="1" x14ac:dyDescent="0.25"/>
    <row r="52566" hidden="1" x14ac:dyDescent="0.25"/>
    <row r="52567" hidden="1" x14ac:dyDescent="0.25"/>
    <row r="52568" hidden="1" x14ac:dyDescent="0.25"/>
    <row r="52569" hidden="1" x14ac:dyDescent="0.25"/>
    <row r="52570" hidden="1" x14ac:dyDescent="0.25"/>
    <row r="52571" hidden="1" x14ac:dyDescent="0.25"/>
    <row r="52572" hidden="1" x14ac:dyDescent="0.25"/>
    <row r="52573" hidden="1" x14ac:dyDescent="0.25"/>
    <row r="52574" hidden="1" x14ac:dyDescent="0.25"/>
    <row r="52575" hidden="1" x14ac:dyDescent="0.25"/>
    <row r="52576" hidden="1" x14ac:dyDescent="0.25"/>
    <row r="52577" hidden="1" x14ac:dyDescent="0.25"/>
    <row r="52578" hidden="1" x14ac:dyDescent="0.25"/>
    <row r="52579" hidden="1" x14ac:dyDescent="0.25"/>
    <row r="52580" hidden="1" x14ac:dyDescent="0.25"/>
    <row r="52581" hidden="1" x14ac:dyDescent="0.25"/>
    <row r="52582" hidden="1" x14ac:dyDescent="0.25"/>
    <row r="52583" hidden="1" x14ac:dyDescent="0.25"/>
    <row r="52584" hidden="1" x14ac:dyDescent="0.25"/>
    <row r="52585" hidden="1" x14ac:dyDescent="0.25"/>
    <row r="52586" hidden="1" x14ac:dyDescent="0.25"/>
    <row r="52587" hidden="1" x14ac:dyDescent="0.25"/>
    <row r="52588" hidden="1" x14ac:dyDescent="0.25"/>
    <row r="52589" hidden="1" x14ac:dyDescent="0.25"/>
    <row r="52590" hidden="1" x14ac:dyDescent="0.25"/>
    <row r="52591" hidden="1" x14ac:dyDescent="0.25"/>
    <row r="52592" hidden="1" x14ac:dyDescent="0.25"/>
    <row r="52593" hidden="1" x14ac:dyDescent="0.25"/>
    <row r="52594" hidden="1" x14ac:dyDescent="0.25"/>
    <row r="52595" hidden="1" x14ac:dyDescent="0.25"/>
    <row r="52596" hidden="1" x14ac:dyDescent="0.25"/>
    <row r="52597" hidden="1" x14ac:dyDescent="0.25"/>
    <row r="52598" hidden="1" x14ac:dyDescent="0.25"/>
    <row r="52599" hidden="1" x14ac:dyDescent="0.25"/>
    <row r="52600" hidden="1" x14ac:dyDescent="0.25"/>
    <row r="52601" hidden="1" x14ac:dyDescent="0.25"/>
    <row r="52602" hidden="1" x14ac:dyDescent="0.25"/>
    <row r="52603" hidden="1" x14ac:dyDescent="0.25"/>
    <row r="52604" hidden="1" x14ac:dyDescent="0.25"/>
    <row r="52605" hidden="1" x14ac:dyDescent="0.25"/>
    <row r="52606" hidden="1" x14ac:dyDescent="0.25"/>
    <row r="52607" hidden="1" x14ac:dyDescent="0.25"/>
    <row r="52608" hidden="1" x14ac:dyDescent="0.25"/>
    <row r="52609" hidden="1" x14ac:dyDescent="0.25"/>
    <row r="52610" hidden="1" x14ac:dyDescent="0.25"/>
    <row r="52611" hidden="1" x14ac:dyDescent="0.25"/>
    <row r="52612" hidden="1" x14ac:dyDescent="0.25"/>
    <row r="52613" hidden="1" x14ac:dyDescent="0.25"/>
    <row r="52614" hidden="1" x14ac:dyDescent="0.25"/>
    <row r="52615" hidden="1" x14ac:dyDescent="0.25"/>
    <row r="52616" hidden="1" x14ac:dyDescent="0.25"/>
    <row r="52617" hidden="1" x14ac:dyDescent="0.25"/>
    <row r="52618" hidden="1" x14ac:dyDescent="0.25"/>
    <row r="52619" hidden="1" x14ac:dyDescent="0.25"/>
    <row r="52620" hidden="1" x14ac:dyDescent="0.25"/>
    <row r="52621" hidden="1" x14ac:dyDescent="0.25"/>
    <row r="52622" hidden="1" x14ac:dyDescent="0.25"/>
    <row r="52623" hidden="1" x14ac:dyDescent="0.25"/>
    <row r="52624" hidden="1" x14ac:dyDescent="0.25"/>
    <row r="52625" hidden="1" x14ac:dyDescent="0.25"/>
    <row r="52626" hidden="1" x14ac:dyDescent="0.25"/>
    <row r="52627" hidden="1" x14ac:dyDescent="0.25"/>
    <row r="52628" hidden="1" x14ac:dyDescent="0.25"/>
    <row r="52629" hidden="1" x14ac:dyDescent="0.25"/>
    <row r="52630" hidden="1" x14ac:dyDescent="0.25"/>
    <row r="52631" hidden="1" x14ac:dyDescent="0.25"/>
    <row r="52632" hidden="1" x14ac:dyDescent="0.25"/>
    <row r="52633" hidden="1" x14ac:dyDescent="0.25"/>
    <row r="52634" hidden="1" x14ac:dyDescent="0.25"/>
    <row r="52635" hidden="1" x14ac:dyDescent="0.25"/>
    <row r="52636" hidden="1" x14ac:dyDescent="0.25"/>
    <row r="52637" hidden="1" x14ac:dyDescent="0.25"/>
    <row r="52638" hidden="1" x14ac:dyDescent="0.25"/>
    <row r="52639" hidden="1" x14ac:dyDescent="0.25"/>
    <row r="52640" hidden="1" x14ac:dyDescent="0.25"/>
    <row r="52641" hidden="1" x14ac:dyDescent="0.25"/>
    <row r="52642" hidden="1" x14ac:dyDescent="0.25"/>
    <row r="52643" hidden="1" x14ac:dyDescent="0.25"/>
    <row r="52644" hidden="1" x14ac:dyDescent="0.25"/>
    <row r="52645" hidden="1" x14ac:dyDescent="0.25"/>
    <row r="52646" hidden="1" x14ac:dyDescent="0.25"/>
    <row r="52647" hidden="1" x14ac:dyDescent="0.25"/>
    <row r="52648" hidden="1" x14ac:dyDescent="0.25"/>
    <row r="52649" hidden="1" x14ac:dyDescent="0.25"/>
    <row r="52650" hidden="1" x14ac:dyDescent="0.25"/>
    <row r="52651" hidden="1" x14ac:dyDescent="0.25"/>
    <row r="52652" hidden="1" x14ac:dyDescent="0.25"/>
    <row r="52653" hidden="1" x14ac:dyDescent="0.25"/>
    <row r="52654" hidden="1" x14ac:dyDescent="0.25"/>
    <row r="52655" hidden="1" x14ac:dyDescent="0.25"/>
    <row r="52656" hidden="1" x14ac:dyDescent="0.25"/>
    <row r="52657" hidden="1" x14ac:dyDescent="0.25"/>
    <row r="52658" hidden="1" x14ac:dyDescent="0.25"/>
    <row r="52659" hidden="1" x14ac:dyDescent="0.25"/>
    <row r="52660" hidden="1" x14ac:dyDescent="0.25"/>
    <row r="52661" hidden="1" x14ac:dyDescent="0.25"/>
    <row r="52662" hidden="1" x14ac:dyDescent="0.25"/>
    <row r="52663" hidden="1" x14ac:dyDescent="0.25"/>
    <row r="52664" hidden="1" x14ac:dyDescent="0.25"/>
    <row r="52665" hidden="1" x14ac:dyDescent="0.25"/>
    <row r="52666" hidden="1" x14ac:dyDescent="0.25"/>
    <row r="52667" hidden="1" x14ac:dyDescent="0.25"/>
    <row r="52668" hidden="1" x14ac:dyDescent="0.25"/>
    <row r="52669" hidden="1" x14ac:dyDescent="0.25"/>
    <row r="52670" hidden="1" x14ac:dyDescent="0.25"/>
    <row r="52671" hidden="1" x14ac:dyDescent="0.25"/>
    <row r="52672" hidden="1" x14ac:dyDescent="0.25"/>
    <row r="52673" hidden="1" x14ac:dyDescent="0.25"/>
    <row r="52674" hidden="1" x14ac:dyDescent="0.25"/>
    <row r="52675" hidden="1" x14ac:dyDescent="0.25"/>
    <row r="52676" hidden="1" x14ac:dyDescent="0.25"/>
    <row r="52677" hidden="1" x14ac:dyDescent="0.25"/>
    <row r="52678" hidden="1" x14ac:dyDescent="0.25"/>
    <row r="52679" hidden="1" x14ac:dyDescent="0.25"/>
    <row r="52680" hidden="1" x14ac:dyDescent="0.25"/>
    <row r="52681" hidden="1" x14ac:dyDescent="0.25"/>
    <row r="52682" hidden="1" x14ac:dyDescent="0.25"/>
    <row r="52683" hidden="1" x14ac:dyDescent="0.25"/>
    <row r="52684" hidden="1" x14ac:dyDescent="0.25"/>
    <row r="52685" hidden="1" x14ac:dyDescent="0.25"/>
    <row r="52686" hidden="1" x14ac:dyDescent="0.25"/>
    <row r="52687" hidden="1" x14ac:dyDescent="0.25"/>
    <row r="52688" hidden="1" x14ac:dyDescent="0.25"/>
    <row r="52689" hidden="1" x14ac:dyDescent="0.25"/>
    <row r="52690" hidden="1" x14ac:dyDescent="0.25"/>
    <row r="52691" hidden="1" x14ac:dyDescent="0.25"/>
    <row r="52692" hidden="1" x14ac:dyDescent="0.25"/>
    <row r="52693" hidden="1" x14ac:dyDescent="0.25"/>
    <row r="52694" hidden="1" x14ac:dyDescent="0.25"/>
    <row r="52695" hidden="1" x14ac:dyDescent="0.25"/>
    <row r="52696" hidden="1" x14ac:dyDescent="0.25"/>
    <row r="52697" hidden="1" x14ac:dyDescent="0.25"/>
    <row r="52698" hidden="1" x14ac:dyDescent="0.25"/>
    <row r="52699" hidden="1" x14ac:dyDescent="0.25"/>
    <row r="52700" hidden="1" x14ac:dyDescent="0.25"/>
    <row r="52701" hidden="1" x14ac:dyDescent="0.25"/>
    <row r="52702" hidden="1" x14ac:dyDescent="0.25"/>
    <row r="52703" hidden="1" x14ac:dyDescent="0.25"/>
    <row r="52704" hidden="1" x14ac:dyDescent="0.25"/>
    <row r="52705" hidden="1" x14ac:dyDescent="0.25"/>
    <row r="52706" hidden="1" x14ac:dyDescent="0.25"/>
    <row r="52707" hidden="1" x14ac:dyDescent="0.25"/>
    <row r="52708" hidden="1" x14ac:dyDescent="0.25"/>
    <row r="52709" hidden="1" x14ac:dyDescent="0.25"/>
    <row r="52710" hidden="1" x14ac:dyDescent="0.25"/>
    <row r="52711" hidden="1" x14ac:dyDescent="0.25"/>
    <row r="52712" hidden="1" x14ac:dyDescent="0.25"/>
    <row r="52713" hidden="1" x14ac:dyDescent="0.25"/>
    <row r="52714" hidden="1" x14ac:dyDescent="0.25"/>
    <row r="52715" hidden="1" x14ac:dyDescent="0.25"/>
    <row r="52716" hidden="1" x14ac:dyDescent="0.25"/>
    <row r="52717" hidden="1" x14ac:dyDescent="0.25"/>
    <row r="52718" hidden="1" x14ac:dyDescent="0.25"/>
    <row r="52719" hidden="1" x14ac:dyDescent="0.25"/>
    <row r="52720" hidden="1" x14ac:dyDescent="0.25"/>
    <row r="52721" hidden="1" x14ac:dyDescent="0.25"/>
    <row r="52722" hidden="1" x14ac:dyDescent="0.25"/>
    <row r="52723" hidden="1" x14ac:dyDescent="0.25"/>
    <row r="52724" hidden="1" x14ac:dyDescent="0.25"/>
    <row r="52725" hidden="1" x14ac:dyDescent="0.25"/>
    <row r="52726" hidden="1" x14ac:dyDescent="0.25"/>
    <row r="52727" hidden="1" x14ac:dyDescent="0.25"/>
    <row r="52728" hidden="1" x14ac:dyDescent="0.25"/>
    <row r="52729" hidden="1" x14ac:dyDescent="0.25"/>
    <row r="52730" hidden="1" x14ac:dyDescent="0.25"/>
    <row r="52731" hidden="1" x14ac:dyDescent="0.25"/>
    <row r="52732" hidden="1" x14ac:dyDescent="0.25"/>
    <row r="52733" hidden="1" x14ac:dyDescent="0.25"/>
    <row r="52734" hidden="1" x14ac:dyDescent="0.25"/>
    <row r="52735" hidden="1" x14ac:dyDescent="0.25"/>
    <row r="52736" hidden="1" x14ac:dyDescent="0.25"/>
    <row r="52737" hidden="1" x14ac:dyDescent="0.25"/>
    <row r="52738" hidden="1" x14ac:dyDescent="0.25"/>
    <row r="52739" hidden="1" x14ac:dyDescent="0.25"/>
    <row r="52740" hidden="1" x14ac:dyDescent="0.25"/>
    <row r="52741" hidden="1" x14ac:dyDescent="0.25"/>
    <row r="52742" hidden="1" x14ac:dyDescent="0.25"/>
    <row r="52743" hidden="1" x14ac:dyDescent="0.25"/>
    <row r="52744" hidden="1" x14ac:dyDescent="0.25"/>
    <row r="52745" hidden="1" x14ac:dyDescent="0.25"/>
    <row r="52746" hidden="1" x14ac:dyDescent="0.25"/>
    <row r="52747" hidden="1" x14ac:dyDescent="0.25"/>
    <row r="52748" hidden="1" x14ac:dyDescent="0.25"/>
    <row r="52749" hidden="1" x14ac:dyDescent="0.25"/>
    <row r="52750" hidden="1" x14ac:dyDescent="0.25"/>
    <row r="52751" hidden="1" x14ac:dyDescent="0.25"/>
    <row r="52752" hidden="1" x14ac:dyDescent="0.25"/>
    <row r="52753" hidden="1" x14ac:dyDescent="0.25"/>
    <row r="52754" hidden="1" x14ac:dyDescent="0.25"/>
    <row r="52755" hidden="1" x14ac:dyDescent="0.25"/>
    <row r="52756" hidden="1" x14ac:dyDescent="0.25"/>
    <row r="52757" hidden="1" x14ac:dyDescent="0.25"/>
    <row r="52758" hidden="1" x14ac:dyDescent="0.25"/>
    <row r="52759" hidden="1" x14ac:dyDescent="0.25"/>
    <row r="52760" hidden="1" x14ac:dyDescent="0.25"/>
    <row r="52761" hidden="1" x14ac:dyDescent="0.25"/>
    <row r="52762" hidden="1" x14ac:dyDescent="0.25"/>
    <row r="52763" hidden="1" x14ac:dyDescent="0.25"/>
    <row r="52764" hidden="1" x14ac:dyDescent="0.25"/>
    <row r="52765" hidden="1" x14ac:dyDescent="0.25"/>
    <row r="52766" hidden="1" x14ac:dyDescent="0.25"/>
    <row r="52767" hidden="1" x14ac:dyDescent="0.25"/>
    <row r="52768" hidden="1" x14ac:dyDescent="0.25"/>
    <row r="52769" hidden="1" x14ac:dyDescent="0.25"/>
    <row r="52770" hidden="1" x14ac:dyDescent="0.25"/>
    <row r="52771" hidden="1" x14ac:dyDescent="0.25"/>
    <row r="52772" hidden="1" x14ac:dyDescent="0.25"/>
    <row r="52773" hidden="1" x14ac:dyDescent="0.25"/>
    <row r="52774" hidden="1" x14ac:dyDescent="0.25"/>
    <row r="52775" hidden="1" x14ac:dyDescent="0.25"/>
    <row r="52776" hidden="1" x14ac:dyDescent="0.25"/>
    <row r="52777" hidden="1" x14ac:dyDescent="0.25"/>
    <row r="52778" hidden="1" x14ac:dyDescent="0.25"/>
    <row r="52779" hidden="1" x14ac:dyDescent="0.25"/>
    <row r="52780" hidden="1" x14ac:dyDescent="0.25"/>
    <row r="52781" hidden="1" x14ac:dyDescent="0.25"/>
    <row r="52782" hidden="1" x14ac:dyDescent="0.25"/>
    <row r="52783" hidden="1" x14ac:dyDescent="0.25"/>
    <row r="52784" hidden="1" x14ac:dyDescent="0.25"/>
    <row r="52785" hidden="1" x14ac:dyDescent="0.25"/>
    <row r="52786" hidden="1" x14ac:dyDescent="0.25"/>
    <row r="52787" hidden="1" x14ac:dyDescent="0.25"/>
    <row r="52788" hidden="1" x14ac:dyDescent="0.25"/>
    <row r="52789" hidden="1" x14ac:dyDescent="0.25"/>
    <row r="52790" hidden="1" x14ac:dyDescent="0.25"/>
    <row r="52791" hidden="1" x14ac:dyDescent="0.25"/>
    <row r="52792" hidden="1" x14ac:dyDescent="0.25"/>
    <row r="52793" hidden="1" x14ac:dyDescent="0.25"/>
    <row r="52794" hidden="1" x14ac:dyDescent="0.25"/>
    <row r="52795" hidden="1" x14ac:dyDescent="0.25"/>
    <row r="52796" hidden="1" x14ac:dyDescent="0.25"/>
    <row r="52797" hidden="1" x14ac:dyDescent="0.25"/>
    <row r="52798" hidden="1" x14ac:dyDescent="0.25"/>
    <row r="52799" hidden="1" x14ac:dyDescent="0.25"/>
    <row r="52800" hidden="1" x14ac:dyDescent="0.25"/>
    <row r="52801" hidden="1" x14ac:dyDescent="0.25"/>
    <row r="52802" hidden="1" x14ac:dyDescent="0.25"/>
    <row r="52803" hidden="1" x14ac:dyDescent="0.25"/>
    <row r="52804" hidden="1" x14ac:dyDescent="0.25"/>
    <row r="52805" hidden="1" x14ac:dyDescent="0.25"/>
    <row r="52806" hidden="1" x14ac:dyDescent="0.25"/>
    <row r="52807" hidden="1" x14ac:dyDescent="0.25"/>
    <row r="52808" hidden="1" x14ac:dyDescent="0.25"/>
    <row r="52809" hidden="1" x14ac:dyDescent="0.25"/>
    <row r="52810" hidden="1" x14ac:dyDescent="0.25"/>
    <row r="52811" hidden="1" x14ac:dyDescent="0.25"/>
    <row r="52812" hidden="1" x14ac:dyDescent="0.25"/>
    <row r="52813" hidden="1" x14ac:dyDescent="0.25"/>
    <row r="52814" hidden="1" x14ac:dyDescent="0.25"/>
    <row r="52815" hidden="1" x14ac:dyDescent="0.25"/>
    <row r="52816" hidden="1" x14ac:dyDescent="0.25"/>
    <row r="52817" hidden="1" x14ac:dyDescent="0.25"/>
    <row r="52818" hidden="1" x14ac:dyDescent="0.25"/>
    <row r="52819" hidden="1" x14ac:dyDescent="0.25"/>
    <row r="52820" hidden="1" x14ac:dyDescent="0.25"/>
    <row r="52821" hidden="1" x14ac:dyDescent="0.25"/>
    <row r="52822" hidden="1" x14ac:dyDescent="0.25"/>
    <row r="52823" hidden="1" x14ac:dyDescent="0.25"/>
    <row r="52824" hidden="1" x14ac:dyDescent="0.25"/>
    <row r="52825" hidden="1" x14ac:dyDescent="0.25"/>
    <row r="52826" hidden="1" x14ac:dyDescent="0.25"/>
    <row r="52827" hidden="1" x14ac:dyDescent="0.25"/>
    <row r="52828" hidden="1" x14ac:dyDescent="0.25"/>
    <row r="52829" hidden="1" x14ac:dyDescent="0.25"/>
    <row r="52830" hidden="1" x14ac:dyDescent="0.25"/>
    <row r="52831" hidden="1" x14ac:dyDescent="0.25"/>
    <row r="52832" hidden="1" x14ac:dyDescent="0.25"/>
    <row r="52833" hidden="1" x14ac:dyDescent="0.25"/>
    <row r="52834" hidden="1" x14ac:dyDescent="0.25"/>
    <row r="52835" hidden="1" x14ac:dyDescent="0.25"/>
    <row r="52836" hidden="1" x14ac:dyDescent="0.25"/>
    <row r="52837" hidden="1" x14ac:dyDescent="0.25"/>
    <row r="52838" hidden="1" x14ac:dyDescent="0.25"/>
    <row r="52839" hidden="1" x14ac:dyDescent="0.25"/>
    <row r="52840" hidden="1" x14ac:dyDescent="0.25"/>
    <row r="52841" hidden="1" x14ac:dyDescent="0.25"/>
    <row r="52842" hidden="1" x14ac:dyDescent="0.25"/>
    <row r="52843" hidden="1" x14ac:dyDescent="0.25"/>
    <row r="52844" hidden="1" x14ac:dyDescent="0.25"/>
    <row r="52845" hidden="1" x14ac:dyDescent="0.25"/>
    <row r="52846" hidden="1" x14ac:dyDescent="0.25"/>
    <row r="52847" hidden="1" x14ac:dyDescent="0.25"/>
    <row r="52848" hidden="1" x14ac:dyDescent="0.25"/>
    <row r="52849" hidden="1" x14ac:dyDescent="0.25"/>
    <row r="52850" hidden="1" x14ac:dyDescent="0.25"/>
    <row r="52851" hidden="1" x14ac:dyDescent="0.25"/>
    <row r="52852" hidden="1" x14ac:dyDescent="0.25"/>
    <row r="52853" hidden="1" x14ac:dyDescent="0.25"/>
    <row r="52854" hidden="1" x14ac:dyDescent="0.25"/>
    <row r="52855" hidden="1" x14ac:dyDescent="0.25"/>
    <row r="52856" hidden="1" x14ac:dyDescent="0.25"/>
    <row r="52857" hidden="1" x14ac:dyDescent="0.25"/>
    <row r="52858" hidden="1" x14ac:dyDescent="0.25"/>
    <row r="52859" hidden="1" x14ac:dyDescent="0.25"/>
    <row r="52860" hidden="1" x14ac:dyDescent="0.25"/>
    <row r="52861" hidden="1" x14ac:dyDescent="0.25"/>
    <row r="52862" hidden="1" x14ac:dyDescent="0.25"/>
    <row r="52863" hidden="1" x14ac:dyDescent="0.25"/>
    <row r="52864" hidden="1" x14ac:dyDescent="0.25"/>
    <row r="52865" hidden="1" x14ac:dyDescent="0.25"/>
    <row r="52866" hidden="1" x14ac:dyDescent="0.25"/>
    <row r="52867" hidden="1" x14ac:dyDescent="0.25"/>
    <row r="52868" hidden="1" x14ac:dyDescent="0.25"/>
    <row r="52869" hidden="1" x14ac:dyDescent="0.25"/>
    <row r="52870" hidden="1" x14ac:dyDescent="0.25"/>
    <row r="52871" hidden="1" x14ac:dyDescent="0.25"/>
    <row r="52872" hidden="1" x14ac:dyDescent="0.25"/>
    <row r="52873" hidden="1" x14ac:dyDescent="0.25"/>
    <row r="52874" hidden="1" x14ac:dyDescent="0.25"/>
    <row r="52875" hidden="1" x14ac:dyDescent="0.25"/>
    <row r="52876" hidden="1" x14ac:dyDescent="0.25"/>
    <row r="52877" hidden="1" x14ac:dyDescent="0.25"/>
    <row r="52878" hidden="1" x14ac:dyDescent="0.25"/>
    <row r="52879" hidden="1" x14ac:dyDescent="0.25"/>
    <row r="52880" hidden="1" x14ac:dyDescent="0.25"/>
    <row r="52881" hidden="1" x14ac:dyDescent="0.25"/>
    <row r="52882" hidden="1" x14ac:dyDescent="0.25"/>
    <row r="52883" hidden="1" x14ac:dyDescent="0.25"/>
    <row r="52884" hidden="1" x14ac:dyDescent="0.25"/>
    <row r="52885" hidden="1" x14ac:dyDescent="0.25"/>
    <row r="52886" hidden="1" x14ac:dyDescent="0.25"/>
    <row r="52887" hidden="1" x14ac:dyDescent="0.25"/>
    <row r="52888" hidden="1" x14ac:dyDescent="0.25"/>
    <row r="52889" hidden="1" x14ac:dyDescent="0.25"/>
    <row r="52890" hidden="1" x14ac:dyDescent="0.25"/>
    <row r="52891" hidden="1" x14ac:dyDescent="0.25"/>
    <row r="52892" hidden="1" x14ac:dyDescent="0.25"/>
    <row r="52893" hidden="1" x14ac:dyDescent="0.25"/>
    <row r="52894" hidden="1" x14ac:dyDescent="0.25"/>
    <row r="52895" hidden="1" x14ac:dyDescent="0.25"/>
    <row r="52896" hidden="1" x14ac:dyDescent="0.25"/>
    <row r="52897" hidden="1" x14ac:dyDescent="0.25"/>
    <row r="52898" hidden="1" x14ac:dyDescent="0.25"/>
    <row r="52899" hidden="1" x14ac:dyDescent="0.25"/>
    <row r="52900" hidden="1" x14ac:dyDescent="0.25"/>
    <row r="52901" hidden="1" x14ac:dyDescent="0.25"/>
    <row r="52902" hidden="1" x14ac:dyDescent="0.25"/>
    <row r="52903" hidden="1" x14ac:dyDescent="0.25"/>
    <row r="52904" hidden="1" x14ac:dyDescent="0.25"/>
    <row r="52905" hidden="1" x14ac:dyDescent="0.25"/>
    <row r="52906" hidden="1" x14ac:dyDescent="0.25"/>
    <row r="52907" hidden="1" x14ac:dyDescent="0.25"/>
    <row r="52908" hidden="1" x14ac:dyDescent="0.25"/>
    <row r="52909" hidden="1" x14ac:dyDescent="0.25"/>
    <row r="52910" hidden="1" x14ac:dyDescent="0.25"/>
    <row r="52911" hidden="1" x14ac:dyDescent="0.25"/>
    <row r="52912" hidden="1" x14ac:dyDescent="0.25"/>
    <row r="52913" hidden="1" x14ac:dyDescent="0.25"/>
    <row r="52914" hidden="1" x14ac:dyDescent="0.25"/>
    <row r="52915" hidden="1" x14ac:dyDescent="0.25"/>
    <row r="52916" hidden="1" x14ac:dyDescent="0.25"/>
    <row r="52917" hidden="1" x14ac:dyDescent="0.25"/>
    <row r="52918" hidden="1" x14ac:dyDescent="0.25"/>
    <row r="52919" hidden="1" x14ac:dyDescent="0.25"/>
    <row r="52920" hidden="1" x14ac:dyDescent="0.25"/>
    <row r="52921" hidden="1" x14ac:dyDescent="0.25"/>
    <row r="52922" hidden="1" x14ac:dyDescent="0.25"/>
    <row r="52923" hidden="1" x14ac:dyDescent="0.25"/>
    <row r="52924" hidden="1" x14ac:dyDescent="0.25"/>
    <row r="52925" hidden="1" x14ac:dyDescent="0.25"/>
    <row r="52926" hidden="1" x14ac:dyDescent="0.25"/>
    <row r="52927" hidden="1" x14ac:dyDescent="0.25"/>
    <row r="52928" hidden="1" x14ac:dyDescent="0.25"/>
    <row r="52929" hidden="1" x14ac:dyDescent="0.25"/>
    <row r="52930" hidden="1" x14ac:dyDescent="0.25"/>
    <row r="52931" hidden="1" x14ac:dyDescent="0.25"/>
    <row r="52932" hidden="1" x14ac:dyDescent="0.25"/>
    <row r="52933" hidden="1" x14ac:dyDescent="0.25"/>
    <row r="52934" hidden="1" x14ac:dyDescent="0.25"/>
    <row r="52935" hidden="1" x14ac:dyDescent="0.25"/>
    <row r="52936" hidden="1" x14ac:dyDescent="0.25"/>
    <row r="52937" hidden="1" x14ac:dyDescent="0.25"/>
    <row r="52938" hidden="1" x14ac:dyDescent="0.25"/>
    <row r="52939" hidden="1" x14ac:dyDescent="0.25"/>
    <row r="52940" hidden="1" x14ac:dyDescent="0.25"/>
    <row r="52941" hidden="1" x14ac:dyDescent="0.25"/>
    <row r="52942" hidden="1" x14ac:dyDescent="0.25"/>
    <row r="52943" hidden="1" x14ac:dyDescent="0.25"/>
    <row r="52944" hidden="1" x14ac:dyDescent="0.25"/>
    <row r="52945" hidden="1" x14ac:dyDescent="0.25"/>
    <row r="52946" hidden="1" x14ac:dyDescent="0.25"/>
    <row r="52947" hidden="1" x14ac:dyDescent="0.25"/>
    <row r="52948" hidden="1" x14ac:dyDescent="0.25"/>
    <row r="52949" hidden="1" x14ac:dyDescent="0.25"/>
    <row r="52950" hidden="1" x14ac:dyDescent="0.25"/>
    <row r="52951" hidden="1" x14ac:dyDescent="0.25"/>
    <row r="52952" hidden="1" x14ac:dyDescent="0.25"/>
    <row r="52953" hidden="1" x14ac:dyDescent="0.25"/>
    <row r="52954" hidden="1" x14ac:dyDescent="0.25"/>
    <row r="52955" hidden="1" x14ac:dyDescent="0.25"/>
    <row r="52956" hidden="1" x14ac:dyDescent="0.25"/>
    <row r="52957" hidden="1" x14ac:dyDescent="0.25"/>
    <row r="52958" hidden="1" x14ac:dyDescent="0.25"/>
    <row r="52959" hidden="1" x14ac:dyDescent="0.25"/>
    <row r="52960" hidden="1" x14ac:dyDescent="0.25"/>
    <row r="52961" hidden="1" x14ac:dyDescent="0.25"/>
    <row r="52962" hidden="1" x14ac:dyDescent="0.25"/>
    <row r="52963" hidden="1" x14ac:dyDescent="0.25"/>
    <row r="52964" hidden="1" x14ac:dyDescent="0.25"/>
    <row r="52965" hidden="1" x14ac:dyDescent="0.25"/>
    <row r="52966" hidden="1" x14ac:dyDescent="0.25"/>
    <row r="52967" hidden="1" x14ac:dyDescent="0.25"/>
    <row r="52968" hidden="1" x14ac:dyDescent="0.25"/>
    <row r="52969" hidden="1" x14ac:dyDescent="0.25"/>
    <row r="52970" hidden="1" x14ac:dyDescent="0.25"/>
    <row r="52971" hidden="1" x14ac:dyDescent="0.25"/>
    <row r="52972" hidden="1" x14ac:dyDescent="0.25"/>
    <row r="52973" hidden="1" x14ac:dyDescent="0.25"/>
    <row r="52974" hidden="1" x14ac:dyDescent="0.25"/>
    <row r="52975" hidden="1" x14ac:dyDescent="0.25"/>
    <row r="52976" hidden="1" x14ac:dyDescent="0.25"/>
    <row r="52977" hidden="1" x14ac:dyDescent="0.25"/>
    <row r="52978" hidden="1" x14ac:dyDescent="0.25"/>
    <row r="52979" hidden="1" x14ac:dyDescent="0.25"/>
    <row r="52980" hidden="1" x14ac:dyDescent="0.25"/>
    <row r="52981" hidden="1" x14ac:dyDescent="0.25"/>
    <row r="52982" hidden="1" x14ac:dyDescent="0.25"/>
    <row r="52983" hidden="1" x14ac:dyDescent="0.25"/>
    <row r="52984" hidden="1" x14ac:dyDescent="0.25"/>
    <row r="52985" hidden="1" x14ac:dyDescent="0.25"/>
    <row r="52986" hidden="1" x14ac:dyDescent="0.25"/>
    <row r="52987" hidden="1" x14ac:dyDescent="0.25"/>
    <row r="52988" hidden="1" x14ac:dyDescent="0.25"/>
    <row r="52989" hidden="1" x14ac:dyDescent="0.25"/>
    <row r="52990" hidden="1" x14ac:dyDescent="0.25"/>
    <row r="52991" hidden="1" x14ac:dyDescent="0.25"/>
    <row r="52992" hidden="1" x14ac:dyDescent="0.25"/>
    <row r="52993" hidden="1" x14ac:dyDescent="0.25"/>
    <row r="52994" hidden="1" x14ac:dyDescent="0.25"/>
    <row r="52995" hidden="1" x14ac:dyDescent="0.25"/>
    <row r="52996" hidden="1" x14ac:dyDescent="0.25"/>
    <row r="52997" hidden="1" x14ac:dyDescent="0.25"/>
    <row r="52998" hidden="1" x14ac:dyDescent="0.25"/>
    <row r="52999" hidden="1" x14ac:dyDescent="0.25"/>
    <row r="53000" hidden="1" x14ac:dyDescent="0.25"/>
    <row r="53001" hidden="1" x14ac:dyDescent="0.25"/>
    <row r="53002" hidden="1" x14ac:dyDescent="0.25"/>
    <row r="53003" hidden="1" x14ac:dyDescent="0.25"/>
    <row r="53004" hidden="1" x14ac:dyDescent="0.25"/>
    <row r="53005" hidden="1" x14ac:dyDescent="0.25"/>
    <row r="53006" hidden="1" x14ac:dyDescent="0.25"/>
    <row r="53007" hidden="1" x14ac:dyDescent="0.25"/>
    <row r="53008" hidden="1" x14ac:dyDescent="0.25"/>
    <row r="53009" hidden="1" x14ac:dyDescent="0.25"/>
    <row r="53010" hidden="1" x14ac:dyDescent="0.25"/>
    <row r="53011" hidden="1" x14ac:dyDescent="0.25"/>
    <row r="53012" hidden="1" x14ac:dyDescent="0.25"/>
    <row r="53013" hidden="1" x14ac:dyDescent="0.25"/>
    <row r="53014" hidden="1" x14ac:dyDescent="0.25"/>
    <row r="53015" hidden="1" x14ac:dyDescent="0.25"/>
    <row r="53016" hidden="1" x14ac:dyDescent="0.25"/>
    <row r="53017" hidden="1" x14ac:dyDescent="0.25"/>
    <row r="53018" hidden="1" x14ac:dyDescent="0.25"/>
    <row r="53019" hidden="1" x14ac:dyDescent="0.25"/>
    <row r="53020" hidden="1" x14ac:dyDescent="0.25"/>
    <row r="53021" hidden="1" x14ac:dyDescent="0.25"/>
    <row r="53022" hidden="1" x14ac:dyDescent="0.25"/>
    <row r="53023" hidden="1" x14ac:dyDescent="0.25"/>
    <row r="53024" hidden="1" x14ac:dyDescent="0.25"/>
    <row r="53025" hidden="1" x14ac:dyDescent="0.25"/>
    <row r="53026" hidden="1" x14ac:dyDescent="0.25"/>
    <row r="53027" hidden="1" x14ac:dyDescent="0.25"/>
    <row r="53028" hidden="1" x14ac:dyDescent="0.25"/>
    <row r="53029" hidden="1" x14ac:dyDescent="0.25"/>
    <row r="53030" hidden="1" x14ac:dyDescent="0.25"/>
    <row r="53031" hidden="1" x14ac:dyDescent="0.25"/>
    <row r="53032" hidden="1" x14ac:dyDescent="0.25"/>
    <row r="53033" hidden="1" x14ac:dyDescent="0.25"/>
    <row r="53034" hidden="1" x14ac:dyDescent="0.25"/>
    <row r="53035" hidden="1" x14ac:dyDescent="0.25"/>
    <row r="53036" hidden="1" x14ac:dyDescent="0.25"/>
    <row r="53037" hidden="1" x14ac:dyDescent="0.25"/>
    <row r="53038" hidden="1" x14ac:dyDescent="0.25"/>
    <row r="53039" hidden="1" x14ac:dyDescent="0.25"/>
    <row r="53040" hidden="1" x14ac:dyDescent="0.25"/>
    <row r="53041" hidden="1" x14ac:dyDescent="0.25"/>
    <row r="53042" hidden="1" x14ac:dyDescent="0.25"/>
    <row r="53043" hidden="1" x14ac:dyDescent="0.25"/>
    <row r="53044" hidden="1" x14ac:dyDescent="0.25"/>
    <row r="53045" hidden="1" x14ac:dyDescent="0.25"/>
    <row r="53046" hidden="1" x14ac:dyDescent="0.25"/>
    <row r="53047" hidden="1" x14ac:dyDescent="0.25"/>
    <row r="53048" hidden="1" x14ac:dyDescent="0.25"/>
    <row r="53049" hidden="1" x14ac:dyDescent="0.25"/>
    <row r="53050" hidden="1" x14ac:dyDescent="0.25"/>
    <row r="53051" hidden="1" x14ac:dyDescent="0.25"/>
    <row r="53052" hidden="1" x14ac:dyDescent="0.25"/>
    <row r="53053" hidden="1" x14ac:dyDescent="0.25"/>
    <row r="53054" hidden="1" x14ac:dyDescent="0.25"/>
    <row r="53055" hidden="1" x14ac:dyDescent="0.25"/>
    <row r="53056" hidden="1" x14ac:dyDescent="0.25"/>
    <row r="53057" hidden="1" x14ac:dyDescent="0.25"/>
    <row r="53058" hidden="1" x14ac:dyDescent="0.25"/>
    <row r="53059" hidden="1" x14ac:dyDescent="0.25"/>
    <row r="53060" hidden="1" x14ac:dyDescent="0.25"/>
    <row r="53061" hidden="1" x14ac:dyDescent="0.25"/>
    <row r="53062" hidden="1" x14ac:dyDescent="0.25"/>
    <row r="53063" hidden="1" x14ac:dyDescent="0.25"/>
    <row r="53064" hidden="1" x14ac:dyDescent="0.25"/>
    <row r="53065" hidden="1" x14ac:dyDescent="0.25"/>
    <row r="53066" hidden="1" x14ac:dyDescent="0.25"/>
    <row r="53067" hidden="1" x14ac:dyDescent="0.25"/>
    <row r="53068" hidden="1" x14ac:dyDescent="0.25"/>
    <row r="53069" hidden="1" x14ac:dyDescent="0.25"/>
    <row r="53070" hidden="1" x14ac:dyDescent="0.25"/>
    <row r="53071" hidden="1" x14ac:dyDescent="0.25"/>
    <row r="53072" hidden="1" x14ac:dyDescent="0.25"/>
    <row r="53073" hidden="1" x14ac:dyDescent="0.25"/>
    <row r="53074" hidden="1" x14ac:dyDescent="0.25"/>
    <row r="53075" hidden="1" x14ac:dyDescent="0.25"/>
    <row r="53076" hidden="1" x14ac:dyDescent="0.25"/>
    <row r="53077" hidden="1" x14ac:dyDescent="0.25"/>
    <row r="53078" hidden="1" x14ac:dyDescent="0.25"/>
    <row r="53079" hidden="1" x14ac:dyDescent="0.25"/>
    <row r="53080" hidden="1" x14ac:dyDescent="0.25"/>
    <row r="53081" hidden="1" x14ac:dyDescent="0.25"/>
    <row r="53082" hidden="1" x14ac:dyDescent="0.25"/>
    <row r="53083" hidden="1" x14ac:dyDescent="0.25"/>
    <row r="53084" hidden="1" x14ac:dyDescent="0.25"/>
    <row r="53085" hidden="1" x14ac:dyDescent="0.25"/>
    <row r="53086" hidden="1" x14ac:dyDescent="0.25"/>
    <row r="53087" hidden="1" x14ac:dyDescent="0.25"/>
    <row r="53088" hidden="1" x14ac:dyDescent="0.25"/>
    <row r="53089" hidden="1" x14ac:dyDescent="0.25"/>
    <row r="53090" hidden="1" x14ac:dyDescent="0.25"/>
    <row r="53091" hidden="1" x14ac:dyDescent="0.25"/>
    <row r="53092" hidden="1" x14ac:dyDescent="0.25"/>
    <row r="53093" hidden="1" x14ac:dyDescent="0.25"/>
    <row r="53094" hidden="1" x14ac:dyDescent="0.25"/>
    <row r="53095" hidden="1" x14ac:dyDescent="0.25"/>
    <row r="53096" hidden="1" x14ac:dyDescent="0.25"/>
    <row r="53097" hidden="1" x14ac:dyDescent="0.25"/>
    <row r="53098" hidden="1" x14ac:dyDescent="0.25"/>
    <row r="53099" hidden="1" x14ac:dyDescent="0.25"/>
    <row r="53100" hidden="1" x14ac:dyDescent="0.25"/>
    <row r="53101" hidden="1" x14ac:dyDescent="0.25"/>
    <row r="53102" hidden="1" x14ac:dyDescent="0.25"/>
    <row r="53103" hidden="1" x14ac:dyDescent="0.25"/>
    <row r="53104" hidden="1" x14ac:dyDescent="0.25"/>
    <row r="53105" hidden="1" x14ac:dyDescent="0.25"/>
    <row r="53106" hidden="1" x14ac:dyDescent="0.25"/>
    <row r="53107" hidden="1" x14ac:dyDescent="0.25"/>
    <row r="53108" hidden="1" x14ac:dyDescent="0.25"/>
    <row r="53109" hidden="1" x14ac:dyDescent="0.25"/>
    <row r="53110" hidden="1" x14ac:dyDescent="0.25"/>
    <row r="53111" hidden="1" x14ac:dyDescent="0.25"/>
    <row r="53112" hidden="1" x14ac:dyDescent="0.25"/>
    <row r="53113" hidden="1" x14ac:dyDescent="0.25"/>
    <row r="53114" hidden="1" x14ac:dyDescent="0.25"/>
    <row r="53115" hidden="1" x14ac:dyDescent="0.25"/>
    <row r="53116" hidden="1" x14ac:dyDescent="0.25"/>
    <row r="53117" hidden="1" x14ac:dyDescent="0.25"/>
    <row r="53118" hidden="1" x14ac:dyDescent="0.25"/>
    <row r="53119" hidden="1" x14ac:dyDescent="0.25"/>
    <row r="53120" hidden="1" x14ac:dyDescent="0.25"/>
    <row r="53121" hidden="1" x14ac:dyDescent="0.25"/>
    <row r="53122" hidden="1" x14ac:dyDescent="0.25"/>
    <row r="53123" hidden="1" x14ac:dyDescent="0.25"/>
    <row r="53124" hidden="1" x14ac:dyDescent="0.25"/>
    <row r="53125" hidden="1" x14ac:dyDescent="0.25"/>
    <row r="53126" hidden="1" x14ac:dyDescent="0.25"/>
    <row r="53127" hidden="1" x14ac:dyDescent="0.25"/>
    <row r="53128" hidden="1" x14ac:dyDescent="0.25"/>
    <row r="53129" hidden="1" x14ac:dyDescent="0.25"/>
    <row r="53130" hidden="1" x14ac:dyDescent="0.25"/>
    <row r="53131" hidden="1" x14ac:dyDescent="0.25"/>
    <row r="53132" hidden="1" x14ac:dyDescent="0.25"/>
    <row r="53133" hidden="1" x14ac:dyDescent="0.25"/>
    <row r="53134" hidden="1" x14ac:dyDescent="0.25"/>
    <row r="53135" hidden="1" x14ac:dyDescent="0.25"/>
    <row r="53136" hidden="1" x14ac:dyDescent="0.25"/>
    <row r="53137" hidden="1" x14ac:dyDescent="0.25"/>
    <row r="53138" hidden="1" x14ac:dyDescent="0.25"/>
    <row r="53139" hidden="1" x14ac:dyDescent="0.25"/>
    <row r="53140" hidden="1" x14ac:dyDescent="0.25"/>
    <row r="53141" hidden="1" x14ac:dyDescent="0.25"/>
    <row r="53142" hidden="1" x14ac:dyDescent="0.25"/>
    <row r="53143" hidden="1" x14ac:dyDescent="0.25"/>
    <row r="53144" hidden="1" x14ac:dyDescent="0.25"/>
    <row r="53145" hidden="1" x14ac:dyDescent="0.25"/>
    <row r="53146" hidden="1" x14ac:dyDescent="0.25"/>
    <row r="53147" hidden="1" x14ac:dyDescent="0.25"/>
    <row r="53148" hidden="1" x14ac:dyDescent="0.25"/>
    <row r="53149" hidden="1" x14ac:dyDescent="0.25"/>
    <row r="53150" hidden="1" x14ac:dyDescent="0.25"/>
    <row r="53151" hidden="1" x14ac:dyDescent="0.25"/>
    <row r="53152" hidden="1" x14ac:dyDescent="0.25"/>
    <row r="53153" hidden="1" x14ac:dyDescent="0.25"/>
    <row r="53154" hidden="1" x14ac:dyDescent="0.25"/>
    <row r="53155" hidden="1" x14ac:dyDescent="0.25"/>
    <row r="53156" hidden="1" x14ac:dyDescent="0.25"/>
    <row r="53157" hidden="1" x14ac:dyDescent="0.25"/>
    <row r="53158" hidden="1" x14ac:dyDescent="0.25"/>
    <row r="53159" hidden="1" x14ac:dyDescent="0.25"/>
    <row r="53160" hidden="1" x14ac:dyDescent="0.25"/>
    <row r="53161" hidden="1" x14ac:dyDescent="0.25"/>
    <row r="53162" hidden="1" x14ac:dyDescent="0.25"/>
    <row r="53163" hidden="1" x14ac:dyDescent="0.25"/>
    <row r="53164" hidden="1" x14ac:dyDescent="0.25"/>
    <row r="53165" hidden="1" x14ac:dyDescent="0.25"/>
    <row r="53166" hidden="1" x14ac:dyDescent="0.25"/>
    <row r="53167" hidden="1" x14ac:dyDescent="0.25"/>
    <row r="53168" hidden="1" x14ac:dyDescent="0.25"/>
    <row r="53169" hidden="1" x14ac:dyDescent="0.25"/>
    <row r="53170" hidden="1" x14ac:dyDescent="0.25"/>
    <row r="53171" hidden="1" x14ac:dyDescent="0.25"/>
    <row r="53172" hidden="1" x14ac:dyDescent="0.25"/>
    <row r="53173" hidden="1" x14ac:dyDescent="0.25"/>
    <row r="53174" hidden="1" x14ac:dyDescent="0.25"/>
    <row r="53175" hidden="1" x14ac:dyDescent="0.25"/>
    <row r="53176" hidden="1" x14ac:dyDescent="0.25"/>
    <row r="53177" hidden="1" x14ac:dyDescent="0.25"/>
    <row r="53178" hidden="1" x14ac:dyDescent="0.25"/>
    <row r="53179" hidden="1" x14ac:dyDescent="0.25"/>
    <row r="53180" hidden="1" x14ac:dyDescent="0.25"/>
    <row r="53181" hidden="1" x14ac:dyDescent="0.25"/>
    <row r="53182" hidden="1" x14ac:dyDescent="0.25"/>
    <row r="53183" hidden="1" x14ac:dyDescent="0.25"/>
    <row r="53184" hidden="1" x14ac:dyDescent="0.25"/>
    <row r="53185" hidden="1" x14ac:dyDescent="0.25"/>
    <row r="53186" hidden="1" x14ac:dyDescent="0.25"/>
    <row r="53187" hidden="1" x14ac:dyDescent="0.25"/>
    <row r="53188" hidden="1" x14ac:dyDescent="0.25"/>
    <row r="53189" hidden="1" x14ac:dyDescent="0.25"/>
    <row r="53190" hidden="1" x14ac:dyDescent="0.25"/>
    <row r="53191" hidden="1" x14ac:dyDescent="0.25"/>
    <row r="53192" hidden="1" x14ac:dyDescent="0.25"/>
    <row r="53193" hidden="1" x14ac:dyDescent="0.25"/>
    <row r="53194" hidden="1" x14ac:dyDescent="0.25"/>
    <row r="53195" hidden="1" x14ac:dyDescent="0.25"/>
    <row r="53196" hidden="1" x14ac:dyDescent="0.25"/>
    <row r="53197" hidden="1" x14ac:dyDescent="0.25"/>
    <row r="53198" hidden="1" x14ac:dyDescent="0.25"/>
    <row r="53199" hidden="1" x14ac:dyDescent="0.25"/>
    <row r="53200" hidden="1" x14ac:dyDescent="0.25"/>
    <row r="53201" hidden="1" x14ac:dyDescent="0.25"/>
    <row r="53202" hidden="1" x14ac:dyDescent="0.25"/>
    <row r="53203" hidden="1" x14ac:dyDescent="0.25"/>
    <row r="53204" hidden="1" x14ac:dyDescent="0.25"/>
    <row r="53205" hidden="1" x14ac:dyDescent="0.25"/>
    <row r="53206" hidden="1" x14ac:dyDescent="0.25"/>
    <row r="53207" hidden="1" x14ac:dyDescent="0.25"/>
    <row r="53208" hidden="1" x14ac:dyDescent="0.25"/>
    <row r="53209" hidden="1" x14ac:dyDescent="0.25"/>
    <row r="53210" hidden="1" x14ac:dyDescent="0.25"/>
    <row r="53211" hidden="1" x14ac:dyDescent="0.25"/>
    <row r="53212" hidden="1" x14ac:dyDescent="0.25"/>
    <row r="53213" hidden="1" x14ac:dyDescent="0.25"/>
    <row r="53214" hidden="1" x14ac:dyDescent="0.25"/>
    <row r="53215" hidden="1" x14ac:dyDescent="0.25"/>
    <row r="53216" hidden="1" x14ac:dyDescent="0.25"/>
    <row r="53217" hidden="1" x14ac:dyDescent="0.25"/>
    <row r="53218" hidden="1" x14ac:dyDescent="0.25"/>
    <row r="53219" hidden="1" x14ac:dyDescent="0.25"/>
    <row r="53220" hidden="1" x14ac:dyDescent="0.25"/>
    <row r="53221" hidden="1" x14ac:dyDescent="0.25"/>
    <row r="53222" hidden="1" x14ac:dyDescent="0.25"/>
    <row r="53223" hidden="1" x14ac:dyDescent="0.25"/>
    <row r="53224" hidden="1" x14ac:dyDescent="0.25"/>
    <row r="53225" hidden="1" x14ac:dyDescent="0.25"/>
    <row r="53226" hidden="1" x14ac:dyDescent="0.25"/>
    <row r="53227" hidden="1" x14ac:dyDescent="0.25"/>
    <row r="53228" hidden="1" x14ac:dyDescent="0.25"/>
    <row r="53229" hidden="1" x14ac:dyDescent="0.25"/>
    <row r="53230" hidden="1" x14ac:dyDescent="0.25"/>
    <row r="53231" hidden="1" x14ac:dyDescent="0.25"/>
    <row r="53232" hidden="1" x14ac:dyDescent="0.25"/>
    <row r="53233" hidden="1" x14ac:dyDescent="0.25"/>
    <row r="53234" hidden="1" x14ac:dyDescent="0.25"/>
    <row r="53235" hidden="1" x14ac:dyDescent="0.25"/>
    <row r="53236" hidden="1" x14ac:dyDescent="0.25"/>
    <row r="53237" hidden="1" x14ac:dyDescent="0.25"/>
    <row r="53238" hidden="1" x14ac:dyDescent="0.25"/>
    <row r="53239" hidden="1" x14ac:dyDescent="0.25"/>
    <row r="53240" hidden="1" x14ac:dyDescent="0.25"/>
    <row r="53241" hidden="1" x14ac:dyDescent="0.25"/>
    <row r="53242" hidden="1" x14ac:dyDescent="0.25"/>
    <row r="53243" hidden="1" x14ac:dyDescent="0.25"/>
    <row r="53244" hidden="1" x14ac:dyDescent="0.25"/>
    <row r="53245" hidden="1" x14ac:dyDescent="0.25"/>
    <row r="53246" hidden="1" x14ac:dyDescent="0.25"/>
    <row r="53247" hidden="1" x14ac:dyDescent="0.25"/>
    <row r="53248" hidden="1" x14ac:dyDescent="0.25"/>
    <row r="53249" hidden="1" x14ac:dyDescent="0.25"/>
    <row r="53250" hidden="1" x14ac:dyDescent="0.25"/>
    <row r="53251" hidden="1" x14ac:dyDescent="0.25"/>
    <row r="53252" hidden="1" x14ac:dyDescent="0.25"/>
    <row r="53253" hidden="1" x14ac:dyDescent="0.25"/>
    <row r="53254" hidden="1" x14ac:dyDescent="0.25"/>
    <row r="53255" hidden="1" x14ac:dyDescent="0.25"/>
    <row r="53256" hidden="1" x14ac:dyDescent="0.25"/>
    <row r="53257" hidden="1" x14ac:dyDescent="0.25"/>
    <row r="53258" hidden="1" x14ac:dyDescent="0.25"/>
    <row r="53259" hidden="1" x14ac:dyDescent="0.25"/>
    <row r="53260" hidden="1" x14ac:dyDescent="0.25"/>
    <row r="53261" hidden="1" x14ac:dyDescent="0.25"/>
    <row r="53262" hidden="1" x14ac:dyDescent="0.25"/>
    <row r="53263" hidden="1" x14ac:dyDescent="0.25"/>
    <row r="53264" hidden="1" x14ac:dyDescent="0.25"/>
    <row r="53265" hidden="1" x14ac:dyDescent="0.25"/>
    <row r="53266" hidden="1" x14ac:dyDescent="0.25"/>
    <row r="53267" hidden="1" x14ac:dyDescent="0.25"/>
    <row r="53268" hidden="1" x14ac:dyDescent="0.25"/>
    <row r="53269" hidden="1" x14ac:dyDescent="0.25"/>
    <row r="53270" hidden="1" x14ac:dyDescent="0.25"/>
    <row r="53271" hidden="1" x14ac:dyDescent="0.25"/>
    <row r="53272" hidden="1" x14ac:dyDescent="0.25"/>
    <row r="53273" hidden="1" x14ac:dyDescent="0.25"/>
    <row r="53274" hidden="1" x14ac:dyDescent="0.25"/>
    <row r="53275" hidden="1" x14ac:dyDescent="0.25"/>
    <row r="53276" hidden="1" x14ac:dyDescent="0.25"/>
    <row r="53277" hidden="1" x14ac:dyDescent="0.25"/>
    <row r="53278" hidden="1" x14ac:dyDescent="0.25"/>
    <row r="53279" hidden="1" x14ac:dyDescent="0.25"/>
    <row r="53280" hidden="1" x14ac:dyDescent="0.25"/>
    <row r="53281" hidden="1" x14ac:dyDescent="0.25"/>
    <row r="53282" hidden="1" x14ac:dyDescent="0.25"/>
    <row r="53283" hidden="1" x14ac:dyDescent="0.25"/>
    <row r="53284" hidden="1" x14ac:dyDescent="0.25"/>
    <row r="53285" hidden="1" x14ac:dyDescent="0.25"/>
    <row r="53286" hidden="1" x14ac:dyDescent="0.25"/>
    <row r="53287" hidden="1" x14ac:dyDescent="0.25"/>
    <row r="53288" hidden="1" x14ac:dyDescent="0.25"/>
    <row r="53289" hidden="1" x14ac:dyDescent="0.25"/>
    <row r="53290" hidden="1" x14ac:dyDescent="0.25"/>
    <row r="53291" hidden="1" x14ac:dyDescent="0.25"/>
    <row r="53292" hidden="1" x14ac:dyDescent="0.25"/>
    <row r="53293" hidden="1" x14ac:dyDescent="0.25"/>
    <row r="53294" hidden="1" x14ac:dyDescent="0.25"/>
    <row r="53295" hidden="1" x14ac:dyDescent="0.25"/>
    <row r="53296" hidden="1" x14ac:dyDescent="0.25"/>
    <row r="53297" hidden="1" x14ac:dyDescent="0.25"/>
    <row r="53298" hidden="1" x14ac:dyDescent="0.25"/>
    <row r="53299" hidden="1" x14ac:dyDescent="0.25"/>
    <row r="53300" hidden="1" x14ac:dyDescent="0.25"/>
    <row r="53301" hidden="1" x14ac:dyDescent="0.25"/>
    <row r="53302" hidden="1" x14ac:dyDescent="0.25"/>
    <row r="53303" hidden="1" x14ac:dyDescent="0.25"/>
    <row r="53304" hidden="1" x14ac:dyDescent="0.25"/>
    <row r="53305" hidden="1" x14ac:dyDescent="0.25"/>
    <row r="53306" hidden="1" x14ac:dyDescent="0.25"/>
    <row r="53307" hidden="1" x14ac:dyDescent="0.25"/>
    <row r="53308" hidden="1" x14ac:dyDescent="0.25"/>
    <row r="53309" hidden="1" x14ac:dyDescent="0.25"/>
    <row r="53310" hidden="1" x14ac:dyDescent="0.25"/>
    <row r="53311" hidden="1" x14ac:dyDescent="0.25"/>
    <row r="53312" hidden="1" x14ac:dyDescent="0.25"/>
    <row r="53313" hidden="1" x14ac:dyDescent="0.25"/>
    <row r="53314" hidden="1" x14ac:dyDescent="0.25"/>
    <row r="53315" hidden="1" x14ac:dyDescent="0.25"/>
    <row r="53316" hidden="1" x14ac:dyDescent="0.25"/>
    <row r="53317" hidden="1" x14ac:dyDescent="0.25"/>
    <row r="53318" hidden="1" x14ac:dyDescent="0.25"/>
    <row r="53319" hidden="1" x14ac:dyDescent="0.25"/>
    <row r="53320" hidden="1" x14ac:dyDescent="0.25"/>
    <row r="53321" hidden="1" x14ac:dyDescent="0.25"/>
    <row r="53322" hidden="1" x14ac:dyDescent="0.25"/>
    <row r="53323" hidden="1" x14ac:dyDescent="0.25"/>
    <row r="53324" hidden="1" x14ac:dyDescent="0.25"/>
    <row r="53325" hidden="1" x14ac:dyDescent="0.25"/>
    <row r="53326" hidden="1" x14ac:dyDescent="0.25"/>
    <row r="53327" hidden="1" x14ac:dyDescent="0.25"/>
    <row r="53328" hidden="1" x14ac:dyDescent="0.25"/>
    <row r="53329" hidden="1" x14ac:dyDescent="0.25"/>
    <row r="53330" hidden="1" x14ac:dyDescent="0.25"/>
    <row r="53331" hidden="1" x14ac:dyDescent="0.25"/>
    <row r="53332" hidden="1" x14ac:dyDescent="0.25"/>
    <row r="53333" hidden="1" x14ac:dyDescent="0.25"/>
    <row r="53334" hidden="1" x14ac:dyDescent="0.25"/>
    <row r="53335" hidden="1" x14ac:dyDescent="0.25"/>
    <row r="53336" hidden="1" x14ac:dyDescent="0.25"/>
    <row r="53337" hidden="1" x14ac:dyDescent="0.25"/>
    <row r="53338" hidden="1" x14ac:dyDescent="0.25"/>
    <row r="53339" hidden="1" x14ac:dyDescent="0.25"/>
    <row r="53340" hidden="1" x14ac:dyDescent="0.25"/>
    <row r="53341" hidden="1" x14ac:dyDescent="0.25"/>
    <row r="53342" hidden="1" x14ac:dyDescent="0.25"/>
    <row r="53343" hidden="1" x14ac:dyDescent="0.25"/>
    <row r="53344" hidden="1" x14ac:dyDescent="0.25"/>
    <row r="53345" hidden="1" x14ac:dyDescent="0.25"/>
    <row r="53346" hidden="1" x14ac:dyDescent="0.25"/>
    <row r="53347" hidden="1" x14ac:dyDescent="0.25"/>
    <row r="53348" hidden="1" x14ac:dyDescent="0.25"/>
    <row r="53349" hidden="1" x14ac:dyDescent="0.25"/>
    <row r="53350" hidden="1" x14ac:dyDescent="0.25"/>
    <row r="53351" hidden="1" x14ac:dyDescent="0.25"/>
    <row r="53352" hidden="1" x14ac:dyDescent="0.25"/>
    <row r="53353" hidden="1" x14ac:dyDescent="0.25"/>
    <row r="53354" hidden="1" x14ac:dyDescent="0.25"/>
    <row r="53355" hidden="1" x14ac:dyDescent="0.25"/>
    <row r="53356" hidden="1" x14ac:dyDescent="0.25"/>
    <row r="53357" hidden="1" x14ac:dyDescent="0.25"/>
    <row r="53358" hidden="1" x14ac:dyDescent="0.25"/>
    <row r="53359" hidden="1" x14ac:dyDescent="0.25"/>
    <row r="53360" hidden="1" x14ac:dyDescent="0.25"/>
    <row r="53361" hidden="1" x14ac:dyDescent="0.25"/>
    <row r="53362" hidden="1" x14ac:dyDescent="0.25"/>
    <row r="53363" hidden="1" x14ac:dyDescent="0.25"/>
    <row r="53364" hidden="1" x14ac:dyDescent="0.25"/>
    <row r="53365" hidden="1" x14ac:dyDescent="0.25"/>
    <row r="53366" hidden="1" x14ac:dyDescent="0.25"/>
    <row r="53367" hidden="1" x14ac:dyDescent="0.25"/>
    <row r="53368" hidden="1" x14ac:dyDescent="0.25"/>
    <row r="53369" hidden="1" x14ac:dyDescent="0.25"/>
    <row r="53370" hidden="1" x14ac:dyDescent="0.25"/>
    <row r="53371" hidden="1" x14ac:dyDescent="0.25"/>
    <row r="53372" hidden="1" x14ac:dyDescent="0.25"/>
    <row r="53373" hidden="1" x14ac:dyDescent="0.25"/>
    <row r="53374" hidden="1" x14ac:dyDescent="0.25"/>
    <row r="53375" hidden="1" x14ac:dyDescent="0.25"/>
    <row r="53376" hidden="1" x14ac:dyDescent="0.25"/>
    <row r="53377" hidden="1" x14ac:dyDescent="0.25"/>
    <row r="53378" hidden="1" x14ac:dyDescent="0.25"/>
    <row r="53379" hidden="1" x14ac:dyDescent="0.25"/>
    <row r="53380" hidden="1" x14ac:dyDescent="0.25"/>
    <row r="53381" hidden="1" x14ac:dyDescent="0.25"/>
    <row r="53382" hidden="1" x14ac:dyDescent="0.25"/>
    <row r="53383" hidden="1" x14ac:dyDescent="0.25"/>
    <row r="53384" hidden="1" x14ac:dyDescent="0.25"/>
    <row r="53385" hidden="1" x14ac:dyDescent="0.25"/>
    <row r="53386" hidden="1" x14ac:dyDescent="0.25"/>
    <row r="53387" hidden="1" x14ac:dyDescent="0.25"/>
    <row r="53388" hidden="1" x14ac:dyDescent="0.25"/>
    <row r="53389" hidden="1" x14ac:dyDescent="0.25"/>
    <row r="53390" hidden="1" x14ac:dyDescent="0.25"/>
    <row r="53391" hidden="1" x14ac:dyDescent="0.25"/>
    <row r="53392" hidden="1" x14ac:dyDescent="0.25"/>
    <row r="53393" hidden="1" x14ac:dyDescent="0.25"/>
    <row r="53394" hidden="1" x14ac:dyDescent="0.25"/>
    <row r="53395" hidden="1" x14ac:dyDescent="0.25"/>
    <row r="53396" hidden="1" x14ac:dyDescent="0.25"/>
    <row r="53397" hidden="1" x14ac:dyDescent="0.25"/>
    <row r="53398" hidden="1" x14ac:dyDescent="0.25"/>
    <row r="53399" hidden="1" x14ac:dyDescent="0.25"/>
    <row r="53400" hidden="1" x14ac:dyDescent="0.25"/>
    <row r="53401" hidden="1" x14ac:dyDescent="0.25"/>
    <row r="53402" hidden="1" x14ac:dyDescent="0.25"/>
    <row r="53403" hidden="1" x14ac:dyDescent="0.25"/>
    <row r="53404" hidden="1" x14ac:dyDescent="0.25"/>
    <row r="53405" hidden="1" x14ac:dyDescent="0.25"/>
    <row r="53406" hidden="1" x14ac:dyDescent="0.25"/>
    <row r="53407" hidden="1" x14ac:dyDescent="0.25"/>
    <row r="53408" hidden="1" x14ac:dyDescent="0.25"/>
    <row r="53409" hidden="1" x14ac:dyDescent="0.25"/>
    <row r="53410" hidden="1" x14ac:dyDescent="0.25"/>
    <row r="53411" hidden="1" x14ac:dyDescent="0.25"/>
    <row r="53412" hidden="1" x14ac:dyDescent="0.25"/>
    <row r="53413" hidden="1" x14ac:dyDescent="0.25"/>
    <row r="53414" hidden="1" x14ac:dyDescent="0.25"/>
    <row r="53415" hidden="1" x14ac:dyDescent="0.25"/>
    <row r="53416" hidden="1" x14ac:dyDescent="0.25"/>
    <row r="53417" hidden="1" x14ac:dyDescent="0.25"/>
    <row r="53418" hidden="1" x14ac:dyDescent="0.25"/>
    <row r="53419" hidden="1" x14ac:dyDescent="0.25"/>
    <row r="53420" hidden="1" x14ac:dyDescent="0.25"/>
    <row r="53421" hidden="1" x14ac:dyDescent="0.25"/>
    <row r="53422" hidden="1" x14ac:dyDescent="0.25"/>
    <row r="53423" hidden="1" x14ac:dyDescent="0.25"/>
    <row r="53424" hidden="1" x14ac:dyDescent="0.25"/>
    <row r="53425" hidden="1" x14ac:dyDescent="0.25"/>
    <row r="53426" hidden="1" x14ac:dyDescent="0.25"/>
    <row r="53427" hidden="1" x14ac:dyDescent="0.25"/>
    <row r="53428" hidden="1" x14ac:dyDescent="0.25"/>
    <row r="53429" hidden="1" x14ac:dyDescent="0.25"/>
    <row r="53430" hidden="1" x14ac:dyDescent="0.25"/>
    <row r="53431" hidden="1" x14ac:dyDescent="0.25"/>
    <row r="53432" hidden="1" x14ac:dyDescent="0.25"/>
    <row r="53433" hidden="1" x14ac:dyDescent="0.25"/>
    <row r="53434" hidden="1" x14ac:dyDescent="0.25"/>
    <row r="53435" hidden="1" x14ac:dyDescent="0.25"/>
    <row r="53436" hidden="1" x14ac:dyDescent="0.25"/>
    <row r="53437" hidden="1" x14ac:dyDescent="0.25"/>
    <row r="53438" hidden="1" x14ac:dyDescent="0.25"/>
    <row r="53439" hidden="1" x14ac:dyDescent="0.25"/>
    <row r="53440" hidden="1" x14ac:dyDescent="0.25"/>
    <row r="53441" hidden="1" x14ac:dyDescent="0.25"/>
    <row r="53442" hidden="1" x14ac:dyDescent="0.25"/>
    <row r="53443" hidden="1" x14ac:dyDescent="0.25"/>
    <row r="53444" hidden="1" x14ac:dyDescent="0.25"/>
    <row r="53445" hidden="1" x14ac:dyDescent="0.25"/>
    <row r="53446" hidden="1" x14ac:dyDescent="0.25"/>
    <row r="53447" hidden="1" x14ac:dyDescent="0.25"/>
    <row r="53448" hidden="1" x14ac:dyDescent="0.25"/>
    <row r="53449" hidden="1" x14ac:dyDescent="0.25"/>
    <row r="53450" hidden="1" x14ac:dyDescent="0.25"/>
    <row r="53451" hidden="1" x14ac:dyDescent="0.25"/>
    <row r="53452" hidden="1" x14ac:dyDescent="0.25"/>
    <row r="53453" hidden="1" x14ac:dyDescent="0.25"/>
    <row r="53454" hidden="1" x14ac:dyDescent="0.25"/>
    <row r="53455" hidden="1" x14ac:dyDescent="0.25"/>
    <row r="53456" hidden="1" x14ac:dyDescent="0.25"/>
    <row r="53457" hidden="1" x14ac:dyDescent="0.25"/>
    <row r="53458" hidden="1" x14ac:dyDescent="0.25"/>
    <row r="53459" hidden="1" x14ac:dyDescent="0.25"/>
    <row r="53460" hidden="1" x14ac:dyDescent="0.25"/>
    <row r="53461" hidden="1" x14ac:dyDescent="0.25"/>
    <row r="53462" hidden="1" x14ac:dyDescent="0.25"/>
    <row r="53463" hidden="1" x14ac:dyDescent="0.25"/>
    <row r="53464" hidden="1" x14ac:dyDescent="0.25"/>
    <row r="53465" hidden="1" x14ac:dyDescent="0.25"/>
    <row r="53466" hidden="1" x14ac:dyDescent="0.25"/>
    <row r="53467" hidden="1" x14ac:dyDescent="0.25"/>
    <row r="53468" hidden="1" x14ac:dyDescent="0.25"/>
    <row r="53469" hidden="1" x14ac:dyDescent="0.25"/>
    <row r="53470" hidden="1" x14ac:dyDescent="0.25"/>
    <row r="53471" hidden="1" x14ac:dyDescent="0.25"/>
    <row r="53472" hidden="1" x14ac:dyDescent="0.25"/>
    <row r="53473" hidden="1" x14ac:dyDescent="0.25"/>
    <row r="53474" hidden="1" x14ac:dyDescent="0.25"/>
    <row r="53475" hidden="1" x14ac:dyDescent="0.25"/>
    <row r="53476" hidden="1" x14ac:dyDescent="0.25"/>
    <row r="53477" hidden="1" x14ac:dyDescent="0.25"/>
    <row r="53478" hidden="1" x14ac:dyDescent="0.25"/>
    <row r="53479" hidden="1" x14ac:dyDescent="0.25"/>
    <row r="53480" hidden="1" x14ac:dyDescent="0.25"/>
    <row r="53481" hidden="1" x14ac:dyDescent="0.25"/>
    <row r="53482" hidden="1" x14ac:dyDescent="0.25"/>
    <row r="53483" hidden="1" x14ac:dyDescent="0.25"/>
    <row r="53484" hidden="1" x14ac:dyDescent="0.25"/>
    <row r="53485" hidden="1" x14ac:dyDescent="0.25"/>
    <row r="53486" hidden="1" x14ac:dyDescent="0.25"/>
    <row r="53487" hidden="1" x14ac:dyDescent="0.25"/>
    <row r="53488" hidden="1" x14ac:dyDescent="0.25"/>
    <row r="53489" hidden="1" x14ac:dyDescent="0.25"/>
    <row r="53490" hidden="1" x14ac:dyDescent="0.25"/>
    <row r="53491" hidden="1" x14ac:dyDescent="0.25"/>
    <row r="53492" hidden="1" x14ac:dyDescent="0.25"/>
    <row r="53493" hidden="1" x14ac:dyDescent="0.25"/>
    <row r="53494" hidden="1" x14ac:dyDescent="0.25"/>
    <row r="53495" hidden="1" x14ac:dyDescent="0.25"/>
    <row r="53496" hidden="1" x14ac:dyDescent="0.25"/>
    <row r="53497" hidden="1" x14ac:dyDescent="0.25"/>
    <row r="53498" hidden="1" x14ac:dyDescent="0.25"/>
    <row r="53499" hidden="1" x14ac:dyDescent="0.25"/>
    <row r="53500" hidden="1" x14ac:dyDescent="0.25"/>
    <row r="53501" hidden="1" x14ac:dyDescent="0.25"/>
    <row r="53502" hidden="1" x14ac:dyDescent="0.25"/>
    <row r="53503" hidden="1" x14ac:dyDescent="0.25"/>
    <row r="53504" hidden="1" x14ac:dyDescent="0.25"/>
    <row r="53505" hidden="1" x14ac:dyDescent="0.25"/>
    <row r="53506" hidden="1" x14ac:dyDescent="0.25"/>
    <row r="53507" hidden="1" x14ac:dyDescent="0.25"/>
    <row r="53508" hidden="1" x14ac:dyDescent="0.25"/>
    <row r="53509" hidden="1" x14ac:dyDescent="0.25"/>
    <row r="53510" hidden="1" x14ac:dyDescent="0.25"/>
    <row r="53511" hidden="1" x14ac:dyDescent="0.25"/>
    <row r="53512" hidden="1" x14ac:dyDescent="0.25"/>
    <row r="53513" hidden="1" x14ac:dyDescent="0.25"/>
    <row r="53514" hidden="1" x14ac:dyDescent="0.25"/>
    <row r="53515" hidden="1" x14ac:dyDescent="0.25"/>
    <row r="53516" hidden="1" x14ac:dyDescent="0.25"/>
    <row r="53517" hidden="1" x14ac:dyDescent="0.25"/>
    <row r="53518" hidden="1" x14ac:dyDescent="0.25"/>
    <row r="53519" hidden="1" x14ac:dyDescent="0.25"/>
    <row r="53520" hidden="1" x14ac:dyDescent="0.25"/>
    <row r="53521" hidden="1" x14ac:dyDescent="0.25"/>
    <row r="53522" hidden="1" x14ac:dyDescent="0.25"/>
    <row r="53523" hidden="1" x14ac:dyDescent="0.25"/>
    <row r="53524" hidden="1" x14ac:dyDescent="0.25"/>
    <row r="53525" hidden="1" x14ac:dyDescent="0.25"/>
    <row r="53526" hidden="1" x14ac:dyDescent="0.25"/>
    <row r="53527" hidden="1" x14ac:dyDescent="0.25"/>
    <row r="53528" hidden="1" x14ac:dyDescent="0.25"/>
    <row r="53529" hidden="1" x14ac:dyDescent="0.25"/>
    <row r="53530" hidden="1" x14ac:dyDescent="0.25"/>
    <row r="53531" hidden="1" x14ac:dyDescent="0.25"/>
    <row r="53532" hidden="1" x14ac:dyDescent="0.25"/>
    <row r="53533" hidden="1" x14ac:dyDescent="0.25"/>
    <row r="53534" hidden="1" x14ac:dyDescent="0.25"/>
    <row r="53535" hidden="1" x14ac:dyDescent="0.25"/>
    <row r="53536" hidden="1" x14ac:dyDescent="0.25"/>
    <row r="53537" hidden="1" x14ac:dyDescent="0.25"/>
    <row r="53538" hidden="1" x14ac:dyDescent="0.25"/>
    <row r="53539" hidden="1" x14ac:dyDescent="0.25"/>
    <row r="53540" hidden="1" x14ac:dyDescent="0.25"/>
    <row r="53541" hidden="1" x14ac:dyDescent="0.25"/>
    <row r="53542" hidden="1" x14ac:dyDescent="0.25"/>
    <row r="53543" hidden="1" x14ac:dyDescent="0.25"/>
    <row r="53544" hidden="1" x14ac:dyDescent="0.25"/>
    <row r="53545" hidden="1" x14ac:dyDescent="0.25"/>
    <row r="53546" hidden="1" x14ac:dyDescent="0.25"/>
    <row r="53547" hidden="1" x14ac:dyDescent="0.25"/>
    <row r="53548" hidden="1" x14ac:dyDescent="0.25"/>
    <row r="53549" hidden="1" x14ac:dyDescent="0.25"/>
    <row r="53550" hidden="1" x14ac:dyDescent="0.25"/>
    <row r="53551" hidden="1" x14ac:dyDescent="0.25"/>
    <row r="53552" hidden="1" x14ac:dyDescent="0.25"/>
    <row r="53553" hidden="1" x14ac:dyDescent="0.25"/>
    <row r="53554" hidden="1" x14ac:dyDescent="0.25"/>
    <row r="53555" hidden="1" x14ac:dyDescent="0.25"/>
    <row r="53556" hidden="1" x14ac:dyDescent="0.25"/>
    <row r="53557" hidden="1" x14ac:dyDescent="0.25"/>
    <row r="53558" hidden="1" x14ac:dyDescent="0.25"/>
    <row r="53559" hidden="1" x14ac:dyDescent="0.25"/>
    <row r="53560" hidden="1" x14ac:dyDescent="0.25"/>
    <row r="53561" hidden="1" x14ac:dyDescent="0.25"/>
    <row r="53562" hidden="1" x14ac:dyDescent="0.25"/>
    <row r="53563" hidden="1" x14ac:dyDescent="0.25"/>
    <row r="53564" hidden="1" x14ac:dyDescent="0.25"/>
    <row r="53565" hidden="1" x14ac:dyDescent="0.25"/>
    <row r="53566" hidden="1" x14ac:dyDescent="0.25"/>
    <row r="53567" hidden="1" x14ac:dyDescent="0.25"/>
    <row r="53568" hidden="1" x14ac:dyDescent="0.25"/>
    <row r="53569" hidden="1" x14ac:dyDescent="0.25"/>
    <row r="53570" hidden="1" x14ac:dyDescent="0.25"/>
    <row r="53571" hidden="1" x14ac:dyDescent="0.25"/>
    <row r="53572" hidden="1" x14ac:dyDescent="0.25"/>
    <row r="53573" hidden="1" x14ac:dyDescent="0.25"/>
    <row r="53574" hidden="1" x14ac:dyDescent="0.25"/>
    <row r="53575" hidden="1" x14ac:dyDescent="0.25"/>
    <row r="53576" hidden="1" x14ac:dyDescent="0.25"/>
    <row r="53577" hidden="1" x14ac:dyDescent="0.25"/>
    <row r="53578" hidden="1" x14ac:dyDescent="0.25"/>
    <row r="53579" hidden="1" x14ac:dyDescent="0.25"/>
    <row r="53580" hidden="1" x14ac:dyDescent="0.25"/>
    <row r="53581" hidden="1" x14ac:dyDescent="0.25"/>
    <row r="53582" hidden="1" x14ac:dyDescent="0.25"/>
    <row r="53583" hidden="1" x14ac:dyDescent="0.25"/>
    <row r="53584" hidden="1" x14ac:dyDescent="0.25"/>
    <row r="53585" hidden="1" x14ac:dyDescent="0.25"/>
    <row r="53586" hidden="1" x14ac:dyDescent="0.25"/>
    <row r="53587" hidden="1" x14ac:dyDescent="0.25"/>
    <row r="53588" hidden="1" x14ac:dyDescent="0.25"/>
    <row r="53589" hidden="1" x14ac:dyDescent="0.25"/>
    <row r="53590" hidden="1" x14ac:dyDescent="0.25"/>
    <row r="53591" hidden="1" x14ac:dyDescent="0.25"/>
    <row r="53592" hidden="1" x14ac:dyDescent="0.25"/>
    <row r="53593" hidden="1" x14ac:dyDescent="0.25"/>
    <row r="53594" hidden="1" x14ac:dyDescent="0.25"/>
    <row r="53595" hidden="1" x14ac:dyDescent="0.25"/>
    <row r="53596" hidden="1" x14ac:dyDescent="0.25"/>
    <row r="53597" hidden="1" x14ac:dyDescent="0.25"/>
    <row r="53598" hidden="1" x14ac:dyDescent="0.25"/>
    <row r="53599" hidden="1" x14ac:dyDescent="0.25"/>
    <row r="53600" hidden="1" x14ac:dyDescent="0.25"/>
    <row r="53601" hidden="1" x14ac:dyDescent="0.25"/>
    <row r="53602" hidden="1" x14ac:dyDescent="0.25"/>
    <row r="53603" hidden="1" x14ac:dyDescent="0.25"/>
    <row r="53604" hidden="1" x14ac:dyDescent="0.25"/>
    <row r="53605" hidden="1" x14ac:dyDescent="0.25"/>
    <row r="53606" hidden="1" x14ac:dyDescent="0.25"/>
    <row r="53607" hidden="1" x14ac:dyDescent="0.25"/>
    <row r="53608" hidden="1" x14ac:dyDescent="0.25"/>
    <row r="53609" hidden="1" x14ac:dyDescent="0.25"/>
    <row r="53610" hidden="1" x14ac:dyDescent="0.25"/>
    <row r="53611" hidden="1" x14ac:dyDescent="0.25"/>
    <row r="53612" hidden="1" x14ac:dyDescent="0.25"/>
    <row r="53613" hidden="1" x14ac:dyDescent="0.25"/>
    <row r="53614" hidden="1" x14ac:dyDescent="0.25"/>
    <row r="53615" hidden="1" x14ac:dyDescent="0.25"/>
    <row r="53616" hidden="1" x14ac:dyDescent="0.25"/>
    <row r="53617" hidden="1" x14ac:dyDescent="0.25"/>
    <row r="53618" hidden="1" x14ac:dyDescent="0.25"/>
    <row r="53619" hidden="1" x14ac:dyDescent="0.25"/>
    <row r="53620" hidden="1" x14ac:dyDescent="0.25"/>
    <row r="53621" hidden="1" x14ac:dyDescent="0.25"/>
    <row r="53622" hidden="1" x14ac:dyDescent="0.25"/>
    <row r="53623" hidden="1" x14ac:dyDescent="0.25"/>
    <row r="53624" hidden="1" x14ac:dyDescent="0.25"/>
    <row r="53625" hidden="1" x14ac:dyDescent="0.25"/>
    <row r="53626" hidden="1" x14ac:dyDescent="0.25"/>
    <row r="53627" hidden="1" x14ac:dyDescent="0.25"/>
    <row r="53628" hidden="1" x14ac:dyDescent="0.25"/>
    <row r="53629" hidden="1" x14ac:dyDescent="0.25"/>
    <row r="53630" hidden="1" x14ac:dyDescent="0.25"/>
    <row r="53631" hidden="1" x14ac:dyDescent="0.25"/>
    <row r="53632" hidden="1" x14ac:dyDescent="0.25"/>
    <row r="53633" hidden="1" x14ac:dyDescent="0.25"/>
    <row r="53634" hidden="1" x14ac:dyDescent="0.25"/>
    <row r="53635" hidden="1" x14ac:dyDescent="0.25"/>
    <row r="53636" hidden="1" x14ac:dyDescent="0.25"/>
    <row r="53637" hidden="1" x14ac:dyDescent="0.25"/>
    <row r="53638" hidden="1" x14ac:dyDescent="0.25"/>
    <row r="53639" hidden="1" x14ac:dyDescent="0.25"/>
    <row r="53640" hidden="1" x14ac:dyDescent="0.25"/>
    <row r="53641" hidden="1" x14ac:dyDescent="0.25"/>
    <row r="53642" hidden="1" x14ac:dyDescent="0.25"/>
    <row r="53643" hidden="1" x14ac:dyDescent="0.25"/>
    <row r="53644" hidden="1" x14ac:dyDescent="0.25"/>
    <row r="53645" hidden="1" x14ac:dyDescent="0.25"/>
    <row r="53646" hidden="1" x14ac:dyDescent="0.25"/>
    <row r="53647" hidden="1" x14ac:dyDescent="0.25"/>
    <row r="53648" hidden="1" x14ac:dyDescent="0.25"/>
    <row r="53649" hidden="1" x14ac:dyDescent="0.25"/>
    <row r="53650" hidden="1" x14ac:dyDescent="0.25"/>
    <row r="53651" hidden="1" x14ac:dyDescent="0.25"/>
    <row r="53652" hidden="1" x14ac:dyDescent="0.25"/>
    <row r="53653" hidden="1" x14ac:dyDescent="0.25"/>
    <row r="53654" hidden="1" x14ac:dyDescent="0.25"/>
    <row r="53655" hidden="1" x14ac:dyDescent="0.25"/>
    <row r="53656" hidden="1" x14ac:dyDescent="0.25"/>
    <row r="53657" hidden="1" x14ac:dyDescent="0.25"/>
    <row r="53658" hidden="1" x14ac:dyDescent="0.25"/>
    <row r="53659" hidden="1" x14ac:dyDescent="0.25"/>
    <row r="53660" hidden="1" x14ac:dyDescent="0.25"/>
    <row r="53661" hidden="1" x14ac:dyDescent="0.25"/>
    <row r="53662" hidden="1" x14ac:dyDescent="0.25"/>
    <row r="53663" hidden="1" x14ac:dyDescent="0.25"/>
    <row r="53664" hidden="1" x14ac:dyDescent="0.25"/>
    <row r="53665" hidden="1" x14ac:dyDescent="0.25"/>
    <row r="53666" hidden="1" x14ac:dyDescent="0.25"/>
    <row r="53667" hidden="1" x14ac:dyDescent="0.25"/>
    <row r="53668" hidden="1" x14ac:dyDescent="0.25"/>
    <row r="53669" hidden="1" x14ac:dyDescent="0.25"/>
    <row r="53670" hidden="1" x14ac:dyDescent="0.25"/>
    <row r="53671" hidden="1" x14ac:dyDescent="0.25"/>
    <row r="53672" hidden="1" x14ac:dyDescent="0.25"/>
    <row r="53673" hidden="1" x14ac:dyDescent="0.25"/>
    <row r="53674" hidden="1" x14ac:dyDescent="0.25"/>
    <row r="53675" hidden="1" x14ac:dyDescent="0.25"/>
    <row r="53676" hidden="1" x14ac:dyDescent="0.25"/>
    <row r="53677" hidden="1" x14ac:dyDescent="0.25"/>
    <row r="53678" hidden="1" x14ac:dyDescent="0.25"/>
    <row r="53679" hidden="1" x14ac:dyDescent="0.25"/>
    <row r="53680" hidden="1" x14ac:dyDescent="0.25"/>
    <row r="53681" hidden="1" x14ac:dyDescent="0.25"/>
    <row r="53682" hidden="1" x14ac:dyDescent="0.25"/>
    <row r="53683" hidden="1" x14ac:dyDescent="0.25"/>
    <row r="53684" hidden="1" x14ac:dyDescent="0.25"/>
    <row r="53685" hidden="1" x14ac:dyDescent="0.25"/>
    <row r="53686" hidden="1" x14ac:dyDescent="0.25"/>
    <row r="53687" hidden="1" x14ac:dyDescent="0.25"/>
    <row r="53688" hidden="1" x14ac:dyDescent="0.25"/>
    <row r="53689" hidden="1" x14ac:dyDescent="0.25"/>
    <row r="53690" hidden="1" x14ac:dyDescent="0.25"/>
    <row r="53691" hidden="1" x14ac:dyDescent="0.25"/>
    <row r="53692" hidden="1" x14ac:dyDescent="0.25"/>
    <row r="53693" hidden="1" x14ac:dyDescent="0.25"/>
    <row r="53694" hidden="1" x14ac:dyDescent="0.25"/>
    <row r="53695" hidden="1" x14ac:dyDescent="0.25"/>
    <row r="53696" hidden="1" x14ac:dyDescent="0.25"/>
    <row r="53697" hidden="1" x14ac:dyDescent="0.25"/>
    <row r="53698" hidden="1" x14ac:dyDescent="0.25"/>
    <row r="53699" hidden="1" x14ac:dyDescent="0.25"/>
    <row r="53700" hidden="1" x14ac:dyDescent="0.25"/>
    <row r="53701" hidden="1" x14ac:dyDescent="0.25"/>
    <row r="53702" hidden="1" x14ac:dyDescent="0.25"/>
    <row r="53703" hidden="1" x14ac:dyDescent="0.25"/>
    <row r="53704" hidden="1" x14ac:dyDescent="0.25"/>
    <row r="53705" hidden="1" x14ac:dyDescent="0.25"/>
    <row r="53706" hidden="1" x14ac:dyDescent="0.25"/>
    <row r="53707" hidden="1" x14ac:dyDescent="0.25"/>
    <row r="53708" hidden="1" x14ac:dyDescent="0.25"/>
    <row r="53709" hidden="1" x14ac:dyDescent="0.25"/>
    <row r="53710" hidden="1" x14ac:dyDescent="0.25"/>
    <row r="53711" hidden="1" x14ac:dyDescent="0.25"/>
    <row r="53712" hidden="1" x14ac:dyDescent="0.25"/>
    <row r="53713" hidden="1" x14ac:dyDescent="0.25"/>
    <row r="53714" hidden="1" x14ac:dyDescent="0.25"/>
    <row r="53715" hidden="1" x14ac:dyDescent="0.25"/>
    <row r="53716" hidden="1" x14ac:dyDescent="0.25"/>
    <row r="53717" hidden="1" x14ac:dyDescent="0.25"/>
    <row r="53718" hidden="1" x14ac:dyDescent="0.25"/>
    <row r="53719" hidden="1" x14ac:dyDescent="0.25"/>
    <row r="53720" hidden="1" x14ac:dyDescent="0.25"/>
    <row r="53721" hidden="1" x14ac:dyDescent="0.25"/>
    <row r="53722" hidden="1" x14ac:dyDescent="0.25"/>
    <row r="53723" hidden="1" x14ac:dyDescent="0.25"/>
    <row r="53724" hidden="1" x14ac:dyDescent="0.25"/>
    <row r="53725" hidden="1" x14ac:dyDescent="0.25"/>
    <row r="53726" hidden="1" x14ac:dyDescent="0.25"/>
    <row r="53727" hidden="1" x14ac:dyDescent="0.25"/>
    <row r="53728" hidden="1" x14ac:dyDescent="0.25"/>
    <row r="53729" hidden="1" x14ac:dyDescent="0.25"/>
    <row r="53730" hidden="1" x14ac:dyDescent="0.25"/>
    <row r="53731" hidden="1" x14ac:dyDescent="0.25"/>
    <row r="53732" hidden="1" x14ac:dyDescent="0.25"/>
    <row r="53733" hidden="1" x14ac:dyDescent="0.25"/>
    <row r="53734" hidden="1" x14ac:dyDescent="0.25"/>
    <row r="53735" hidden="1" x14ac:dyDescent="0.25"/>
    <row r="53736" hidden="1" x14ac:dyDescent="0.25"/>
    <row r="53737" hidden="1" x14ac:dyDescent="0.25"/>
    <row r="53738" hidden="1" x14ac:dyDescent="0.25"/>
    <row r="53739" hidden="1" x14ac:dyDescent="0.25"/>
    <row r="53740" hidden="1" x14ac:dyDescent="0.25"/>
    <row r="53741" hidden="1" x14ac:dyDescent="0.25"/>
    <row r="53742" hidden="1" x14ac:dyDescent="0.25"/>
    <row r="53743" hidden="1" x14ac:dyDescent="0.25"/>
    <row r="53744" hidden="1" x14ac:dyDescent="0.25"/>
    <row r="53745" hidden="1" x14ac:dyDescent="0.25"/>
    <row r="53746" hidden="1" x14ac:dyDescent="0.25"/>
    <row r="53747" hidden="1" x14ac:dyDescent="0.25"/>
    <row r="53748" hidden="1" x14ac:dyDescent="0.25"/>
    <row r="53749" hidden="1" x14ac:dyDescent="0.25"/>
    <row r="53750" hidden="1" x14ac:dyDescent="0.25"/>
    <row r="53751" hidden="1" x14ac:dyDescent="0.25"/>
    <row r="53752" hidden="1" x14ac:dyDescent="0.25"/>
    <row r="53753" hidden="1" x14ac:dyDescent="0.25"/>
    <row r="53754" hidden="1" x14ac:dyDescent="0.25"/>
    <row r="53755" hidden="1" x14ac:dyDescent="0.25"/>
    <row r="53756" hidden="1" x14ac:dyDescent="0.25"/>
    <row r="53757" hidden="1" x14ac:dyDescent="0.25"/>
    <row r="53758" hidden="1" x14ac:dyDescent="0.25"/>
    <row r="53759" hidden="1" x14ac:dyDescent="0.25"/>
    <row r="53760" hidden="1" x14ac:dyDescent="0.25"/>
    <row r="53761" hidden="1" x14ac:dyDescent="0.25"/>
    <row r="53762" hidden="1" x14ac:dyDescent="0.25"/>
    <row r="53763" hidden="1" x14ac:dyDescent="0.25"/>
    <row r="53764" hidden="1" x14ac:dyDescent="0.25"/>
    <row r="53765" hidden="1" x14ac:dyDescent="0.25"/>
    <row r="53766" hidden="1" x14ac:dyDescent="0.25"/>
    <row r="53767" hidden="1" x14ac:dyDescent="0.25"/>
    <row r="53768" hidden="1" x14ac:dyDescent="0.25"/>
    <row r="53769" hidden="1" x14ac:dyDescent="0.25"/>
    <row r="53770" hidden="1" x14ac:dyDescent="0.25"/>
    <row r="53771" hidden="1" x14ac:dyDescent="0.25"/>
    <row r="53772" hidden="1" x14ac:dyDescent="0.25"/>
    <row r="53773" hidden="1" x14ac:dyDescent="0.25"/>
    <row r="53774" hidden="1" x14ac:dyDescent="0.25"/>
    <row r="53775" hidden="1" x14ac:dyDescent="0.25"/>
    <row r="53776" hidden="1" x14ac:dyDescent="0.25"/>
    <row r="53777" hidden="1" x14ac:dyDescent="0.25"/>
    <row r="53778" hidden="1" x14ac:dyDescent="0.25"/>
    <row r="53779" hidden="1" x14ac:dyDescent="0.25"/>
    <row r="53780" hidden="1" x14ac:dyDescent="0.25"/>
    <row r="53781" hidden="1" x14ac:dyDescent="0.25"/>
    <row r="53782" hidden="1" x14ac:dyDescent="0.25"/>
    <row r="53783" hidden="1" x14ac:dyDescent="0.25"/>
    <row r="53784" hidden="1" x14ac:dyDescent="0.25"/>
    <row r="53785" hidden="1" x14ac:dyDescent="0.25"/>
    <row r="53786" hidden="1" x14ac:dyDescent="0.25"/>
    <row r="53787" hidden="1" x14ac:dyDescent="0.25"/>
    <row r="53788" hidden="1" x14ac:dyDescent="0.25"/>
    <row r="53789" hidden="1" x14ac:dyDescent="0.25"/>
    <row r="53790" hidden="1" x14ac:dyDescent="0.25"/>
    <row r="53791" hidden="1" x14ac:dyDescent="0.25"/>
    <row r="53792" hidden="1" x14ac:dyDescent="0.25"/>
    <row r="53793" hidden="1" x14ac:dyDescent="0.25"/>
    <row r="53794" hidden="1" x14ac:dyDescent="0.25"/>
    <row r="53795" hidden="1" x14ac:dyDescent="0.25"/>
    <row r="53796" hidden="1" x14ac:dyDescent="0.25"/>
    <row r="53797" hidden="1" x14ac:dyDescent="0.25"/>
    <row r="53798" hidden="1" x14ac:dyDescent="0.25"/>
    <row r="53799" hidden="1" x14ac:dyDescent="0.25"/>
    <row r="53800" hidden="1" x14ac:dyDescent="0.25"/>
    <row r="53801" hidden="1" x14ac:dyDescent="0.25"/>
    <row r="53802" hidden="1" x14ac:dyDescent="0.25"/>
    <row r="53803" hidden="1" x14ac:dyDescent="0.25"/>
    <row r="53804" hidden="1" x14ac:dyDescent="0.25"/>
    <row r="53805" hidden="1" x14ac:dyDescent="0.25"/>
    <row r="53806" hidden="1" x14ac:dyDescent="0.25"/>
    <row r="53807" hidden="1" x14ac:dyDescent="0.25"/>
    <row r="53808" hidden="1" x14ac:dyDescent="0.25"/>
    <row r="53809" hidden="1" x14ac:dyDescent="0.25"/>
    <row r="53810" hidden="1" x14ac:dyDescent="0.25"/>
    <row r="53811" hidden="1" x14ac:dyDescent="0.25"/>
    <row r="53812" hidden="1" x14ac:dyDescent="0.25"/>
    <row r="53813" hidden="1" x14ac:dyDescent="0.25"/>
    <row r="53814" hidden="1" x14ac:dyDescent="0.25"/>
    <row r="53815" hidden="1" x14ac:dyDescent="0.25"/>
    <row r="53816" hidden="1" x14ac:dyDescent="0.25"/>
    <row r="53817" hidden="1" x14ac:dyDescent="0.25"/>
    <row r="53818" hidden="1" x14ac:dyDescent="0.25"/>
    <row r="53819" hidden="1" x14ac:dyDescent="0.25"/>
    <row r="53820" hidden="1" x14ac:dyDescent="0.25"/>
    <row r="53821" hidden="1" x14ac:dyDescent="0.25"/>
    <row r="53822" hidden="1" x14ac:dyDescent="0.25"/>
    <row r="53823" hidden="1" x14ac:dyDescent="0.25"/>
    <row r="53824" hidden="1" x14ac:dyDescent="0.25"/>
    <row r="53825" hidden="1" x14ac:dyDescent="0.25"/>
    <row r="53826" hidden="1" x14ac:dyDescent="0.25"/>
    <row r="53827" hidden="1" x14ac:dyDescent="0.25"/>
    <row r="53828" hidden="1" x14ac:dyDescent="0.25"/>
    <row r="53829" hidden="1" x14ac:dyDescent="0.25"/>
    <row r="53830" hidden="1" x14ac:dyDescent="0.25"/>
    <row r="53831" hidden="1" x14ac:dyDescent="0.25"/>
    <row r="53832" hidden="1" x14ac:dyDescent="0.25"/>
    <row r="53833" hidden="1" x14ac:dyDescent="0.25"/>
    <row r="53834" hidden="1" x14ac:dyDescent="0.25"/>
    <row r="53835" hidden="1" x14ac:dyDescent="0.25"/>
    <row r="53836" hidden="1" x14ac:dyDescent="0.25"/>
    <row r="53837" hidden="1" x14ac:dyDescent="0.25"/>
    <row r="53838" hidden="1" x14ac:dyDescent="0.25"/>
    <row r="53839" hidden="1" x14ac:dyDescent="0.25"/>
    <row r="53840" hidden="1" x14ac:dyDescent="0.25"/>
    <row r="53841" hidden="1" x14ac:dyDescent="0.25"/>
    <row r="53842" hidden="1" x14ac:dyDescent="0.25"/>
    <row r="53843" hidden="1" x14ac:dyDescent="0.25"/>
    <row r="53844" hidden="1" x14ac:dyDescent="0.25"/>
    <row r="53845" hidden="1" x14ac:dyDescent="0.25"/>
    <row r="53846" hidden="1" x14ac:dyDescent="0.25"/>
    <row r="53847" hidden="1" x14ac:dyDescent="0.25"/>
    <row r="53848" hidden="1" x14ac:dyDescent="0.25"/>
    <row r="53849" hidden="1" x14ac:dyDescent="0.25"/>
    <row r="53850" hidden="1" x14ac:dyDescent="0.25"/>
    <row r="53851" hidden="1" x14ac:dyDescent="0.25"/>
    <row r="53852" hidden="1" x14ac:dyDescent="0.25"/>
    <row r="53853" hidden="1" x14ac:dyDescent="0.25"/>
    <row r="53854" hidden="1" x14ac:dyDescent="0.25"/>
    <row r="53855" hidden="1" x14ac:dyDescent="0.25"/>
    <row r="53856" hidden="1" x14ac:dyDescent="0.25"/>
    <row r="53857" hidden="1" x14ac:dyDescent="0.25"/>
    <row r="53858" hidden="1" x14ac:dyDescent="0.25"/>
    <row r="53859" hidden="1" x14ac:dyDescent="0.25"/>
    <row r="53860" hidden="1" x14ac:dyDescent="0.25"/>
    <row r="53861" hidden="1" x14ac:dyDescent="0.25"/>
    <row r="53862" hidden="1" x14ac:dyDescent="0.25"/>
    <row r="53863" hidden="1" x14ac:dyDescent="0.25"/>
    <row r="53864" hidden="1" x14ac:dyDescent="0.25"/>
    <row r="53865" hidden="1" x14ac:dyDescent="0.25"/>
    <row r="53866" hidden="1" x14ac:dyDescent="0.25"/>
    <row r="53867" hidden="1" x14ac:dyDescent="0.25"/>
    <row r="53868" hidden="1" x14ac:dyDescent="0.25"/>
    <row r="53869" hidden="1" x14ac:dyDescent="0.25"/>
    <row r="53870" hidden="1" x14ac:dyDescent="0.25"/>
    <row r="53871" hidden="1" x14ac:dyDescent="0.25"/>
    <row r="53872" hidden="1" x14ac:dyDescent="0.25"/>
    <row r="53873" hidden="1" x14ac:dyDescent="0.25"/>
    <row r="53874" hidden="1" x14ac:dyDescent="0.25"/>
    <row r="53875" hidden="1" x14ac:dyDescent="0.25"/>
    <row r="53876" hidden="1" x14ac:dyDescent="0.25"/>
    <row r="53877" hidden="1" x14ac:dyDescent="0.25"/>
    <row r="53878" hidden="1" x14ac:dyDescent="0.25"/>
    <row r="53879" hidden="1" x14ac:dyDescent="0.25"/>
    <row r="53880" hidden="1" x14ac:dyDescent="0.25"/>
    <row r="53881" hidden="1" x14ac:dyDescent="0.25"/>
    <row r="53882" hidden="1" x14ac:dyDescent="0.25"/>
    <row r="53883" hidden="1" x14ac:dyDescent="0.25"/>
    <row r="53884" hidden="1" x14ac:dyDescent="0.25"/>
    <row r="53885" hidden="1" x14ac:dyDescent="0.25"/>
    <row r="53886" hidden="1" x14ac:dyDescent="0.25"/>
    <row r="53887" hidden="1" x14ac:dyDescent="0.25"/>
    <row r="53888" hidden="1" x14ac:dyDescent="0.25"/>
    <row r="53889" hidden="1" x14ac:dyDescent="0.25"/>
    <row r="53890" hidden="1" x14ac:dyDescent="0.25"/>
    <row r="53891" hidden="1" x14ac:dyDescent="0.25"/>
    <row r="53892" hidden="1" x14ac:dyDescent="0.25"/>
    <row r="53893" hidden="1" x14ac:dyDescent="0.25"/>
    <row r="53894" hidden="1" x14ac:dyDescent="0.25"/>
    <row r="53895" hidden="1" x14ac:dyDescent="0.25"/>
    <row r="53896" hidden="1" x14ac:dyDescent="0.25"/>
    <row r="53897" hidden="1" x14ac:dyDescent="0.25"/>
    <row r="53898" hidden="1" x14ac:dyDescent="0.25"/>
    <row r="53899" hidden="1" x14ac:dyDescent="0.25"/>
    <row r="53900" hidden="1" x14ac:dyDescent="0.25"/>
    <row r="53901" hidden="1" x14ac:dyDescent="0.25"/>
    <row r="53902" hidden="1" x14ac:dyDescent="0.25"/>
    <row r="53903" hidden="1" x14ac:dyDescent="0.25"/>
    <row r="53904" hidden="1" x14ac:dyDescent="0.25"/>
    <row r="53905" hidden="1" x14ac:dyDescent="0.25"/>
    <row r="53906" hidden="1" x14ac:dyDescent="0.25"/>
    <row r="53907" hidden="1" x14ac:dyDescent="0.25"/>
    <row r="53908" hidden="1" x14ac:dyDescent="0.25"/>
    <row r="53909" hidden="1" x14ac:dyDescent="0.25"/>
    <row r="53910" hidden="1" x14ac:dyDescent="0.25"/>
    <row r="53911" hidden="1" x14ac:dyDescent="0.25"/>
    <row r="53912" hidden="1" x14ac:dyDescent="0.25"/>
    <row r="53913" hidden="1" x14ac:dyDescent="0.25"/>
    <row r="53914" hidden="1" x14ac:dyDescent="0.25"/>
    <row r="53915" hidden="1" x14ac:dyDescent="0.25"/>
    <row r="53916" hidden="1" x14ac:dyDescent="0.25"/>
    <row r="53917" hidden="1" x14ac:dyDescent="0.25"/>
    <row r="53918" hidden="1" x14ac:dyDescent="0.25"/>
    <row r="53919" hidden="1" x14ac:dyDescent="0.25"/>
    <row r="53920" hidden="1" x14ac:dyDescent="0.25"/>
    <row r="53921" hidden="1" x14ac:dyDescent="0.25"/>
    <row r="53922" hidden="1" x14ac:dyDescent="0.25"/>
    <row r="53923" hidden="1" x14ac:dyDescent="0.25"/>
    <row r="53924" hidden="1" x14ac:dyDescent="0.25"/>
    <row r="53925" hidden="1" x14ac:dyDescent="0.25"/>
    <row r="53926" hidden="1" x14ac:dyDescent="0.25"/>
    <row r="53927" hidden="1" x14ac:dyDescent="0.25"/>
    <row r="53928" hidden="1" x14ac:dyDescent="0.25"/>
    <row r="53929" hidden="1" x14ac:dyDescent="0.25"/>
    <row r="53930" hidden="1" x14ac:dyDescent="0.25"/>
    <row r="53931" hidden="1" x14ac:dyDescent="0.25"/>
    <row r="53932" hidden="1" x14ac:dyDescent="0.25"/>
    <row r="53933" hidden="1" x14ac:dyDescent="0.25"/>
    <row r="53934" hidden="1" x14ac:dyDescent="0.25"/>
    <row r="53935" hidden="1" x14ac:dyDescent="0.25"/>
    <row r="53936" hidden="1" x14ac:dyDescent="0.25"/>
    <row r="53937" hidden="1" x14ac:dyDescent="0.25"/>
    <row r="53938" hidden="1" x14ac:dyDescent="0.25"/>
    <row r="53939" hidden="1" x14ac:dyDescent="0.25"/>
    <row r="53940" hidden="1" x14ac:dyDescent="0.25"/>
    <row r="53941" hidden="1" x14ac:dyDescent="0.25"/>
    <row r="53942" hidden="1" x14ac:dyDescent="0.25"/>
    <row r="53943" hidden="1" x14ac:dyDescent="0.25"/>
    <row r="53944" hidden="1" x14ac:dyDescent="0.25"/>
    <row r="53945" hidden="1" x14ac:dyDescent="0.25"/>
    <row r="53946" hidden="1" x14ac:dyDescent="0.25"/>
    <row r="53947" hidden="1" x14ac:dyDescent="0.25"/>
    <row r="53948" hidden="1" x14ac:dyDescent="0.25"/>
    <row r="53949" hidden="1" x14ac:dyDescent="0.25"/>
    <row r="53950" hidden="1" x14ac:dyDescent="0.25"/>
    <row r="53951" hidden="1" x14ac:dyDescent="0.25"/>
    <row r="53952" hidden="1" x14ac:dyDescent="0.25"/>
    <row r="53953" hidden="1" x14ac:dyDescent="0.25"/>
    <row r="53954" hidden="1" x14ac:dyDescent="0.25"/>
    <row r="53955" hidden="1" x14ac:dyDescent="0.25"/>
    <row r="53956" hidden="1" x14ac:dyDescent="0.25"/>
    <row r="53957" hidden="1" x14ac:dyDescent="0.25"/>
    <row r="53958" hidden="1" x14ac:dyDescent="0.25"/>
    <row r="53959" hidden="1" x14ac:dyDescent="0.25"/>
    <row r="53960" hidden="1" x14ac:dyDescent="0.25"/>
    <row r="53961" hidden="1" x14ac:dyDescent="0.25"/>
    <row r="53962" hidden="1" x14ac:dyDescent="0.25"/>
    <row r="53963" hidden="1" x14ac:dyDescent="0.25"/>
    <row r="53964" hidden="1" x14ac:dyDescent="0.25"/>
    <row r="53965" hidden="1" x14ac:dyDescent="0.25"/>
    <row r="53966" hidden="1" x14ac:dyDescent="0.25"/>
    <row r="53967" hidden="1" x14ac:dyDescent="0.25"/>
    <row r="53968" hidden="1" x14ac:dyDescent="0.25"/>
    <row r="53969" hidden="1" x14ac:dyDescent="0.25"/>
    <row r="53970" hidden="1" x14ac:dyDescent="0.25"/>
    <row r="53971" hidden="1" x14ac:dyDescent="0.25"/>
    <row r="53972" hidden="1" x14ac:dyDescent="0.25"/>
    <row r="53973" hidden="1" x14ac:dyDescent="0.25"/>
    <row r="53974" hidden="1" x14ac:dyDescent="0.25"/>
    <row r="53975" hidden="1" x14ac:dyDescent="0.25"/>
    <row r="53976" hidden="1" x14ac:dyDescent="0.25"/>
    <row r="53977" hidden="1" x14ac:dyDescent="0.25"/>
    <row r="53978" hidden="1" x14ac:dyDescent="0.25"/>
    <row r="53979" hidden="1" x14ac:dyDescent="0.25"/>
    <row r="53980" hidden="1" x14ac:dyDescent="0.25"/>
    <row r="53981" hidden="1" x14ac:dyDescent="0.25"/>
    <row r="53982" hidden="1" x14ac:dyDescent="0.25"/>
    <row r="53983" hidden="1" x14ac:dyDescent="0.25"/>
    <row r="53984" hidden="1" x14ac:dyDescent="0.25"/>
    <row r="53985" hidden="1" x14ac:dyDescent="0.25"/>
    <row r="53986" hidden="1" x14ac:dyDescent="0.25"/>
    <row r="53987" hidden="1" x14ac:dyDescent="0.25"/>
    <row r="53988" hidden="1" x14ac:dyDescent="0.25"/>
    <row r="53989" hidden="1" x14ac:dyDescent="0.25"/>
    <row r="53990" hidden="1" x14ac:dyDescent="0.25"/>
    <row r="53991" hidden="1" x14ac:dyDescent="0.25"/>
    <row r="53992" hidden="1" x14ac:dyDescent="0.25"/>
    <row r="53993" hidden="1" x14ac:dyDescent="0.25"/>
    <row r="53994" hidden="1" x14ac:dyDescent="0.25"/>
    <row r="53995" hidden="1" x14ac:dyDescent="0.25"/>
    <row r="53996" hidden="1" x14ac:dyDescent="0.25"/>
    <row r="53997" hidden="1" x14ac:dyDescent="0.25"/>
    <row r="53998" hidden="1" x14ac:dyDescent="0.25"/>
    <row r="53999" hidden="1" x14ac:dyDescent="0.25"/>
    <row r="54000" hidden="1" x14ac:dyDescent="0.25"/>
    <row r="54001" hidden="1" x14ac:dyDescent="0.25"/>
    <row r="54002" hidden="1" x14ac:dyDescent="0.25"/>
    <row r="54003" hidden="1" x14ac:dyDescent="0.25"/>
    <row r="54004" hidden="1" x14ac:dyDescent="0.25"/>
    <row r="54005" hidden="1" x14ac:dyDescent="0.25"/>
    <row r="54006" hidden="1" x14ac:dyDescent="0.25"/>
    <row r="54007" hidden="1" x14ac:dyDescent="0.25"/>
    <row r="54008" hidden="1" x14ac:dyDescent="0.25"/>
    <row r="54009" hidden="1" x14ac:dyDescent="0.25"/>
    <row r="54010" hidden="1" x14ac:dyDescent="0.25"/>
    <row r="54011" hidden="1" x14ac:dyDescent="0.25"/>
    <row r="54012" hidden="1" x14ac:dyDescent="0.25"/>
    <row r="54013" hidden="1" x14ac:dyDescent="0.25"/>
    <row r="54014" hidden="1" x14ac:dyDescent="0.25"/>
    <row r="54015" hidden="1" x14ac:dyDescent="0.25"/>
    <row r="54016" hidden="1" x14ac:dyDescent="0.25"/>
    <row r="54017" hidden="1" x14ac:dyDescent="0.25"/>
    <row r="54018" hidden="1" x14ac:dyDescent="0.25"/>
    <row r="54019" hidden="1" x14ac:dyDescent="0.25"/>
    <row r="54020" hidden="1" x14ac:dyDescent="0.25"/>
    <row r="54021" hidden="1" x14ac:dyDescent="0.25"/>
    <row r="54022" hidden="1" x14ac:dyDescent="0.25"/>
    <row r="54023" hidden="1" x14ac:dyDescent="0.25"/>
    <row r="54024" hidden="1" x14ac:dyDescent="0.25"/>
    <row r="54025" hidden="1" x14ac:dyDescent="0.25"/>
    <row r="54026" hidden="1" x14ac:dyDescent="0.25"/>
    <row r="54027" hidden="1" x14ac:dyDescent="0.25"/>
    <row r="54028" hidden="1" x14ac:dyDescent="0.25"/>
    <row r="54029" hidden="1" x14ac:dyDescent="0.25"/>
    <row r="54030" hidden="1" x14ac:dyDescent="0.25"/>
    <row r="54031" hidden="1" x14ac:dyDescent="0.25"/>
    <row r="54032" hidden="1" x14ac:dyDescent="0.25"/>
    <row r="54033" hidden="1" x14ac:dyDescent="0.25"/>
    <row r="54034" hidden="1" x14ac:dyDescent="0.25"/>
    <row r="54035" hidden="1" x14ac:dyDescent="0.25"/>
    <row r="54036" hidden="1" x14ac:dyDescent="0.25"/>
    <row r="54037" hidden="1" x14ac:dyDescent="0.25"/>
    <row r="54038" hidden="1" x14ac:dyDescent="0.25"/>
    <row r="54039" hidden="1" x14ac:dyDescent="0.25"/>
    <row r="54040" hidden="1" x14ac:dyDescent="0.25"/>
    <row r="54041" hidden="1" x14ac:dyDescent="0.25"/>
    <row r="54042" hidden="1" x14ac:dyDescent="0.25"/>
    <row r="54043" hidden="1" x14ac:dyDescent="0.25"/>
    <row r="54044" hidden="1" x14ac:dyDescent="0.25"/>
    <row r="54045" hidden="1" x14ac:dyDescent="0.25"/>
    <row r="54046" hidden="1" x14ac:dyDescent="0.25"/>
    <row r="54047" hidden="1" x14ac:dyDescent="0.25"/>
    <row r="54048" hidden="1" x14ac:dyDescent="0.25"/>
    <row r="54049" hidden="1" x14ac:dyDescent="0.25"/>
    <row r="54050" hidden="1" x14ac:dyDescent="0.25"/>
    <row r="54051" hidden="1" x14ac:dyDescent="0.25"/>
    <row r="54052" hidden="1" x14ac:dyDescent="0.25"/>
    <row r="54053" hidden="1" x14ac:dyDescent="0.25"/>
    <row r="54054" hidden="1" x14ac:dyDescent="0.25"/>
    <row r="54055" hidden="1" x14ac:dyDescent="0.25"/>
    <row r="54056" hidden="1" x14ac:dyDescent="0.25"/>
    <row r="54057" hidden="1" x14ac:dyDescent="0.25"/>
    <row r="54058" hidden="1" x14ac:dyDescent="0.25"/>
    <row r="54059" hidden="1" x14ac:dyDescent="0.25"/>
    <row r="54060" hidden="1" x14ac:dyDescent="0.25"/>
    <row r="54061" hidden="1" x14ac:dyDescent="0.25"/>
    <row r="54062" hidden="1" x14ac:dyDescent="0.25"/>
    <row r="54063" hidden="1" x14ac:dyDescent="0.25"/>
    <row r="54064" hidden="1" x14ac:dyDescent="0.25"/>
    <row r="54065" hidden="1" x14ac:dyDescent="0.25"/>
    <row r="54066" hidden="1" x14ac:dyDescent="0.25"/>
    <row r="54067" hidden="1" x14ac:dyDescent="0.25"/>
    <row r="54068" hidden="1" x14ac:dyDescent="0.25"/>
    <row r="54069" hidden="1" x14ac:dyDescent="0.25"/>
    <row r="54070" hidden="1" x14ac:dyDescent="0.25"/>
    <row r="54071" hidden="1" x14ac:dyDescent="0.25"/>
    <row r="54072" hidden="1" x14ac:dyDescent="0.25"/>
    <row r="54073" hidden="1" x14ac:dyDescent="0.25"/>
    <row r="54074" hidden="1" x14ac:dyDescent="0.25"/>
    <row r="54075" hidden="1" x14ac:dyDescent="0.25"/>
    <row r="54076" hidden="1" x14ac:dyDescent="0.25"/>
    <row r="54077" hidden="1" x14ac:dyDescent="0.25"/>
    <row r="54078" hidden="1" x14ac:dyDescent="0.25"/>
    <row r="54079" hidden="1" x14ac:dyDescent="0.25"/>
    <row r="54080" hidden="1" x14ac:dyDescent="0.25"/>
    <row r="54081" hidden="1" x14ac:dyDescent="0.25"/>
    <row r="54082" hidden="1" x14ac:dyDescent="0.25"/>
    <row r="54083" hidden="1" x14ac:dyDescent="0.25"/>
    <row r="54084" hidden="1" x14ac:dyDescent="0.25"/>
    <row r="54085" hidden="1" x14ac:dyDescent="0.25"/>
    <row r="54086" hidden="1" x14ac:dyDescent="0.25"/>
    <row r="54087" hidden="1" x14ac:dyDescent="0.25"/>
    <row r="54088" hidden="1" x14ac:dyDescent="0.25"/>
    <row r="54089" hidden="1" x14ac:dyDescent="0.25"/>
    <row r="54090" hidden="1" x14ac:dyDescent="0.25"/>
    <row r="54091" hidden="1" x14ac:dyDescent="0.25"/>
    <row r="54092" hidden="1" x14ac:dyDescent="0.25"/>
    <row r="54093" hidden="1" x14ac:dyDescent="0.25"/>
    <row r="54094" hidden="1" x14ac:dyDescent="0.25"/>
    <row r="54095" hidden="1" x14ac:dyDescent="0.25"/>
    <row r="54096" hidden="1" x14ac:dyDescent="0.25"/>
    <row r="54097" hidden="1" x14ac:dyDescent="0.25"/>
    <row r="54098" hidden="1" x14ac:dyDescent="0.25"/>
    <row r="54099" hidden="1" x14ac:dyDescent="0.25"/>
    <row r="54100" hidden="1" x14ac:dyDescent="0.25"/>
    <row r="54101" hidden="1" x14ac:dyDescent="0.25"/>
    <row r="54102" hidden="1" x14ac:dyDescent="0.25"/>
    <row r="54103" hidden="1" x14ac:dyDescent="0.25"/>
    <row r="54104" hidden="1" x14ac:dyDescent="0.25"/>
    <row r="54105" hidden="1" x14ac:dyDescent="0.25"/>
    <row r="54106" hidden="1" x14ac:dyDescent="0.25"/>
    <row r="54107" hidden="1" x14ac:dyDescent="0.25"/>
    <row r="54108" hidden="1" x14ac:dyDescent="0.25"/>
    <row r="54109" hidden="1" x14ac:dyDescent="0.25"/>
    <row r="54110" hidden="1" x14ac:dyDescent="0.25"/>
    <row r="54111" hidden="1" x14ac:dyDescent="0.25"/>
    <row r="54112" hidden="1" x14ac:dyDescent="0.25"/>
    <row r="54113" hidden="1" x14ac:dyDescent="0.25"/>
    <row r="54114" hidden="1" x14ac:dyDescent="0.25"/>
    <row r="54115" hidden="1" x14ac:dyDescent="0.25"/>
    <row r="54116" hidden="1" x14ac:dyDescent="0.25"/>
    <row r="54117" hidden="1" x14ac:dyDescent="0.25"/>
    <row r="54118" hidden="1" x14ac:dyDescent="0.25"/>
    <row r="54119" hidden="1" x14ac:dyDescent="0.25"/>
    <row r="54120" hidden="1" x14ac:dyDescent="0.25"/>
    <row r="54121" hidden="1" x14ac:dyDescent="0.25"/>
    <row r="54122" hidden="1" x14ac:dyDescent="0.25"/>
    <row r="54123" hidden="1" x14ac:dyDescent="0.25"/>
    <row r="54124" hidden="1" x14ac:dyDescent="0.25"/>
    <row r="54125" hidden="1" x14ac:dyDescent="0.25"/>
    <row r="54126" hidden="1" x14ac:dyDescent="0.25"/>
    <row r="54127" hidden="1" x14ac:dyDescent="0.25"/>
    <row r="54128" hidden="1" x14ac:dyDescent="0.25"/>
    <row r="54129" hidden="1" x14ac:dyDescent="0.25"/>
    <row r="54130" hidden="1" x14ac:dyDescent="0.25"/>
    <row r="54131" hidden="1" x14ac:dyDescent="0.25"/>
    <row r="54132" hidden="1" x14ac:dyDescent="0.25"/>
    <row r="54133" hidden="1" x14ac:dyDescent="0.25"/>
    <row r="54134" hidden="1" x14ac:dyDescent="0.25"/>
    <row r="54135" hidden="1" x14ac:dyDescent="0.25"/>
    <row r="54136" hidden="1" x14ac:dyDescent="0.25"/>
    <row r="54137" hidden="1" x14ac:dyDescent="0.25"/>
    <row r="54138" hidden="1" x14ac:dyDescent="0.25"/>
    <row r="54139" hidden="1" x14ac:dyDescent="0.25"/>
    <row r="54140" hidden="1" x14ac:dyDescent="0.25"/>
    <row r="54141" hidden="1" x14ac:dyDescent="0.25"/>
    <row r="54142" hidden="1" x14ac:dyDescent="0.25"/>
    <row r="54143" hidden="1" x14ac:dyDescent="0.25"/>
    <row r="54144" hidden="1" x14ac:dyDescent="0.25"/>
    <row r="54145" hidden="1" x14ac:dyDescent="0.25"/>
    <row r="54146" hidden="1" x14ac:dyDescent="0.25"/>
    <row r="54147" hidden="1" x14ac:dyDescent="0.25"/>
    <row r="54148" hidden="1" x14ac:dyDescent="0.25"/>
    <row r="54149" hidden="1" x14ac:dyDescent="0.25"/>
    <row r="54150" hidden="1" x14ac:dyDescent="0.25"/>
    <row r="54151" hidden="1" x14ac:dyDescent="0.25"/>
    <row r="54152" hidden="1" x14ac:dyDescent="0.25"/>
    <row r="54153" hidden="1" x14ac:dyDescent="0.25"/>
    <row r="54154" hidden="1" x14ac:dyDescent="0.25"/>
    <row r="54155" hidden="1" x14ac:dyDescent="0.25"/>
    <row r="54156" hidden="1" x14ac:dyDescent="0.25"/>
    <row r="54157" hidden="1" x14ac:dyDescent="0.25"/>
    <row r="54158" hidden="1" x14ac:dyDescent="0.25"/>
    <row r="54159" hidden="1" x14ac:dyDescent="0.25"/>
    <row r="54160" hidden="1" x14ac:dyDescent="0.25"/>
    <row r="54161" hidden="1" x14ac:dyDescent="0.25"/>
    <row r="54162" hidden="1" x14ac:dyDescent="0.25"/>
    <row r="54163" hidden="1" x14ac:dyDescent="0.25"/>
    <row r="54164" hidden="1" x14ac:dyDescent="0.25"/>
    <row r="54165" hidden="1" x14ac:dyDescent="0.25"/>
    <row r="54166" hidden="1" x14ac:dyDescent="0.25"/>
    <row r="54167" hidden="1" x14ac:dyDescent="0.25"/>
    <row r="54168" hidden="1" x14ac:dyDescent="0.25"/>
    <row r="54169" hidden="1" x14ac:dyDescent="0.25"/>
    <row r="54170" hidden="1" x14ac:dyDescent="0.25"/>
    <row r="54171" hidden="1" x14ac:dyDescent="0.25"/>
    <row r="54172" hidden="1" x14ac:dyDescent="0.25"/>
    <row r="54173" hidden="1" x14ac:dyDescent="0.25"/>
    <row r="54174" hidden="1" x14ac:dyDescent="0.25"/>
    <row r="54175" hidden="1" x14ac:dyDescent="0.25"/>
    <row r="54176" hidden="1" x14ac:dyDescent="0.25"/>
    <row r="54177" hidden="1" x14ac:dyDescent="0.25"/>
    <row r="54178" hidden="1" x14ac:dyDescent="0.25"/>
    <row r="54179" hidden="1" x14ac:dyDescent="0.25"/>
    <row r="54180" hidden="1" x14ac:dyDescent="0.25"/>
    <row r="54181" hidden="1" x14ac:dyDescent="0.25"/>
    <row r="54182" hidden="1" x14ac:dyDescent="0.25"/>
    <row r="54183" hidden="1" x14ac:dyDescent="0.25"/>
    <row r="54184" hidden="1" x14ac:dyDescent="0.25"/>
    <row r="54185" hidden="1" x14ac:dyDescent="0.25"/>
    <row r="54186" hidden="1" x14ac:dyDescent="0.25"/>
    <row r="54187" hidden="1" x14ac:dyDescent="0.25"/>
    <row r="54188" hidden="1" x14ac:dyDescent="0.25"/>
    <row r="54189" hidden="1" x14ac:dyDescent="0.25"/>
    <row r="54190" hidden="1" x14ac:dyDescent="0.25"/>
    <row r="54191" hidden="1" x14ac:dyDescent="0.25"/>
    <row r="54192" hidden="1" x14ac:dyDescent="0.25"/>
    <row r="54193" hidden="1" x14ac:dyDescent="0.25"/>
    <row r="54194" hidden="1" x14ac:dyDescent="0.25"/>
    <row r="54195" hidden="1" x14ac:dyDescent="0.25"/>
    <row r="54196" hidden="1" x14ac:dyDescent="0.25"/>
    <row r="54197" hidden="1" x14ac:dyDescent="0.25"/>
    <row r="54198" hidden="1" x14ac:dyDescent="0.25"/>
    <row r="54199" hidden="1" x14ac:dyDescent="0.25"/>
    <row r="54200" hidden="1" x14ac:dyDescent="0.25"/>
    <row r="54201" hidden="1" x14ac:dyDescent="0.25"/>
    <row r="54202" hidden="1" x14ac:dyDescent="0.25"/>
    <row r="54203" hidden="1" x14ac:dyDescent="0.25"/>
    <row r="54204" hidden="1" x14ac:dyDescent="0.25"/>
    <row r="54205" hidden="1" x14ac:dyDescent="0.25"/>
    <row r="54206" hidden="1" x14ac:dyDescent="0.25"/>
    <row r="54207" hidden="1" x14ac:dyDescent="0.25"/>
    <row r="54208" hidden="1" x14ac:dyDescent="0.25"/>
    <row r="54209" hidden="1" x14ac:dyDescent="0.25"/>
    <row r="54210" hidden="1" x14ac:dyDescent="0.25"/>
    <row r="54211" hidden="1" x14ac:dyDescent="0.25"/>
    <row r="54212" hidden="1" x14ac:dyDescent="0.25"/>
    <row r="54213" hidden="1" x14ac:dyDescent="0.25"/>
    <row r="54214" hidden="1" x14ac:dyDescent="0.25"/>
    <row r="54215" hidden="1" x14ac:dyDescent="0.25"/>
    <row r="54216" hidden="1" x14ac:dyDescent="0.25"/>
    <row r="54217" hidden="1" x14ac:dyDescent="0.25"/>
    <row r="54218" hidden="1" x14ac:dyDescent="0.25"/>
    <row r="54219" hidden="1" x14ac:dyDescent="0.25"/>
    <row r="54220" hidden="1" x14ac:dyDescent="0.25"/>
    <row r="54221" hidden="1" x14ac:dyDescent="0.25"/>
    <row r="54222" hidden="1" x14ac:dyDescent="0.25"/>
    <row r="54223" hidden="1" x14ac:dyDescent="0.25"/>
    <row r="54224" hidden="1" x14ac:dyDescent="0.25"/>
    <row r="54225" hidden="1" x14ac:dyDescent="0.25"/>
    <row r="54226" hidden="1" x14ac:dyDescent="0.25"/>
    <row r="54227" hidden="1" x14ac:dyDescent="0.25"/>
    <row r="54228" hidden="1" x14ac:dyDescent="0.25"/>
    <row r="54229" hidden="1" x14ac:dyDescent="0.25"/>
    <row r="54230" hidden="1" x14ac:dyDescent="0.25"/>
    <row r="54231" hidden="1" x14ac:dyDescent="0.25"/>
    <row r="54232" hidden="1" x14ac:dyDescent="0.25"/>
    <row r="54233" hidden="1" x14ac:dyDescent="0.25"/>
    <row r="54234" hidden="1" x14ac:dyDescent="0.25"/>
    <row r="54235" hidden="1" x14ac:dyDescent="0.25"/>
    <row r="54236" hidden="1" x14ac:dyDescent="0.25"/>
    <row r="54237" hidden="1" x14ac:dyDescent="0.25"/>
    <row r="54238" hidden="1" x14ac:dyDescent="0.25"/>
    <row r="54239" hidden="1" x14ac:dyDescent="0.25"/>
    <row r="54240" hidden="1" x14ac:dyDescent="0.25"/>
    <row r="54241" hidden="1" x14ac:dyDescent="0.25"/>
    <row r="54242" hidden="1" x14ac:dyDescent="0.25"/>
    <row r="54243" hidden="1" x14ac:dyDescent="0.25"/>
    <row r="54244" hidden="1" x14ac:dyDescent="0.25"/>
    <row r="54245" hidden="1" x14ac:dyDescent="0.25"/>
    <row r="54246" hidden="1" x14ac:dyDescent="0.25"/>
    <row r="54247" hidden="1" x14ac:dyDescent="0.25"/>
    <row r="54248" hidden="1" x14ac:dyDescent="0.25"/>
    <row r="54249" hidden="1" x14ac:dyDescent="0.25"/>
    <row r="54250" hidden="1" x14ac:dyDescent="0.25"/>
    <row r="54251" hidden="1" x14ac:dyDescent="0.25"/>
    <row r="54252" hidden="1" x14ac:dyDescent="0.25"/>
    <row r="54253" hidden="1" x14ac:dyDescent="0.25"/>
    <row r="54254" hidden="1" x14ac:dyDescent="0.25"/>
    <row r="54255" hidden="1" x14ac:dyDescent="0.25"/>
    <row r="54256" hidden="1" x14ac:dyDescent="0.25"/>
    <row r="54257" hidden="1" x14ac:dyDescent="0.25"/>
    <row r="54258" hidden="1" x14ac:dyDescent="0.25"/>
    <row r="54259" hidden="1" x14ac:dyDescent="0.25"/>
    <row r="54260" hidden="1" x14ac:dyDescent="0.25"/>
    <row r="54261" hidden="1" x14ac:dyDescent="0.25"/>
    <row r="54262" hidden="1" x14ac:dyDescent="0.25"/>
    <row r="54263" hidden="1" x14ac:dyDescent="0.25"/>
    <row r="54264" hidden="1" x14ac:dyDescent="0.25"/>
    <row r="54265" hidden="1" x14ac:dyDescent="0.25"/>
    <row r="54266" hidden="1" x14ac:dyDescent="0.25"/>
    <row r="54267" hidden="1" x14ac:dyDescent="0.25"/>
    <row r="54268" hidden="1" x14ac:dyDescent="0.25"/>
    <row r="54269" hidden="1" x14ac:dyDescent="0.25"/>
    <row r="54270" hidden="1" x14ac:dyDescent="0.25"/>
    <row r="54271" hidden="1" x14ac:dyDescent="0.25"/>
    <row r="54272" hidden="1" x14ac:dyDescent="0.25"/>
    <row r="54273" hidden="1" x14ac:dyDescent="0.25"/>
    <row r="54274" hidden="1" x14ac:dyDescent="0.25"/>
    <row r="54275" hidden="1" x14ac:dyDescent="0.25"/>
    <row r="54276" hidden="1" x14ac:dyDescent="0.25"/>
    <row r="54277" hidden="1" x14ac:dyDescent="0.25"/>
    <row r="54278" hidden="1" x14ac:dyDescent="0.25"/>
    <row r="54279" hidden="1" x14ac:dyDescent="0.25"/>
    <row r="54280" hidden="1" x14ac:dyDescent="0.25"/>
    <row r="54281" hidden="1" x14ac:dyDescent="0.25"/>
    <row r="54282" hidden="1" x14ac:dyDescent="0.25"/>
    <row r="54283" hidden="1" x14ac:dyDescent="0.25"/>
    <row r="54284" hidden="1" x14ac:dyDescent="0.25"/>
    <row r="54285" hidden="1" x14ac:dyDescent="0.25"/>
    <row r="54286" hidden="1" x14ac:dyDescent="0.25"/>
    <row r="54287" hidden="1" x14ac:dyDescent="0.25"/>
    <row r="54288" hidden="1" x14ac:dyDescent="0.25"/>
    <row r="54289" hidden="1" x14ac:dyDescent="0.25"/>
    <row r="54290" hidden="1" x14ac:dyDescent="0.25"/>
    <row r="54291" hidden="1" x14ac:dyDescent="0.25"/>
    <row r="54292" hidden="1" x14ac:dyDescent="0.25"/>
    <row r="54293" hidden="1" x14ac:dyDescent="0.25"/>
    <row r="54294" hidden="1" x14ac:dyDescent="0.25"/>
    <row r="54295" hidden="1" x14ac:dyDescent="0.25"/>
    <row r="54296" hidden="1" x14ac:dyDescent="0.25"/>
    <row r="54297" hidden="1" x14ac:dyDescent="0.25"/>
    <row r="54298" hidden="1" x14ac:dyDescent="0.25"/>
    <row r="54299" hidden="1" x14ac:dyDescent="0.25"/>
    <row r="54300" hidden="1" x14ac:dyDescent="0.25"/>
    <row r="54301" hidden="1" x14ac:dyDescent="0.25"/>
    <row r="54302" hidden="1" x14ac:dyDescent="0.25"/>
    <row r="54303" hidden="1" x14ac:dyDescent="0.25"/>
    <row r="54304" hidden="1" x14ac:dyDescent="0.25"/>
    <row r="54305" hidden="1" x14ac:dyDescent="0.25"/>
    <row r="54306" hidden="1" x14ac:dyDescent="0.25"/>
    <row r="54307" hidden="1" x14ac:dyDescent="0.25"/>
    <row r="54308" hidden="1" x14ac:dyDescent="0.25"/>
    <row r="54309" hidden="1" x14ac:dyDescent="0.25"/>
    <row r="54310" hidden="1" x14ac:dyDescent="0.25"/>
    <row r="54311" hidden="1" x14ac:dyDescent="0.25"/>
    <row r="54312" hidden="1" x14ac:dyDescent="0.25"/>
    <row r="54313" hidden="1" x14ac:dyDescent="0.25"/>
    <row r="54314" hidden="1" x14ac:dyDescent="0.25"/>
    <row r="54315" hidden="1" x14ac:dyDescent="0.25"/>
    <row r="54316" hidden="1" x14ac:dyDescent="0.25"/>
    <row r="54317" hidden="1" x14ac:dyDescent="0.25"/>
    <row r="54318" hidden="1" x14ac:dyDescent="0.25"/>
    <row r="54319" hidden="1" x14ac:dyDescent="0.25"/>
    <row r="54320" hidden="1" x14ac:dyDescent="0.25"/>
    <row r="54321" hidden="1" x14ac:dyDescent="0.25"/>
    <row r="54322" hidden="1" x14ac:dyDescent="0.25"/>
    <row r="54323" hidden="1" x14ac:dyDescent="0.25"/>
    <row r="54324" hidden="1" x14ac:dyDescent="0.25"/>
    <row r="54325" hidden="1" x14ac:dyDescent="0.25"/>
    <row r="54326" hidden="1" x14ac:dyDescent="0.25"/>
    <row r="54327" hidden="1" x14ac:dyDescent="0.25"/>
    <row r="54328" hidden="1" x14ac:dyDescent="0.25"/>
    <row r="54329" hidden="1" x14ac:dyDescent="0.25"/>
    <row r="54330" hidden="1" x14ac:dyDescent="0.25"/>
    <row r="54331" hidden="1" x14ac:dyDescent="0.25"/>
    <row r="54332" hidden="1" x14ac:dyDescent="0.25"/>
    <row r="54333" hidden="1" x14ac:dyDescent="0.25"/>
    <row r="54334" hidden="1" x14ac:dyDescent="0.25"/>
    <row r="54335" hidden="1" x14ac:dyDescent="0.25"/>
    <row r="54336" hidden="1" x14ac:dyDescent="0.25"/>
    <row r="54337" hidden="1" x14ac:dyDescent="0.25"/>
    <row r="54338" hidden="1" x14ac:dyDescent="0.25"/>
    <row r="54339" hidden="1" x14ac:dyDescent="0.25"/>
    <row r="54340" hidden="1" x14ac:dyDescent="0.25"/>
    <row r="54341" hidden="1" x14ac:dyDescent="0.25"/>
    <row r="54342" hidden="1" x14ac:dyDescent="0.25"/>
    <row r="54343" hidden="1" x14ac:dyDescent="0.25"/>
    <row r="54344" hidden="1" x14ac:dyDescent="0.25"/>
    <row r="54345" hidden="1" x14ac:dyDescent="0.25"/>
    <row r="54346" hidden="1" x14ac:dyDescent="0.25"/>
    <row r="54347" hidden="1" x14ac:dyDescent="0.25"/>
    <row r="54348" hidden="1" x14ac:dyDescent="0.25"/>
    <row r="54349" hidden="1" x14ac:dyDescent="0.25"/>
    <row r="54350" hidden="1" x14ac:dyDescent="0.25"/>
    <row r="54351" hidden="1" x14ac:dyDescent="0.25"/>
    <row r="54352" hidden="1" x14ac:dyDescent="0.25"/>
    <row r="54353" hidden="1" x14ac:dyDescent="0.25"/>
    <row r="54354" hidden="1" x14ac:dyDescent="0.25"/>
    <row r="54355" hidden="1" x14ac:dyDescent="0.25"/>
    <row r="54356" hidden="1" x14ac:dyDescent="0.25"/>
    <row r="54357" hidden="1" x14ac:dyDescent="0.25"/>
    <row r="54358" hidden="1" x14ac:dyDescent="0.25"/>
    <row r="54359" hidden="1" x14ac:dyDescent="0.25"/>
    <row r="54360" hidden="1" x14ac:dyDescent="0.25"/>
    <row r="54361" hidden="1" x14ac:dyDescent="0.25"/>
    <row r="54362" hidden="1" x14ac:dyDescent="0.25"/>
    <row r="54363" hidden="1" x14ac:dyDescent="0.25"/>
    <row r="54364" hidden="1" x14ac:dyDescent="0.25"/>
    <row r="54365" hidden="1" x14ac:dyDescent="0.25"/>
    <row r="54366" hidden="1" x14ac:dyDescent="0.25"/>
    <row r="54367" hidden="1" x14ac:dyDescent="0.25"/>
    <row r="54368" hidden="1" x14ac:dyDescent="0.25"/>
    <row r="54369" hidden="1" x14ac:dyDescent="0.25"/>
    <row r="54370" hidden="1" x14ac:dyDescent="0.25"/>
    <row r="54371" hidden="1" x14ac:dyDescent="0.25"/>
    <row r="54372" hidden="1" x14ac:dyDescent="0.25"/>
    <row r="54373" hidden="1" x14ac:dyDescent="0.25"/>
    <row r="54374" hidden="1" x14ac:dyDescent="0.25"/>
    <row r="54375" hidden="1" x14ac:dyDescent="0.25"/>
    <row r="54376" hidden="1" x14ac:dyDescent="0.25"/>
    <row r="54377" hidden="1" x14ac:dyDescent="0.25"/>
    <row r="54378" hidden="1" x14ac:dyDescent="0.25"/>
    <row r="54379" hidden="1" x14ac:dyDescent="0.25"/>
    <row r="54380" hidden="1" x14ac:dyDescent="0.25"/>
    <row r="54381" hidden="1" x14ac:dyDescent="0.25"/>
    <row r="54382" hidden="1" x14ac:dyDescent="0.25"/>
    <row r="54383" hidden="1" x14ac:dyDescent="0.25"/>
    <row r="54384" hidden="1" x14ac:dyDescent="0.25"/>
    <row r="54385" hidden="1" x14ac:dyDescent="0.25"/>
    <row r="54386" hidden="1" x14ac:dyDescent="0.25"/>
    <row r="54387" hidden="1" x14ac:dyDescent="0.25"/>
    <row r="54388" hidden="1" x14ac:dyDescent="0.25"/>
    <row r="54389" hidden="1" x14ac:dyDescent="0.25"/>
    <row r="54390" hidden="1" x14ac:dyDescent="0.25"/>
    <row r="54391" hidden="1" x14ac:dyDescent="0.25"/>
    <row r="54392" hidden="1" x14ac:dyDescent="0.25"/>
    <row r="54393" hidden="1" x14ac:dyDescent="0.25"/>
    <row r="54394" hidden="1" x14ac:dyDescent="0.25"/>
    <row r="54395" hidden="1" x14ac:dyDescent="0.25"/>
    <row r="54396" hidden="1" x14ac:dyDescent="0.25"/>
    <row r="54397" hidden="1" x14ac:dyDescent="0.25"/>
    <row r="54398" hidden="1" x14ac:dyDescent="0.25"/>
    <row r="54399" hidden="1" x14ac:dyDescent="0.25"/>
    <row r="54400" hidden="1" x14ac:dyDescent="0.25"/>
    <row r="54401" hidden="1" x14ac:dyDescent="0.25"/>
    <row r="54402" hidden="1" x14ac:dyDescent="0.25"/>
    <row r="54403" hidden="1" x14ac:dyDescent="0.25"/>
    <row r="54404" hidden="1" x14ac:dyDescent="0.25"/>
    <row r="54405" hidden="1" x14ac:dyDescent="0.25"/>
    <row r="54406" hidden="1" x14ac:dyDescent="0.25"/>
    <row r="54407" hidden="1" x14ac:dyDescent="0.25"/>
    <row r="54408" hidden="1" x14ac:dyDescent="0.25"/>
    <row r="54409" hidden="1" x14ac:dyDescent="0.25"/>
    <row r="54410" hidden="1" x14ac:dyDescent="0.25"/>
    <row r="54411" hidden="1" x14ac:dyDescent="0.25"/>
    <row r="54412" hidden="1" x14ac:dyDescent="0.25"/>
    <row r="54413" hidden="1" x14ac:dyDescent="0.25"/>
    <row r="54414" hidden="1" x14ac:dyDescent="0.25"/>
    <row r="54415" hidden="1" x14ac:dyDescent="0.25"/>
    <row r="54416" hidden="1" x14ac:dyDescent="0.25"/>
    <row r="54417" hidden="1" x14ac:dyDescent="0.25"/>
    <row r="54418" hidden="1" x14ac:dyDescent="0.25"/>
    <row r="54419" hidden="1" x14ac:dyDescent="0.25"/>
    <row r="54420" hidden="1" x14ac:dyDescent="0.25"/>
    <row r="54421" hidden="1" x14ac:dyDescent="0.25"/>
    <row r="54422" hidden="1" x14ac:dyDescent="0.25"/>
    <row r="54423" hidden="1" x14ac:dyDescent="0.25"/>
    <row r="54424" hidden="1" x14ac:dyDescent="0.25"/>
    <row r="54425" hidden="1" x14ac:dyDescent="0.25"/>
    <row r="54426" hidden="1" x14ac:dyDescent="0.25"/>
    <row r="54427" hidden="1" x14ac:dyDescent="0.25"/>
    <row r="54428" hidden="1" x14ac:dyDescent="0.25"/>
    <row r="54429" hidden="1" x14ac:dyDescent="0.25"/>
    <row r="54430" hidden="1" x14ac:dyDescent="0.25"/>
    <row r="54431" hidden="1" x14ac:dyDescent="0.25"/>
    <row r="54432" hidden="1" x14ac:dyDescent="0.25"/>
    <row r="54433" hidden="1" x14ac:dyDescent="0.25"/>
    <row r="54434" hidden="1" x14ac:dyDescent="0.25"/>
    <row r="54435" hidden="1" x14ac:dyDescent="0.25"/>
    <row r="54436" hidden="1" x14ac:dyDescent="0.25"/>
    <row r="54437" hidden="1" x14ac:dyDescent="0.25"/>
    <row r="54438" hidden="1" x14ac:dyDescent="0.25"/>
    <row r="54439" hidden="1" x14ac:dyDescent="0.25"/>
    <row r="54440" hidden="1" x14ac:dyDescent="0.25"/>
    <row r="54441" hidden="1" x14ac:dyDescent="0.25"/>
    <row r="54442" hidden="1" x14ac:dyDescent="0.25"/>
    <row r="54443" hidden="1" x14ac:dyDescent="0.25"/>
    <row r="54444" hidden="1" x14ac:dyDescent="0.25"/>
    <row r="54445" hidden="1" x14ac:dyDescent="0.25"/>
    <row r="54446" hidden="1" x14ac:dyDescent="0.25"/>
    <row r="54447" hidden="1" x14ac:dyDescent="0.25"/>
    <row r="54448" hidden="1" x14ac:dyDescent="0.25"/>
    <row r="54449" hidden="1" x14ac:dyDescent="0.25"/>
    <row r="54450" hidden="1" x14ac:dyDescent="0.25"/>
    <row r="54451" hidden="1" x14ac:dyDescent="0.25"/>
    <row r="54452" hidden="1" x14ac:dyDescent="0.25"/>
    <row r="54453" hidden="1" x14ac:dyDescent="0.25"/>
    <row r="54454" hidden="1" x14ac:dyDescent="0.25"/>
    <row r="54455" hidden="1" x14ac:dyDescent="0.25"/>
    <row r="54456" hidden="1" x14ac:dyDescent="0.25"/>
    <row r="54457" hidden="1" x14ac:dyDescent="0.25"/>
    <row r="54458" hidden="1" x14ac:dyDescent="0.25"/>
    <row r="54459" hidden="1" x14ac:dyDescent="0.25"/>
    <row r="54460" hidden="1" x14ac:dyDescent="0.25"/>
    <row r="54461" hidden="1" x14ac:dyDescent="0.25"/>
    <row r="54462" hidden="1" x14ac:dyDescent="0.25"/>
    <row r="54463" hidden="1" x14ac:dyDescent="0.25"/>
    <row r="54464" hidden="1" x14ac:dyDescent="0.25"/>
    <row r="54465" hidden="1" x14ac:dyDescent="0.25"/>
    <row r="54466" hidden="1" x14ac:dyDescent="0.25"/>
    <row r="54467" hidden="1" x14ac:dyDescent="0.25"/>
    <row r="54468" hidden="1" x14ac:dyDescent="0.25"/>
    <row r="54469" hidden="1" x14ac:dyDescent="0.25"/>
    <row r="54470" hidden="1" x14ac:dyDescent="0.25"/>
    <row r="54471" hidden="1" x14ac:dyDescent="0.25"/>
    <row r="54472" hidden="1" x14ac:dyDescent="0.25"/>
    <row r="54473" hidden="1" x14ac:dyDescent="0.25"/>
    <row r="54474" hidden="1" x14ac:dyDescent="0.25"/>
    <row r="54475" hidden="1" x14ac:dyDescent="0.25"/>
    <row r="54476" hidden="1" x14ac:dyDescent="0.25"/>
    <row r="54477" hidden="1" x14ac:dyDescent="0.25"/>
    <row r="54478" hidden="1" x14ac:dyDescent="0.25"/>
    <row r="54479" hidden="1" x14ac:dyDescent="0.25"/>
    <row r="54480" hidden="1" x14ac:dyDescent="0.25"/>
    <row r="54481" hidden="1" x14ac:dyDescent="0.25"/>
    <row r="54482" hidden="1" x14ac:dyDescent="0.25"/>
    <row r="54483" hidden="1" x14ac:dyDescent="0.25"/>
    <row r="54484" hidden="1" x14ac:dyDescent="0.25"/>
    <row r="54485" hidden="1" x14ac:dyDescent="0.25"/>
    <row r="54486" hidden="1" x14ac:dyDescent="0.25"/>
    <row r="54487" hidden="1" x14ac:dyDescent="0.25"/>
    <row r="54488" hidden="1" x14ac:dyDescent="0.25"/>
    <row r="54489" hidden="1" x14ac:dyDescent="0.25"/>
    <row r="54490" hidden="1" x14ac:dyDescent="0.25"/>
    <row r="54491" hidden="1" x14ac:dyDescent="0.25"/>
    <row r="54492" hidden="1" x14ac:dyDescent="0.25"/>
    <row r="54493" hidden="1" x14ac:dyDescent="0.25"/>
    <row r="54494" hidden="1" x14ac:dyDescent="0.25"/>
    <row r="54495" hidden="1" x14ac:dyDescent="0.25"/>
    <row r="54496" hidden="1" x14ac:dyDescent="0.25"/>
    <row r="54497" hidden="1" x14ac:dyDescent="0.25"/>
    <row r="54498" hidden="1" x14ac:dyDescent="0.25"/>
    <row r="54499" hidden="1" x14ac:dyDescent="0.25"/>
    <row r="54500" hidden="1" x14ac:dyDescent="0.25"/>
    <row r="54501" hidden="1" x14ac:dyDescent="0.25"/>
    <row r="54502" hidden="1" x14ac:dyDescent="0.25"/>
    <row r="54503" hidden="1" x14ac:dyDescent="0.25"/>
    <row r="54504" hidden="1" x14ac:dyDescent="0.25"/>
    <row r="54505" hidden="1" x14ac:dyDescent="0.25"/>
    <row r="54506" hidden="1" x14ac:dyDescent="0.25"/>
    <row r="54507" hidden="1" x14ac:dyDescent="0.25"/>
    <row r="54508" hidden="1" x14ac:dyDescent="0.25"/>
    <row r="54509" hidden="1" x14ac:dyDescent="0.25"/>
    <row r="54510" hidden="1" x14ac:dyDescent="0.25"/>
    <row r="54511" hidden="1" x14ac:dyDescent="0.25"/>
    <row r="54512" hidden="1" x14ac:dyDescent="0.25"/>
    <row r="54513" hidden="1" x14ac:dyDescent="0.25"/>
    <row r="54514" hidden="1" x14ac:dyDescent="0.25"/>
    <row r="54515" hidden="1" x14ac:dyDescent="0.25"/>
    <row r="54516" hidden="1" x14ac:dyDescent="0.25"/>
    <row r="54517" hidden="1" x14ac:dyDescent="0.25"/>
    <row r="54518" hidden="1" x14ac:dyDescent="0.25"/>
    <row r="54519" hidden="1" x14ac:dyDescent="0.25"/>
    <row r="54520" hidden="1" x14ac:dyDescent="0.25"/>
    <row r="54521" hidden="1" x14ac:dyDescent="0.25"/>
    <row r="54522" hidden="1" x14ac:dyDescent="0.25"/>
    <row r="54523" hidden="1" x14ac:dyDescent="0.25"/>
    <row r="54524" hidden="1" x14ac:dyDescent="0.25"/>
    <row r="54525" hidden="1" x14ac:dyDescent="0.25"/>
    <row r="54526" hidden="1" x14ac:dyDescent="0.25"/>
    <row r="54527" hidden="1" x14ac:dyDescent="0.25"/>
    <row r="54528" hidden="1" x14ac:dyDescent="0.25"/>
    <row r="54529" hidden="1" x14ac:dyDescent="0.25"/>
    <row r="54530" hidden="1" x14ac:dyDescent="0.25"/>
    <row r="54531" hidden="1" x14ac:dyDescent="0.25"/>
    <row r="54532" hidden="1" x14ac:dyDescent="0.25"/>
    <row r="54533" hidden="1" x14ac:dyDescent="0.25"/>
    <row r="54534" hidden="1" x14ac:dyDescent="0.25"/>
    <row r="54535" hidden="1" x14ac:dyDescent="0.25"/>
    <row r="54536" hidden="1" x14ac:dyDescent="0.25"/>
    <row r="54537" hidden="1" x14ac:dyDescent="0.25"/>
    <row r="54538" hidden="1" x14ac:dyDescent="0.25"/>
    <row r="54539" hidden="1" x14ac:dyDescent="0.25"/>
    <row r="54540" hidden="1" x14ac:dyDescent="0.25"/>
    <row r="54541" hidden="1" x14ac:dyDescent="0.25"/>
    <row r="54542" hidden="1" x14ac:dyDescent="0.25"/>
    <row r="54543" hidden="1" x14ac:dyDescent="0.25"/>
    <row r="54544" hidden="1" x14ac:dyDescent="0.25"/>
    <row r="54545" hidden="1" x14ac:dyDescent="0.25"/>
    <row r="54546" hidden="1" x14ac:dyDescent="0.25"/>
    <row r="54547" hidden="1" x14ac:dyDescent="0.25"/>
    <row r="54548" hidden="1" x14ac:dyDescent="0.25"/>
    <row r="54549" hidden="1" x14ac:dyDescent="0.25"/>
    <row r="54550" hidden="1" x14ac:dyDescent="0.25"/>
    <row r="54551" hidden="1" x14ac:dyDescent="0.25"/>
    <row r="54552" hidden="1" x14ac:dyDescent="0.25"/>
    <row r="54553" hidden="1" x14ac:dyDescent="0.25"/>
    <row r="54554" hidden="1" x14ac:dyDescent="0.25"/>
    <row r="54555" hidden="1" x14ac:dyDescent="0.25"/>
    <row r="54556" hidden="1" x14ac:dyDescent="0.25"/>
    <row r="54557" hidden="1" x14ac:dyDescent="0.25"/>
    <row r="54558" hidden="1" x14ac:dyDescent="0.25"/>
    <row r="54559" hidden="1" x14ac:dyDescent="0.25"/>
    <row r="54560" hidden="1" x14ac:dyDescent="0.25"/>
    <row r="54561" hidden="1" x14ac:dyDescent="0.25"/>
    <row r="54562" hidden="1" x14ac:dyDescent="0.25"/>
    <row r="54563" hidden="1" x14ac:dyDescent="0.25"/>
    <row r="54564" hidden="1" x14ac:dyDescent="0.25"/>
    <row r="54565" hidden="1" x14ac:dyDescent="0.25"/>
    <row r="54566" hidden="1" x14ac:dyDescent="0.25"/>
    <row r="54567" hidden="1" x14ac:dyDescent="0.25"/>
    <row r="54568" hidden="1" x14ac:dyDescent="0.25"/>
    <row r="54569" hidden="1" x14ac:dyDescent="0.25"/>
    <row r="54570" hidden="1" x14ac:dyDescent="0.25"/>
    <row r="54571" hidden="1" x14ac:dyDescent="0.25"/>
    <row r="54572" hidden="1" x14ac:dyDescent="0.25"/>
    <row r="54573" hidden="1" x14ac:dyDescent="0.25"/>
    <row r="54574" hidden="1" x14ac:dyDescent="0.25"/>
    <row r="54575" hidden="1" x14ac:dyDescent="0.25"/>
    <row r="54576" hidden="1" x14ac:dyDescent="0.25"/>
    <row r="54577" hidden="1" x14ac:dyDescent="0.25"/>
    <row r="54578" hidden="1" x14ac:dyDescent="0.25"/>
    <row r="54579" hidden="1" x14ac:dyDescent="0.25"/>
    <row r="54580" hidden="1" x14ac:dyDescent="0.25"/>
    <row r="54581" hidden="1" x14ac:dyDescent="0.25"/>
    <row r="54582" hidden="1" x14ac:dyDescent="0.25"/>
    <row r="54583" hidden="1" x14ac:dyDescent="0.25"/>
    <row r="54584" hidden="1" x14ac:dyDescent="0.25"/>
    <row r="54585" hidden="1" x14ac:dyDescent="0.25"/>
    <row r="54586" hidden="1" x14ac:dyDescent="0.25"/>
    <row r="54587" hidden="1" x14ac:dyDescent="0.25"/>
    <row r="54588" hidden="1" x14ac:dyDescent="0.25"/>
    <row r="54589" hidden="1" x14ac:dyDescent="0.25"/>
    <row r="54590" hidden="1" x14ac:dyDescent="0.25"/>
    <row r="54591" hidden="1" x14ac:dyDescent="0.25"/>
    <row r="54592" hidden="1" x14ac:dyDescent="0.25"/>
    <row r="54593" hidden="1" x14ac:dyDescent="0.25"/>
    <row r="54594" hidden="1" x14ac:dyDescent="0.25"/>
    <row r="54595" hidden="1" x14ac:dyDescent="0.25"/>
    <row r="54596" hidden="1" x14ac:dyDescent="0.25"/>
    <row r="54597" hidden="1" x14ac:dyDescent="0.25"/>
    <row r="54598" hidden="1" x14ac:dyDescent="0.25"/>
    <row r="54599" hidden="1" x14ac:dyDescent="0.25"/>
    <row r="54600" hidden="1" x14ac:dyDescent="0.25"/>
    <row r="54601" hidden="1" x14ac:dyDescent="0.25"/>
    <row r="54602" hidden="1" x14ac:dyDescent="0.25"/>
    <row r="54603" hidden="1" x14ac:dyDescent="0.25"/>
    <row r="54604" hidden="1" x14ac:dyDescent="0.25"/>
    <row r="54605" hidden="1" x14ac:dyDescent="0.25"/>
    <row r="54606" hidden="1" x14ac:dyDescent="0.25"/>
    <row r="54607" hidden="1" x14ac:dyDescent="0.25"/>
    <row r="54608" hidden="1" x14ac:dyDescent="0.25"/>
    <row r="54609" hidden="1" x14ac:dyDescent="0.25"/>
    <row r="54610" hidden="1" x14ac:dyDescent="0.25"/>
    <row r="54611" hidden="1" x14ac:dyDescent="0.25"/>
    <row r="54612" hidden="1" x14ac:dyDescent="0.25"/>
    <row r="54613" hidden="1" x14ac:dyDescent="0.25"/>
    <row r="54614" hidden="1" x14ac:dyDescent="0.25"/>
    <row r="54615" hidden="1" x14ac:dyDescent="0.25"/>
    <row r="54616" hidden="1" x14ac:dyDescent="0.25"/>
    <row r="54617" hidden="1" x14ac:dyDescent="0.25"/>
    <row r="54618" hidden="1" x14ac:dyDescent="0.25"/>
    <row r="54619" hidden="1" x14ac:dyDescent="0.25"/>
    <row r="54620" hidden="1" x14ac:dyDescent="0.25"/>
    <row r="54621" hidden="1" x14ac:dyDescent="0.25"/>
    <row r="54622" hidden="1" x14ac:dyDescent="0.25"/>
    <row r="54623" hidden="1" x14ac:dyDescent="0.25"/>
    <row r="54624" hidden="1" x14ac:dyDescent="0.25"/>
    <row r="54625" hidden="1" x14ac:dyDescent="0.25"/>
    <row r="54626" hidden="1" x14ac:dyDescent="0.25"/>
    <row r="54627" hidden="1" x14ac:dyDescent="0.25"/>
    <row r="54628" hidden="1" x14ac:dyDescent="0.25"/>
    <row r="54629" hidden="1" x14ac:dyDescent="0.25"/>
    <row r="54630" hidden="1" x14ac:dyDescent="0.25"/>
    <row r="54631" hidden="1" x14ac:dyDescent="0.25"/>
    <row r="54632" hidden="1" x14ac:dyDescent="0.25"/>
    <row r="54633" hidden="1" x14ac:dyDescent="0.25"/>
    <row r="54634" hidden="1" x14ac:dyDescent="0.25"/>
    <row r="54635" hidden="1" x14ac:dyDescent="0.25"/>
    <row r="54636" hidden="1" x14ac:dyDescent="0.25"/>
    <row r="54637" hidden="1" x14ac:dyDescent="0.25"/>
    <row r="54638" hidden="1" x14ac:dyDescent="0.25"/>
    <row r="54639" hidden="1" x14ac:dyDescent="0.25"/>
    <row r="54640" hidden="1" x14ac:dyDescent="0.25"/>
    <row r="54641" hidden="1" x14ac:dyDescent="0.25"/>
    <row r="54642" hidden="1" x14ac:dyDescent="0.25"/>
    <row r="54643" hidden="1" x14ac:dyDescent="0.25"/>
    <row r="54644" hidden="1" x14ac:dyDescent="0.25"/>
    <row r="54645" hidden="1" x14ac:dyDescent="0.25"/>
    <row r="54646" hidden="1" x14ac:dyDescent="0.25"/>
    <row r="54647" hidden="1" x14ac:dyDescent="0.25"/>
    <row r="54648" hidden="1" x14ac:dyDescent="0.25"/>
    <row r="54649" hidden="1" x14ac:dyDescent="0.25"/>
    <row r="54650" hidden="1" x14ac:dyDescent="0.25"/>
    <row r="54651" hidden="1" x14ac:dyDescent="0.25"/>
    <row r="54652" hidden="1" x14ac:dyDescent="0.25"/>
    <row r="54653" hidden="1" x14ac:dyDescent="0.25"/>
    <row r="54654" hidden="1" x14ac:dyDescent="0.25"/>
    <row r="54655" hidden="1" x14ac:dyDescent="0.25"/>
    <row r="54656" hidden="1" x14ac:dyDescent="0.25"/>
    <row r="54657" hidden="1" x14ac:dyDescent="0.25"/>
    <row r="54658" hidden="1" x14ac:dyDescent="0.25"/>
    <row r="54659" hidden="1" x14ac:dyDescent="0.25"/>
    <row r="54660" hidden="1" x14ac:dyDescent="0.25"/>
    <row r="54661" hidden="1" x14ac:dyDescent="0.25"/>
    <row r="54662" hidden="1" x14ac:dyDescent="0.25"/>
    <row r="54663" hidden="1" x14ac:dyDescent="0.25"/>
    <row r="54664" hidden="1" x14ac:dyDescent="0.25"/>
    <row r="54665" hidden="1" x14ac:dyDescent="0.25"/>
    <row r="54666" hidden="1" x14ac:dyDescent="0.25"/>
    <row r="54667" hidden="1" x14ac:dyDescent="0.25"/>
    <row r="54668" hidden="1" x14ac:dyDescent="0.25"/>
    <row r="54669" hidden="1" x14ac:dyDescent="0.25"/>
    <row r="54670" hidden="1" x14ac:dyDescent="0.25"/>
    <row r="54671" hidden="1" x14ac:dyDescent="0.25"/>
    <row r="54672" hidden="1" x14ac:dyDescent="0.25"/>
    <row r="54673" hidden="1" x14ac:dyDescent="0.25"/>
    <row r="54674" hidden="1" x14ac:dyDescent="0.25"/>
    <row r="54675" hidden="1" x14ac:dyDescent="0.25"/>
    <row r="54676" hidden="1" x14ac:dyDescent="0.25"/>
    <row r="54677" hidden="1" x14ac:dyDescent="0.25"/>
    <row r="54678" hidden="1" x14ac:dyDescent="0.25"/>
    <row r="54679" hidden="1" x14ac:dyDescent="0.25"/>
    <row r="54680" hidden="1" x14ac:dyDescent="0.25"/>
    <row r="54681" hidden="1" x14ac:dyDescent="0.25"/>
    <row r="54682" hidden="1" x14ac:dyDescent="0.25"/>
    <row r="54683" hidden="1" x14ac:dyDescent="0.25"/>
    <row r="54684" hidden="1" x14ac:dyDescent="0.25"/>
    <row r="54685" hidden="1" x14ac:dyDescent="0.25"/>
    <row r="54686" hidden="1" x14ac:dyDescent="0.25"/>
    <row r="54687" hidden="1" x14ac:dyDescent="0.25"/>
    <row r="54688" hidden="1" x14ac:dyDescent="0.25"/>
    <row r="54689" hidden="1" x14ac:dyDescent="0.25"/>
    <row r="54690" hidden="1" x14ac:dyDescent="0.25"/>
    <row r="54691" hidden="1" x14ac:dyDescent="0.25"/>
    <row r="54692" hidden="1" x14ac:dyDescent="0.25"/>
    <row r="54693" hidden="1" x14ac:dyDescent="0.25"/>
    <row r="54694" hidden="1" x14ac:dyDescent="0.25"/>
    <row r="54695" hidden="1" x14ac:dyDescent="0.25"/>
    <row r="54696" hidden="1" x14ac:dyDescent="0.25"/>
    <row r="54697" hidden="1" x14ac:dyDescent="0.25"/>
    <row r="54698" hidden="1" x14ac:dyDescent="0.25"/>
    <row r="54699" hidden="1" x14ac:dyDescent="0.25"/>
    <row r="54700" hidden="1" x14ac:dyDescent="0.25"/>
    <row r="54701" hidden="1" x14ac:dyDescent="0.25"/>
    <row r="54702" hidden="1" x14ac:dyDescent="0.25"/>
    <row r="54703" hidden="1" x14ac:dyDescent="0.25"/>
    <row r="54704" hidden="1" x14ac:dyDescent="0.25"/>
    <row r="54705" hidden="1" x14ac:dyDescent="0.25"/>
    <row r="54706" hidden="1" x14ac:dyDescent="0.25"/>
    <row r="54707" hidden="1" x14ac:dyDescent="0.25"/>
    <row r="54708" hidden="1" x14ac:dyDescent="0.25"/>
    <row r="54709" hidden="1" x14ac:dyDescent="0.25"/>
    <row r="54710" hidden="1" x14ac:dyDescent="0.25"/>
    <row r="54711" hidden="1" x14ac:dyDescent="0.25"/>
    <row r="54712" hidden="1" x14ac:dyDescent="0.25"/>
    <row r="54713" hidden="1" x14ac:dyDescent="0.25"/>
    <row r="54714" hidden="1" x14ac:dyDescent="0.25"/>
    <row r="54715" hidden="1" x14ac:dyDescent="0.25"/>
    <row r="54716" hidden="1" x14ac:dyDescent="0.25"/>
    <row r="54717" hidden="1" x14ac:dyDescent="0.25"/>
    <row r="54718" hidden="1" x14ac:dyDescent="0.25"/>
    <row r="54719" hidden="1" x14ac:dyDescent="0.25"/>
    <row r="54720" hidden="1" x14ac:dyDescent="0.25"/>
    <row r="54721" hidden="1" x14ac:dyDescent="0.25"/>
    <row r="54722" hidden="1" x14ac:dyDescent="0.25"/>
    <row r="54723" hidden="1" x14ac:dyDescent="0.25"/>
    <row r="54724" hidden="1" x14ac:dyDescent="0.25"/>
    <row r="54725" hidden="1" x14ac:dyDescent="0.25"/>
    <row r="54726" hidden="1" x14ac:dyDescent="0.25"/>
    <row r="54727" hidden="1" x14ac:dyDescent="0.25"/>
    <row r="54728" hidden="1" x14ac:dyDescent="0.25"/>
    <row r="54729" hidden="1" x14ac:dyDescent="0.25"/>
    <row r="54730" hidden="1" x14ac:dyDescent="0.25"/>
    <row r="54731" hidden="1" x14ac:dyDescent="0.25"/>
    <row r="54732" hidden="1" x14ac:dyDescent="0.25"/>
    <row r="54733" hidden="1" x14ac:dyDescent="0.25"/>
    <row r="54734" hidden="1" x14ac:dyDescent="0.25"/>
    <row r="54735" hidden="1" x14ac:dyDescent="0.25"/>
    <row r="54736" hidden="1" x14ac:dyDescent="0.25"/>
    <row r="54737" hidden="1" x14ac:dyDescent="0.25"/>
    <row r="54738" hidden="1" x14ac:dyDescent="0.25"/>
    <row r="54739" hidden="1" x14ac:dyDescent="0.25"/>
    <row r="54740" hidden="1" x14ac:dyDescent="0.25"/>
    <row r="54741" hidden="1" x14ac:dyDescent="0.25"/>
    <row r="54742" hidden="1" x14ac:dyDescent="0.25"/>
    <row r="54743" hidden="1" x14ac:dyDescent="0.25"/>
    <row r="54744" hidden="1" x14ac:dyDescent="0.25"/>
    <row r="54745" hidden="1" x14ac:dyDescent="0.25"/>
    <row r="54746" hidden="1" x14ac:dyDescent="0.25"/>
    <row r="54747" hidden="1" x14ac:dyDescent="0.25"/>
    <row r="54748" hidden="1" x14ac:dyDescent="0.25"/>
    <row r="54749" hidden="1" x14ac:dyDescent="0.25"/>
    <row r="54750" hidden="1" x14ac:dyDescent="0.25"/>
    <row r="54751" hidden="1" x14ac:dyDescent="0.25"/>
    <row r="54752" hidden="1" x14ac:dyDescent="0.25"/>
    <row r="54753" hidden="1" x14ac:dyDescent="0.25"/>
    <row r="54754" hidden="1" x14ac:dyDescent="0.25"/>
    <row r="54755" hidden="1" x14ac:dyDescent="0.25"/>
    <row r="54756" hidden="1" x14ac:dyDescent="0.25"/>
    <row r="54757" hidden="1" x14ac:dyDescent="0.25"/>
    <row r="54758" hidden="1" x14ac:dyDescent="0.25"/>
    <row r="54759" hidden="1" x14ac:dyDescent="0.25"/>
    <row r="54760" hidden="1" x14ac:dyDescent="0.25"/>
    <row r="54761" hidden="1" x14ac:dyDescent="0.25"/>
    <row r="54762" hidden="1" x14ac:dyDescent="0.25"/>
    <row r="54763" hidden="1" x14ac:dyDescent="0.25"/>
    <row r="54764" hidden="1" x14ac:dyDescent="0.25"/>
    <row r="54765" hidden="1" x14ac:dyDescent="0.25"/>
    <row r="54766" hidden="1" x14ac:dyDescent="0.25"/>
    <row r="54767" hidden="1" x14ac:dyDescent="0.25"/>
    <row r="54768" hidden="1" x14ac:dyDescent="0.25"/>
    <row r="54769" hidden="1" x14ac:dyDescent="0.25"/>
    <row r="54770" hidden="1" x14ac:dyDescent="0.25"/>
    <row r="54771" hidden="1" x14ac:dyDescent="0.25"/>
    <row r="54772" hidden="1" x14ac:dyDescent="0.25"/>
    <row r="54773" hidden="1" x14ac:dyDescent="0.25"/>
    <row r="54774" hidden="1" x14ac:dyDescent="0.25"/>
    <row r="54775" hidden="1" x14ac:dyDescent="0.25"/>
    <row r="54776" hidden="1" x14ac:dyDescent="0.25"/>
    <row r="54777" hidden="1" x14ac:dyDescent="0.25"/>
    <row r="54778" hidden="1" x14ac:dyDescent="0.25"/>
    <row r="54779" hidden="1" x14ac:dyDescent="0.25"/>
    <row r="54780" hidden="1" x14ac:dyDescent="0.25"/>
    <row r="54781" hidden="1" x14ac:dyDescent="0.25"/>
    <row r="54782" hidden="1" x14ac:dyDescent="0.25"/>
    <row r="54783" hidden="1" x14ac:dyDescent="0.25"/>
    <row r="54784" hidden="1" x14ac:dyDescent="0.25"/>
    <row r="54785" hidden="1" x14ac:dyDescent="0.25"/>
    <row r="54786" hidden="1" x14ac:dyDescent="0.25"/>
    <row r="54787" hidden="1" x14ac:dyDescent="0.25"/>
    <row r="54788" hidden="1" x14ac:dyDescent="0.25"/>
    <row r="54789" hidden="1" x14ac:dyDescent="0.25"/>
    <row r="54790" hidden="1" x14ac:dyDescent="0.25"/>
    <row r="54791" hidden="1" x14ac:dyDescent="0.25"/>
    <row r="54792" hidden="1" x14ac:dyDescent="0.25"/>
    <row r="54793" hidden="1" x14ac:dyDescent="0.25"/>
    <row r="54794" hidden="1" x14ac:dyDescent="0.25"/>
    <row r="54795" hidden="1" x14ac:dyDescent="0.25"/>
    <row r="54796" hidden="1" x14ac:dyDescent="0.25"/>
    <row r="54797" hidden="1" x14ac:dyDescent="0.25"/>
    <row r="54798" hidden="1" x14ac:dyDescent="0.25"/>
    <row r="54799" hidden="1" x14ac:dyDescent="0.25"/>
    <row r="54800" hidden="1" x14ac:dyDescent="0.25"/>
    <row r="54801" hidden="1" x14ac:dyDescent="0.25"/>
    <row r="54802" hidden="1" x14ac:dyDescent="0.25"/>
    <row r="54803" hidden="1" x14ac:dyDescent="0.25"/>
    <row r="54804" hidden="1" x14ac:dyDescent="0.25"/>
    <row r="54805" hidden="1" x14ac:dyDescent="0.25"/>
    <row r="54806" hidden="1" x14ac:dyDescent="0.25"/>
    <row r="54807" hidden="1" x14ac:dyDescent="0.25"/>
    <row r="54808" hidden="1" x14ac:dyDescent="0.25"/>
    <row r="54809" hidden="1" x14ac:dyDescent="0.25"/>
    <row r="54810" hidden="1" x14ac:dyDescent="0.25"/>
    <row r="54811" hidden="1" x14ac:dyDescent="0.25"/>
    <row r="54812" hidden="1" x14ac:dyDescent="0.25"/>
    <row r="54813" hidden="1" x14ac:dyDescent="0.25"/>
    <row r="54814" hidden="1" x14ac:dyDescent="0.25"/>
    <row r="54815" hidden="1" x14ac:dyDescent="0.25"/>
    <row r="54816" hidden="1" x14ac:dyDescent="0.25"/>
    <row r="54817" hidden="1" x14ac:dyDescent="0.25"/>
    <row r="54818" hidden="1" x14ac:dyDescent="0.25"/>
    <row r="54819" hidden="1" x14ac:dyDescent="0.25"/>
    <row r="54820" hidden="1" x14ac:dyDescent="0.25"/>
    <row r="54821" hidden="1" x14ac:dyDescent="0.25"/>
    <row r="54822" hidden="1" x14ac:dyDescent="0.25"/>
    <row r="54823" hidden="1" x14ac:dyDescent="0.25"/>
    <row r="54824" hidden="1" x14ac:dyDescent="0.25"/>
    <row r="54825" hidden="1" x14ac:dyDescent="0.25"/>
    <row r="54826" hidden="1" x14ac:dyDescent="0.25"/>
    <row r="54827" hidden="1" x14ac:dyDescent="0.25"/>
    <row r="54828" hidden="1" x14ac:dyDescent="0.25"/>
    <row r="54829" hidden="1" x14ac:dyDescent="0.25"/>
    <row r="54830" hidden="1" x14ac:dyDescent="0.25"/>
    <row r="54831" hidden="1" x14ac:dyDescent="0.25"/>
    <row r="54832" hidden="1" x14ac:dyDescent="0.25"/>
    <row r="54833" hidden="1" x14ac:dyDescent="0.25"/>
    <row r="54834" hidden="1" x14ac:dyDescent="0.25"/>
    <row r="54835" hidden="1" x14ac:dyDescent="0.25"/>
    <row r="54836" hidden="1" x14ac:dyDescent="0.25"/>
    <row r="54837" hidden="1" x14ac:dyDescent="0.25"/>
    <row r="54838" hidden="1" x14ac:dyDescent="0.25"/>
    <row r="54839" hidden="1" x14ac:dyDescent="0.25"/>
    <row r="54840" hidden="1" x14ac:dyDescent="0.25"/>
    <row r="54841" hidden="1" x14ac:dyDescent="0.25"/>
    <row r="54842" hidden="1" x14ac:dyDescent="0.25"/>
    <row r="54843" hidden="1" x14ac:dyDescent="0.25"/>
    <row r="54844" hidden="1" x14ac:dyDescent="0.25"/>
    <row r="54845" hidden="1" x14ac:dyDescent="0.25"/>
    <row r="54846" hidden="1" x14ac:dyDescent="0.25"/>
    <row r="54847" hidden="1" x14ac:dyDescent="0.25"/>
    <row r="54848" hidden="1" x14ac:dyDescent="0.25"/>
    <row r="54849" hidden="1" x14ac:dyDescent="0.25"/>
    <row r="54850" hidden="1" x14ac:dyDescent="0.25"/>
    <row r="54851" hidden="1" x14ac:dyDescent="0.25"/>
    <row r="54852" hidden="1" x14ac:dyDescent="0.25"/>
    <row r="54853" hidden="1" x14ac:dyDescent="0.25"/>
    <row r="54854" hidden="1" x14ac:dyDescent="0.25"/>
    <row r="54855" hidden="1" x14ac:dyDescent="0.25"/>
    <row r="54856" hidden="1" x14ac:dyDescent="0.25"/>
    <row r="54857" hidden="1" x14ac:dyDescent="0.25"/>
    <row r="54858" hidden="1" x14ac:dyDescent="0.25"/>
    <row r="54859" hidden="1" x14ac:dyDescent="0.25"/>
    <row r="54860" hidden="1" x14ac:dyDescent="0.25"/>
    <row r="54861" hidden="1" x14ac:dyDescent="0.25"/>
    <row r="54862" hidden="1" x14ac:dyDescent="0.25"/>
    <row r="54863" hidden="1" x14ac:dyDescent="0.25"/>
    <row r="54864" hidden="1" x14ac:dyDescent="0.25"/>
    <row r="54865" hidden="1" x14ac:dyDescent="0.25"/>
    <row r="54866" hidden="1" x14ac:dyDescent="0.25"/>
    <row r="54867" hidden="1" x14ac:dyDescent="0.25"/>
    <row r="54868" hidden="1" x14ac:dyDescent="0.25"/>
    <row r="54869" hidden="1" x14ac:dyDescent="0.25"/>
    <row r="54870" hidden="1" x14ac:dyDescent="0.25"/>
    <row r="54871" hidden="1" x14ac:dyDescent="0.25"/>
    <row r="54872" hidden="1" x14ac:dyDescent="0.25"/>
    <row r="54873" hidden="1" x14ac:dyDescent="0.25"/>
    <row r="54874" hidden="1" x14ac:dyDescent="0.25"/>
    <row r="54875" hidden="1" x14ac:dyDescent="0.25"/>
    <row r="54876" hidden="1" x14ac:dyDescent="0.25"/>
    <row r="54877" hidden="1" x14ac:dyDescent="0.25"/>
    <row r="54878" hidden="1" x14ac:dyDescent="0.25"/>
    <row r="54879" hidden="1" x14ac:dyDescent="0.25"/>
    <row r="54880" hidden="1" x14ac:dyDescent="0.25"/>
    <row r="54881" hidden="1" x14ac:dyDescent="0.25"/>
    <row r="54882" hidden="1" x14ac:dyDescent="0.25"/>
    <row r="54883" hidden="1" x14ac:dyDescent="0.25"/>
    <row r="54884" hidden="1" x14ac:dyDescent="0.25"/>
    <row r="54885" hidden="1" x14ac:dyDescent="0.25"/>
    <row r="54886" hidden="1" x14ac:dyDescent="0.25"/>
    <row r="54887" hidden="1" x14ac:dyDescent="0.25"/>
    <row r="54888" hidden="1" x14ac:dyDescent="0.25"/>
    <row r="54889" hidden="1" x14ac:dyDescent="0.25"/>
    <row r="54890" hidden="1" x14ac:dyDescent="0.25"/>
    <row r="54891" hidden="1" x14ac:dyDescent="0.25"/>
    <row r="54892" hidden="1" x14ac:dyDescent="0.25"/>
    <row r="54893" hidden="1" x14ac:dyDescent="0.25"/>
    <row r="54894" hidden="1" x14ac:dyDescent="0.25"/>
    <row r="54895" hidden="1" x14ac:dyDescent="0.25"/>
    <row r="54896" hidden="1" x14ac:dyDescent="0.25"/>
    <row r="54897" hidden="1" x14ac:dyDescent="0.25"/>
    <row r="54898" hidden="1" x14ac:dyDescent="0.25"/>
    <row r="54899" hidden="1" x14ac:dyDescent="0.25"/>
    <row r="54900" hidden="1" x14ac:dyDescent="0.25"/>
    <row r="54901" hidden="1" x14ac:dyDescent="0.25"/>
    <row r="54902" hidden="1" x14ac:dyDescent="0.25"/>
    <row r="54903" hidden="1" x14ac:dyDescent="0.25"/>
    <row r="54904" hidden="1" x14ac:dyDescent="0.25"/>
    <row r="54905" hidden="1" x14ac:dyDescent="0.25"/>
    <row r="54906" hidden="1" x14ac:dyDescent="0.25"/>
    <row r="54907" hidden="1" x14ac:dyDescent="0.25"/>
    <row r="54908" hidden="1" x14ac:dyDescent="0.25"/>
    <row r="54909" hidden="1" x14ac:dyDescent="0.25"/>
    <row r="54910" hidden="1" x14ac:dyDescent="0.25"/>
    <row r="54911" hidden="1" x14ac:dyDescent="0.25"/>
    <row r="54912" hidden="1" x14ac:dyDescent="0.25"/>
    <row r="54913" hidden="1" x14ac:dyDescent="0.25"/>
    <row r="54914" hidden="1" x14ac:dyDescent="0.25"/>
    <row r="54915" hidden="1" x14ac:dyDescent="0.25"/>
    <row r="54916" hidden="1" x14ac:dyDescent="0.25"/>
    <row r="54917" hidden="1" x14ac:dyDescent="0.25"/>
    <row r="54918" hidden="1" x14ac:dyDescent="0.25"/>
    <row r="54919" hidden="1" x14ac:dyDescent="0.25"/>
    <row r="54920" hidden="1" x14ac:dyDescent="0.25"/>
    <row r="54921" hidden="1" x14ac:dyDescent="0.25"/>
    <row r="54922" hidden="1" x14ac:dyDescent="0.25"/>
    <row r="54923" hidden="1" x14ac:dyDescent="0.25"/>
    <row r="54924" hidden="1" x14ac:dyDescent="0.25"/>
    <row r="54925" hidden="1" x14ac:dyDescent="0.25"/>
    <row r="54926" hidden="1" x14ac:dyDescent="0.25"/>
    <row r="54927" hidden="1" x14ac:dyDescent="0.25"/>
    <row r="54928" hidden="1" x14ac:dyDescent="0.25"/>
    <row r="54929" hidden="1" x14ac:dyDescent="0.25"/>
    <row r="54930" hidden="1" x14ac:dyDescent="0.25"/>
    <row r="54931" hidden="1" x14ac:dyDescent="0.25"/>
    <row r="54932" hidden="1" x14ac:dyDescent="0.25"/>
    <row r="54933" hidden="1" x14ac:dyDescent="0.25"/>
    <row r="54934" hidden="1" x14ac:dyDescent="0.25"/>
    <row r="54935" hidden="1" x14ac:dyDescent="0.25"/>
    <row r="54936" hidden="1" x14ac:dyDescent="0.25"/>
    <row r="54937" hidden="1" x14ac:dyDescent="0.25"/>
    <row r="54938" hidden="1" x14ac:dyDescent="0.25"/>
    <row r="54939" hidden="1" x14ac:dyDescent="0.25"/>
    <row r="54940" hidden="1" x14ac:dyDescent="0.25"/>
    <row r="54941" hidden="1" x14ac:dyDescent="0.25"/>
    <row r="54942" hidden="1" x14ac:dyDescent="0.25"/>
    <row r="54943" hidden="1" x14ac:dyDescent="0.25"/>
    <row r="54944" hidden="1" x14ac:dyDescent="0.25"/>
    <row r="54945" hidden="1" x14ac:dyDescent="0.25"/>
    <row r="54946" hidden="1" x14ac:dyDescent="0.25"/>
    <row r="54947" hidden="1" x14ac:dyDescent="0.25"/>
    <row r="54948" hidden="1" x14ac:dyDescent="0.25"/>
    <row r="54949" hidden="1" x14ac:dyDescent="0.25"/>
    <row r="54950" hidden="1" x14ac:dyDescent="0.25"/>
    <row r="54951" hidden="1" x14ac:dyDescent="0.25"/>
    <row r="54952" hidden="1" x14ac:dyDescent="0.25"/>
    <row r="54953" hidden="1" x14ac:dyDescent="0.25"/>
    <row r="54954" hidden="1" x14ac:dyDescent="0.25"/>
    <row r="54955" hidden="1" x14ac:dyDescent="0.25"/>
    <row r="54956" hidden="1" x14ac:dyDescent="0.25"/>
    <row r="54957" hidden="1" x14ac:dyDescent="0.25"/>
    <row r="54958" hidden="1" x14ac:dyDescent="0.25"/>
    <row r="54959" hidden="1" x14ac:dyDescent="0.25"/>
    <row r="54960" hidden="1" x14ac:dyDescent="0.25"/>
    <row r="54961" hidden="1" x14ac:dyDescent="0.25"/>
    <row r="54962" hidden="1" x14ac:dyDescent="0.25"/>
    <row r="54963" hidden="1" x14ac:dyDescent="0.25"/>
    <row r="54964" hidden="1" x14ac:dyDescent="0.25"/>
    <row r="54965" hidden="1" x14ac:dyDescent="0.25"/>
    <row r="54966" hidden="1" x14ac:dyDescent="0.25"/>
    <row r="54967" hidden="1" x14ac:dyDescent="0.25"/>
    <row r="54968" hidden="1" x14ac:dyDescent="0.25"/>
    <row r="54969" hidden="1" x14ac:dyDescent="0.25"/>
    <row r="54970" hidden="1" x14ac:dyDescent="0.25"/>
    <row r="54971" hidden="1" x14ac:dyDescent="0.25"/>
    <row r="54972" hidden="1" x14ac:dyDescent="0.25"/>
    <row r="54973" hidden="1" x14ac:dyDescent="0.25"/>
    <row r="54974" hidden="1" x14ac:dyDescent="0.25"/>
    <row r="54975" hidden="1" x14ac:dyDescent="0.25"/>
    <row r="54976" hidden="1" x14ac:dyDescent="0.25"/>
    <row r="54977" hidden="1" x14ac:dyDescent="0.25"/>
    <row r="54978" hidden="1" x14ac:dyDescent="0.25"/>
    <row r="54979" hidden="1" x14ac:dyDescent="0.25"/>
    <row r="54980" hidden="1" x14ac:dyDescent="0.25"/>
    <row r="54981" hidden="1" x14ac:dyDescent="0.25"/>
    <row r="54982" hidden="1" x14ac:dyDescent="0.25"/>
    <row r="54983" hidden="1" x14ac:dyDescent="0.25"/>
    <row r="54984" hidden="1" x14ac:dyDescent="0.25"/>
    <row r="54985" hidden="1" x14ac:dyDescent="0.25"/>
    <row r="54986" hidden="1" x14ac:dyDescent="0.25"/>
    <row r="54987" hidden="1" x14ac:dyDescent="0.25"/>
    <row r="54988" hidden="1" x14ac:dyDescent="0.25"/>
    <row r="54989" hidden="1" x14ac:dyDescent="0.25"/>
    <row r="54990" hidden="1" x14ac:dyDescent="0.25"/>
    <row r="54991" hidden="1" x14ac:dyDescent="0.25"/>
    <row r="54992" hidden="1" x14ac:dyDescent="0.25"/>
    <row r="54993" hidden="1" x14ac:dyDescent="0.25"/>
    <row r="54994" hidden="1" x14ac:dyDescent="0.25"/>
    <row r="54995" hidden="1" x14ac:dyDescent="0.25"/>
    <row r="54996" hidden="1" x14ac:dyDescent="0.25"/>
    <row r="54997" hidden="1" x14ac:dyDescent="0.25"/>
    <row r="54998" hidden="1" x14ac:dyDescent="0.25"/>
    <row r="54999" hidden="1" x14ac:dyDescent="0.25"/>
    <row r="55000" hidden="1" x14ac:dyDescent="0.25"/>
    <row r="55001" hidden="1" x14ac:dyDescent="0.25"/>
    <row r="55002" hidden="1" x14ac:dyDescent="0.25"/>
    <row r="55003" hidden="1" x14ac:dyDescent="0.25"/>
    <row r="55004" hidden="1" x14ac:dyDescent="0.25"/>
    <row r="55005" hidden="1" x14ac:dyDescent="0.25"/>
    <row r="55006" hidden="1" x14ac:dyDescent="0.25"/>
    <row r="55007" hidden="1" x14ac:dyDescent="0.25"/>
    <row r="55008" hidden="1" x14ac:dyDescent="0.25"/>
    <row r="55009" hidden="1" x14ac:dyDescent="0.25"/>
    <row r="55010" hidden="1" x14ac:dyDescent="0.25"/>
    <row r="55011" hidden="1" x14ac:dyDescent="0.25"/>
    <row r="55012" hidden="1" x14ac:dyDescent="0.25"/>
    <row r="55013" hidden="1" x14ac:dyDescent="0.25"/>
    <row r="55014" hidden="1" x14ac:dyDescent="0.25"/>
    <row r="55015" hidden="1" x14ac:dyDescent="0.25"/>
    <row r="55016" hidden="1" x14ac:dyDescent="0.25"/>
    <row r="55017" hidden="1" x14ac:dyDescent="0.25"/>
    <row r="55018" hidden="1" x14ac:dyDescent="0.25"/>
    <row r="55019" hidden="1" x14ac:dyDescent="0.25"/>
    <row r="55020" hidden="1" x14ac:dyDescent="0.25"/>
    <row r="55021" hidden="1" x14ac:dyDescent="0.25"/>
    <row r="55022" hidden="1" x14ac:dyDescent="0.25"/>
    <row r="55023" hidden="1" x14ac:dyDescent="0.25"/>
    <row r="55024" hidden="1" x14ac:dyDescent="0.25"/>
    <row r="55025" hidden="1" x14ac:dyDescent="0.25"/>
    <row r="55026" hidden="1" x14ac:dyDescent="0.25"/>
    <row r="55027" hidden="1" x14ac:dyDescent="0.25"/>
    <row r="55028" hidden="1" x14ac:dyDescent="0.25"/>
    <row r="55029" hidden="1" x14ac:dyDescent="0.25"/>
    <row r="55030" hidden="1" x14ac:dyDescent="0.25"/>
    <row r="55031" hidden="1" x14ac:dyDescent="0.25"/>
    <row r="55032" hidden="1" x14ac:dyDescent="0.25"/>
    <row r="55033" hidden="1" x14ac:dyDescent="0.25"/>
    <row r="55034" hidden="1" x14ac:dyDescent="0.25"/>
    <row r="55035" hidden="1" x14ac:dyDescent="0.25"/>
    <row r="55036" hidden="1" x14ac:dyDescent="0.25"/>
    <row r="55037" hidden="1" x14ac:dyDescent="0.25"/>
    <row r="55038" hidden="1" x14ac:dyDescent="0.25"/>
    <row r="55039" hidden="1" x14ac:dyDescent="0.25"/>
    <row r="55040" hidden="1" x14ac:dyDescent="0.25"/>
    <row r="55041" hidden="1" x14ac:dyDescent="0.25"/>
    <row r="55042" hidden="1" x14ac:dyDescent="0.25"/>
    <row r="55043" hidden="1" x14ac:dyDescent="0.25"/>
    <row r="55044" hidden="1" x14ac:dyDescent="0.25"/>
    <row r="55045" hidden="1" x14ac:dyDescent="0.25"/>
    <row r="55046" hidden="1" x14ac:dyDescent="0.25"/>
    <row r="55047" hidden="1" x14ac:dyDescent="0.25"/>
    <row r="55048" hidden="1" x14ac:dyDescent="0.25"/>
    <row r="55049" hidden="1" x14ac:dyDescent="0.25"/>
    <row r="55050" hidden="1" x14ac:dyDescent="0.25"/>
    <row r="55051" hidden="1" x14ac:dyDescent="0.25"/>
    <row r="55052" hidden="1" x14ac:dyDescent="0.25"/>
    <row r="55053" hidden="1" x14ac:dyDescent="0.25"/>
    <row r="55054" hidden="1" x14ac:dyDescent="0.25"/>
    <row r="55055" hidden="1" x14ac:dyDescent="0.25"/>
    <row r="55056" hidden="1" x14ac:dyDescent="0.25"/>
    <row r="55057" hidden="1" x14ac:dyDescent="0.25"/>
    <row r="55058" hidden="1" x14ac:dyDescent="0.25"/>
    <row r="55059" hidden="1" x14ac:dyDescent="0.25"/>
    <row r="55060" hidden="1" x14ac:dyDescent="0.25"/>
    <row r="55061" hidden="1" x14ac:dyDescent="0.25"/>
    <row r="55062" hidden="1" x14ac:dyDescent="0.25"/>
    <row r="55063" hidden="1" x14ac:dyDescent="0.25"/>
    <row r="55064" hidden="1" x14ac:dyDescent="0.25"/>
    <row r="55065" hidden="1" x14ac:dyDescent="0.25"/>
    <row r="55066" hidden="1" x14ac:dyDescent="0.25"/>
    <row r="55067" hidden="1" x14ac:dyDescent="0.25"/>
    <row r="55068" hidden="1" x14ac:dyDescent="0.25"/>
    <row r="55069" hidden="1" x14ac:dyDescent="0.25"/>
    <row r="55070" hidden="1" x14ac:dyDescent="0.25"/>
    <row r="55071" hidden="1" x14ac:dyDescent="0.25"/>
    <row r="55072" hidden="1" x14ac:dyDescent="0.25"/>
    <row r="55073" hidden="1" x14ac:dyDescent="0.25"/>
    <row r="55074" hidden="1" x14ac:dyDescent="0.25"/>
    <row r="55075" hidden="1" x14ac:dyDescent="0.25"/>
    <row r="55076" hidden="1" x14ac:dyDescent="0.25"/>
    <row r="55077" hidden="1" x14ac:dyDescent="0.25"/>
    <row r="55078" hidden="1" x14ac:dyDescent="0.25"/>
    <row r="55079" hidden="1" x14ac:dyDescent="0.25"/>
    <row r="55080" hidden="1" x14ac:dyDescent="0.25"/>
    <row r="55081" hidden="1" x14ac:dyDescent="0.25"/>
    <row r="55082" hidden="1" x14ac:dyDescent="0.25"/>
    <row r="55083" hidden="1" x14ac:dyDescent="0.25"/>
    <row r="55084" hidden="1" x14ac:dyDescent="0.25"/>
    <row r="55085" hidden="1" x14ac:dyDescent="0.25"/>
    <row r="55086" hidden="1" x14ac:dyDescent="0.25"/>
    <row r="55087" hidden="1" x14ac:dyDescent="0.25"/>
    <row r="55088" hidden="1" x14ac:dyDescent="0.25"/>
    <row r="55089" hidden="1" x14ac:dyDescent="0.25"/>
    <row r="55090" hidden="1" x14ac:dyDescent="0.25"/>
    <row r="55091" hidden="1" x14ac:dyDescent="0.25"/>
    <row r="55092" hidden="1" x14ac:dyDescent="0.25"/>
    <row r="55093" hidden="1" x14ac:dyDescent="0.25"/>
    <row r="55094" hidden="1" x14ac:dyDescent="0.25"/>
    <row r="55095" hidden="1" x14ac:dyDescent="0.25"/>
    <row r="55096" hidden="1" x14ac:dyDescent="0.25"/>
    <row r="55097" hidden="1" x14ac:dyDescent="0.25"/>
    <row r="55098" hidden="1" x14ac:dyDescent="0.25"/>
    <row r="55099" hidden="1" x14ac:dyDescent="0.25"/>
    <row r="55100" hidden="1" x14ac:dyDescent="0.25"/>
    <row r="55101" hidden="1" x14ac:dyDescent="0.25"/>
    <row r="55102" hidden="1" x14ac:dyDescent="0.25"/>
    <row r="55103" hidden="1" x14ac:dyDescent="0.25"/>
    <row r="55104" hidden="1" x14ac:dyDescent="0.25"/>
    <row r="55105" hidden="1" x14ac:dyDescent="0.25"/>
    <row r="55106" hidden="1" x14ac:dyDescent="0.25"/>
    <row r="55107" hidden="1" x14ac:dyDescent="0.25"/>
    <row r="55108" hidden="1" x14ac:dyDescent="0.25"/>
    <row r="55109" hidden="1" x14ac:dyDescent="0.25"/>
    <row r="55110" hidden="1" x14ac:dyDescent="0.25"/>
    <row r="55111" hidden="1" x14ac:dyDescent="0.25"/>
    <row r="55112" hidden="1" x14ac:dyDescent="0.25"/>
    <row r="55113" hidden="1" x14ac:dyDescent="0.25"/>
    <row r="55114" hidden="1" x14ac:dyDescent="0.25"/>
    <row r="55115" hidden="1" x14ac:dyDescent="0.25"/>
    <row r="55116" hidden="1" x14ac:dyDescent="0.25"/>
    <row r="55117" hidden="1" x14ac:dyDescent="0.25"/>
    <row r="55118" hidden="1" x14ac:dyDescent="0.25"/>
    <row r="55119" hidden="1" x14ac:dyDescent="0.25"/>
    <row r="55120" hidden="1" x14ac:dyDescent="0.25"/>
    <row r="55121" hidden="1" x14ac:dyDescent="0.25"/>
    <row r="55122" hidden="1" x14ac:dyDescent="0.25"/>
    <row r="55123" hidden="1" x14ac:dyDescent="0.25"/>
    <row r="55124" hidden="1" x14ac:dyDescent="0.25"/>
    <row r="55125" hidden="1" x14ac:dyDescent="0.25"/>
    <row r="55126" hidden="1" x14ac:dyDescent="0.25"/>
    <row r="55127" hidden="1" x14ac:dyDescent="0.25"/>
    <row r="55128" hidden="1" x14ac:dyDescent="0.25"/>
    <row r="55129" hidden="1" x14ac:dyDescent="0.25"/>
    <row r="55130" hidden="1" x14ac:dyDescent="0.25"/>
    <row r="55131" hidden="1" x14ac:dyDescent="0.25"/>
    <row r="55132" hidden="1" x14ac:dyDescent="0.25"/>
    <row r="55133" hidden="1" x14ac:dyDescent="0.25"/>
    <row r="55134" hidden="1" x14ac:dyDescent="0.25"/>
    <row r="55135" hidden="1" x14ac:dyDescent="0.25"/>
    <row r="55136" hidden="1" x14ac:dyDescent="0.25"/>
    <row r="55137" hidden="1" x14ac:dyDescent="0.25"/>
    <row r="55138" hidden="1" x14ac:dyDescent="0.25"/>
    <row r="55139" hidden="1" x14ac:dyDescent="0.25"/>
    <row r="55140" hidden="1" x14ac:dyDescent="0.25"/>
    <row r="55141" hidden="1" x14ac:dyDescent="0.25"/>
    <row r="55142" hidden="1" x14ac:dyDescent="0.25"/>
    <row r="55143" hidden="1" x14ac:dyDescent="0.25"/>
    <row r="55144" hidden="1" x14ac:dyDescent="0.25"/>
    <row r="55145" hidden="1" x14ac:dyDescent="0.25"/>
    <row r="55146" hidden="1" x14ac:dyDescent="0.25"/>
    <row r="55147" hidden="1" x14ac:dyDescent="0.25"/>
    <row r="55148" hidden="1" x14ac:dyDescent="0.25"/>
    <row r="55149" hidden="1" x14ac:dyDescent="0.25"/>
    <row r="55150" hidden="1" x14ac:dyDescent="0.25"/>
    <row r="55151" hidden="1" x14ac:dyDescent="0.25"/>
    <row r="55152" hidden="1" x14ac:dyDescent="0.25"/>
    <row r="55153" hidden="1" x14ac:dyDescent="0.25"/>
    <row r="55154" hidden="1" x14ac:dyDescent="0.25"/>
    <row r="55155" hidden="1" x14ac:dyDescent="0.25"/>
    <row r="55156" hidden="1" x14ac:dyDescent="0.25"/>
    <row r="55157" hidden="1" x14ac:dyDescent="0.25"/>
    <row r="55158" hidden="1" x14ac:dyDescent="0.25"/>
    <row r="55159" hidden="1" x14ac:dyDescent="0.25"/>
    <row r="55160" hidden="1" x14ac:dyDescent="0.25"/>
    <row r="55161" hidden="1" x14ac:dyDescent="0.25"/>
    <row r="55162" hidden="1" x14ac:dyDescent="0.25"/>
    <row r="55163" hidden="1" x14ac:dyDescent="0.25"/>
    <row r="55164" hidden="1" x14ac:dyDescent="0.25"/>
    <row r="55165" hidden="1" x14ac:dyDescent="0.25"/>
    <row r="55166" hidden="1" x14ac:dyDescent="0.25"/>
    <row r="55167" hidden="1" x14ac:dyDescent="0.25"/>
    <row r="55168" hidden="1" x14ac:dyDescent="0.25"/>
    <row r="55169" hidden="1" x14ac:dyDescent="0.25"/>
    <row r="55170" hidden="1" x14ac:dyDescent="0.25"/>
    <row r="55171" hidden="1" x14ac:dyDescent="0.25"/>
    <row r="55172" hidden="1" x14ac:dyDescent="0.25"/>
    <row r="55173" hidden="1" x14ac:dyDescent="0.25"/>
    <row r="55174" hidden="1" x14ac:dyDescent="0.25"/>
    <row r="55175" hidden="1" x14ac:dyDescent="0.25"/>
    <row r="55176" hidden="1" x14ac:dyDescent="0.25"/>
    <row r="55177" hidden="1" x14ac:dyDescent="0.25"/>
    <row r="55178" hidden="1" x14ac:dyDescent="0.25"/>
    <row r="55179" hidden="1" x14ac:dyDescent="0.25"/>
    <row r="55180" hidden="1" x14ac:dyDescent="0.25"/>
    <row r="55181" hidden="1" x14ac:dyDescent="0.25"/>
    <row r="55182" hidden="1" x14ac:dyDescent="0.25"/>
    <row r="55183" hidden="1" x14ac:dyDescent="0.25"/>
    <row r="55184" hidden="1" x14ac:dyDescent="0.25"/>
    <row r="55185" hidden="1" x14ac:dyDescent="0.25"/>
    <row r="55186" hidden="1" x14ac:dyDescent="0.25"/>
    <row r="55187" hidden="1" x14ac:dyDescent="0.25"/>
    <row r="55188" hidden="1" x14ac:dyDescent="0.25"/>
    <row r="55189" hidden="1" x14ac:dyDescent="0.25"/>
    <row r="55190" hidden="1" x14ac:dyDescent="0.25"/>
    <row r="55191" hidden="1" x14ac:dyDescent="0.25"/>
    <row r="55192" hidden="1" x14ac:dyDescent="0.25"/>
    <row r="55193" hidden="1" x14ac:dyDescent="0.25"/>
    <row r="55194" hidden="1" x14ac:dyDescent="0.25"/>
    <row r="55195" hidden="1" x14ac:dyDescent="0.25"/>
    <row r="55196" hidden="1" x14ac:dyDescent="0.25"/>
    <row r="55197" hidden="1" x14ac:dyDescent="0.25"/>
    <row r="55198" hidden="1" x14ac:dyDescent="0.25"/>
    <row r="55199" hidden="1" x14ac:dyDescent="0.25"/>
    <row r="55200" hidden="1" x14ac:dyDescent="0.25"/>
    <row r="55201" hidden="1" x14ac:dyDescent="0.25"/>
    <row r="55202" hidden="1" x14ac:dyDescent="0.25"/>
    <row r="55203" hidden="1" x14ac:dyDescent="0.25"/>
    <row r="55204" hidden="1" x14ac:dyDescent="0.25"/>
    <row r="55205" hidden="1" x14ac:dyDescent="0.25"/>
    <row r="55206" hidden="1" x14ac:dyDescent="0.25"/>
    <row r="55207" hidden="1" x14ac:dyDescent="0.25"/>
    <row r="55208" hidden="1" x14ac:dyDescent="0.25"/>
    <row r="55209" hidden="1" x14ac:dyDescent="0.25"/>
    <row r="55210" hidden="1" x14ac:dyDescent="0.25"/>
    <row r="55211" hidden="1" x14ac:dyDescent="0.25"/>
    <row r="55212" hidden="1" x14ac:dyDescent="0.25"/>
    <row r="55213" hidden="1" x14ac:dyDescent="0.25"/>
    <row r="55214" hidden="1" x14ac:dyDescent="0.25"/>
    <row r="55215" hidden="1" x14ac:dyDescent="0.25"/>
    <row r="55216" hidden="1" x14ac:dyDescent="0.25"/>
    <row r="55217" hidden="1" x14ac:dyDescent="0.25"/>
    <row r="55218" hidden="1" x14ac:dyDescent="0.25"/>
    <row r="55219" hidden="1" x14ac:dyDescent="0.25"/>
    <row r="55220" hidden="1" x14ac:dyDescent="0.25"/>
    <row r="55221" hidden="1" x14ac:dyDescent="0.25"/>
    <row r="55222" hidden="1" x14ac:dyDescent="0.25"/>
    <row r="55223" hidden="1" x14ac:dyDescent="0.25"/>
    <row r="55224" hidden="1" x14ac:dyDescent="0.25"/>
    <row r="55225" hidden="1" x14ac:dyDescent="0.25"/>
    <row r="55226" hidden="1" x14ac:dyDescent="0.25"/>
    <row r="55227" hidden="1" x14ac:dyDescent="0.25"/>
    <row r="55228" hidden="1" x14ac:dyDescent="0.25"/>
    <row r="55229" hidden="1" x14ac:dyDescent="0.25"/>
    <row r="55230" hidden="1" x14ac:dyDescent="0.25"/>
    <row r="55231" hidden="1" x14ac:dyDescent="0.25"/>
    <row r="55232" hidden="1" x14ac:dyDescent="0.25"/>
    <row r="55233" hidden="1" x14ac:dyDescent="0.25"/>
    <row r="55234" hidden="1" x14ac:dyDescent="0.25"/>
    <row r="55235" hidden="1" x14ac:dyDescent="0.25"/>
    <row r="55236" hidden="1" x14ac:dyDescent="0.25"/>
    <row r="55237" hidden="1" x14ac:dyDescent="0.25"/>
    <row r="55238" hidden="1" x14ac:dyDescent="0.25"/>
    <row r="55239" hidden="1" x14ac:dyDescent="0.25"/>
    <row r="55240" hidden="1" x14ac:dyDescent="0.25"/>
    <row r="55241" hidden="1" x14ac:dyDescent="0.25"/>
    <row r="55242" hidden="1" x14ac:dyDescent="0.25"/>
    <row r="55243" hidden="1" x14ac:dyDescent="0.25"/>
    <row r="55244" hidden="1" x14ac:dyDescent="0.25"/>
    <row r="55245" hidden="1" x14ac:dyDescent="0.25"/>
    <row r="55246" hidden="1" x14ac:dyDescent="0.25"/>
    <row r="55247" hidden="1" x14ac:dyDescent="0.25"/>
    <row r="55248" hidden="1" x14ac:dyDescent="0.25"/>
    <row r="55249" hidden="1" x14ac:dyDescent="0.25"/>
    <row r="55250" hidden="1" x14ac:dyDescent="0.25"/>
    <row r="55251" hidden="1" x14ac:dyDescent="0.25"/>
    <row r="55252" hidden="1" x14ac:dyDescent="0.25"/>
    <row r="55253" hidden="1" x14ac:dyDescent="0.25"/>
    <row r="55254" hidden="1" x14ac:dyDescent="0.25"/>
    <row r="55255" hidden="1" x14ac:dyDescent="0.25"/>
    <row r="55256" hidden="1" x14ac:dyDescent="0.25"/>
    <row r="55257" hidden="1" x14ac:dyDescent="0.25"/>
    <row r="55258" hidden="1" x14ac:dyDescent="0.25"/>
    <row r="55259" hidden="1" x14ac:dyDescent="0.25"/>
    <row r="55260" hidden="1" x14ac:dyDescent="0.25"/>
    <row r="55261" hidden="1" x14ac:dyDescent="0.25"/>
    <row r="55262" hidden="1" x14ac:dyDescent="0.25"/>
    <row r="55263" hidden="1" x14ac:dyDescent="0.25"/>
    <row r="55264" hidden="1" x14ac:dyDescent="0.25"/>
    <row r="55265" hidden="1" x14ac:dyDescent="0.25"/>
    <row r="55266" hidden="1" x14ac:dyDescent="0.25"/>
    <row r="55267" hidden="1" x14ac:dyDescent="0.25"/>
    <row r="55268" hidden="1" x14ac:dyDescent="0.25"/>
    <row r="55269" hidden="1" x14ac:dyDescent="0.25"/>
    <row r="55270" hidden="1" x14ac:dyDescent="0.25"/>
    <row r="55271" hidden="1" x14ac:dyDescent="0.25"/>
    <row r="55272" hidden="1" x14ac:dyDescent="0.25"/>
    <row r="55273" hidden="1" x14ac:dyDescent="0.25"/>
    <row r="55274" hidden="1" x14ac:dyDescent="0.25"/>
    <row r="55275" hidden="1" x14ac:dyDescent="0.25"/>
    <row r="55276" hidden="1" x14ac:dyDescent="0.25"/>
    <row r="55277" hidden="1" x14ac:dyDescent="0.25"/>
    <row r="55278" hidden="1" x14ac:dyDescent="0.25"/>
    <row r="55279" hidden="1" x14ac:dyDescent="0.25"/>
    <row r="55280" hidden="1" x14ac:dyDescent="0.25"/>
    <row r="55281" hidden="1" x14ac:dyDescent="0.25"/>
    <row r="55282" hidden="1" x14ac:dyDescent="0.25"/>
    <row r="55283" hidden="1" x14ac:dyDescent="0.25"/>
    <row r="55284" hidden="1" x14ac:dyDescent="0.25"/>
    <row r="55285" hidden="1" x14ac:dyDescent="0.25"/>
    <row r="55286" hidden="1" x14ac:dyDescent="0.25"/>
    <row r="55287" hidden="1" x14ac:dyDescent="0.25"/>
    <row r="55288" hidden="1" x14ac:dyDescent="0.25"/>
    <row r="55289" hidden="1" x14ac:dyDescent="0.25"/>
    <row r="55290" hidden="1" x14ac:dyDescent="0.25"/>
    <row r="55291" hidden="1" x14ac:dyDescent="0.25"/>
    <row r="55292" hidden="1" x14ac:dyDescent="0.25"/>
    <row r="55293" hidden="1" x14ac:dyDescent="0.25"/>
    <row r="55294" hidden="1" x14ac:dyDescent="0.25"/>
    <row r="55295" hidden="1" x14ac:dyDescent="0.25"/>
    <row r="55296" hidden="1" x14ac:dyDescent="0.25"/>
    <row r="55297" hidden="1" x14ac:dyDescent="0.25"/>
    <row r="55298" hidden="1" x14ac:dyDescent="0.25"/>
    <row r="55299" hidden="1" x14ac:dyDescent="0.25"/>
    <row r="55300" hidden="1" x14ac:dyDescent="0.25"/>
    <row r="55301" hidden="1" x14ac:dyDescent="0.25"/>
    <row r="55302" hidden="1" x14ac:dyDescent="0.25"/>
    <row r="55303" hidden="1" x14ac:dyDescent="0.25"/>
    <row r="55304" hidden="1" x14ac:dyDescent="0.25"/>
    <row r="55305" hidden="1" x14ac:dyDescent="0.25"/>
    <row r="55306" hidden="1" x14ac:dyDescent="0.25"/>
    <row r="55307" hidden="1" x14ac:dyDescent="0.25"/>
    <row r="55308" hidden="1" x14ac:dyDescent="0.25"/>
    <row r="55309" hidden="1" x14ac:dyDescent="0.25"/>
    <row r="55310" hidden="1" x14ac:dyDescent="0.25"/>
    <row r="55311" hidden="1" x14ac:dyDescent="0.25"/>
    <row r="55312" hidden="1" x14ac:dyDescent="0.25"/>
    <row r="55313" hidden="1" x14ac:dyDescent="0.25"/>
    <row r="55314" hidden="1" x14ac:dyDescent="0.25"/>
    <row r="55315" hidden="1" x14ac:dyDescent="0.25"/>
    <row r="55316" hidden="1" x14ac:dyDescent="0.25"/>
    <row r="55317" hidden="1" x14ac:dyDescent="0.25"/>
    <row r="55318" hidden="1" x14ac:dyDescent="0.25"/>
    <row r="55319" hidden="1" x14ac:dyDescent="0.25"/>
    <row r="55320" hidden="1" x14ac:dyDescent="0.25"/>
    <row r="55321" hidden="1" x14ac:dyDescent="0.25"/>
    <row r="55322" hidden="1" x14ac:dyDescent="0.25"/>
    <row r="55323" hidden="1" x14ac:dyDescent="0.25"/>
    <row r="55324" hidden="1" x14ac:dyDescent="0.25"/>
    <row r="55325" hidden="1" x14ac:dyDescent="0.25"/>
    <row r="55326" hidden="1" x14ac:dyDescent="0.25"/>
    <row r="55327" hidden="1" x14ac:dyDescent="0.25"/>
    <row r="55328" hidden="1" x14ac:dyDescent="0.25"/>
    <row r="55329" hidden="1" x14ac:dyDescent="0.25"/>
    <row r="55330" hidden="1" x14ac:dyDescent="0.25"/>
    <row r="55331" hidden="1" x14ac:dyDescent="0.25"/>
    <row r="55332" hidden="1" x14ac:dyDescent="0.25"/>
    <row r="55333" hidden="1" x14ac:dyDescent="0.25"/>
    <row r="55334" hidden="1" x14ac:dyDescent="0.25"/>
    <row r="55335" hidden="1" x14ac:dyDescent="0.25"/>
    <row r="55336" hidden="1" x14ac:dyDescent="0.25"/>
    <row r="55337" hidden="1" x14ac:dyDescent="0.25"/>
    <row r="55338" hidden="1" x14ac:dyDescent="0.25"/>
    <row r="55339" hidden="1" x14ac:dyDescent="0.25"/>
    <row r="55340" hidden="1" x14ac:dyDescent="0.25"/>
    <row r="55341" hidden="1" x14ac:dyDescent="0.25"/>
    <row r="55342" hidden="1" x14ac:dyDescent="0.25"/>
    <row r="55343" hidden="1" x14ac:dyDescent="0.25"/>
    <row r="55344" hidden="1" x14ac:dyDescent="0.25"/>
    <row r="55345" hidden="1" x14ac:dyDescent="0.25"/>
    <row r="55346" hidden="1" x14ac:dyDescent="0.25"/>
    <row r="55347" hidden="1" x14ac:dyDescent="0.25"/>
    <row r="55348" hidden="1" x14ac:dyDescent="0.25"/>
    <row r="55349" hidden="1" x14ac:dyDescent="0.25"/>
    <row r="55350" hidden="1" x14ac:dyDescent="0.25"/>
    <row r="55351" hidden="1" x14ac:dyDescent="0.25"/>
    <row r="55352" hidden="1" x14ac:dyDescent="0.25"/>
    <row r="55353" hidden="1" x14ac:dyDescent="0.25"/>
    <row r="55354" hidden="1" x14ac:dyDescent="0.25"/>
    <row r="55355" hidden="1" x14ac:dyDescent="0.25"/>
    <row r="55356" hidden="1" x14ac:dyDescent="0.25"/>
    <row r="55357" hidden="1" x14ac:dyDescent="0.25"/>
    <row r="55358" hidden="1" x14ac:dyDescent="0.25"/>
    <row r="55359" hidden="1" x14ac:dyDescent="0.25"/>
    <row r="55360" hidden="1" x14ac:dyDescent="0.25"/>
    <row r="55361" hidden="1" x14ac:dyDescent="0.25"/>
    <row r="55362" hidden="1" x14ac:dyDescent="0.25"/>
    <row r="55363" hidden="1" x14ac:dyDescent="0.25"/>
    <row r="55364" hidden="1" x14ac:dyDescent="0.25"/>
    <row r="55365" hidden="1" x14ac:dyDescent="0.25"/>
    <row r="55366" hidden="1" x14ac:dyDescent="0.25"/>
    <row r="55367" hidden="1" x14ac:dyDescent="0.25"/>
    <row r="55368" hidden="1" x14ac:dyDescent="0.25"/>
    <row r="55369" hidden="1" x14ac:dyDescent="0.25"/>
    <row r="55370" hidden="1" x14ac:dyDescent="0.25"/>
    <row r="55371" hidden="1" x14ac:dyDescent="0.25"/>
    <row r="55372" hidden="1" x14ac:dyDescent="0.25"/>
    <row r="55373" hidden="1" x14ac:dyDescent="0.25"/>
    <row r="55374" hidden="1" x14ac:dyDescent="0.25"/>
    <row r="55375" hidden="1" x14ac:dyDescent="0.25"/>
    <row r="55376" hidden="1" x14ac:dyDescent="0.25"/>
    <row r="55377" hidden="1" x14ac:dyDescent="0.25"/>
    <row r="55378" hidden="1" x14ac:dyDescent="0.25"/>
    <row r="55379" hidden="1" x14ac:dyDescent="0.25"/>
    <row r="55380" hidden="1" x14ac:dyDescent="0.25"/>
    <row r="55381" hidden="1" x14ac:dyDescent="0.25"/>
    <row r="55382" hidden="1" x14ac:dyDescent="0.25"/>
    <row r="55383" hidden="1" x14ac:dyDescent="0.25"/>
    <row r="55384" hidden="1" x14ac:dyDescent="0.25"/>
    <row r="55385" hidden="1" x14ac:dyDescent="0.25"/>
    <row r="55386" hidden="1" x14ac:dyDescent="0.25"/>
    <row r="55387" hidden="1" x14ac:dyDescent="0.25"/>
    <row r="55388" hidden="1" x14ac:dyDescent="0.25"/>
    <row r="55389" hidden="1" x14ac:dyDescent="0.25"/>
    <row r="55390" hidden="1" x14ac:dyDescent="0.25"/>
    <row r="55391" hidden="1" x14ac:dyDescent="0.25"/>
    <row r="55392" hidden="1" x14ac:dyDescent="0.25"/>
    <row r="55393" hidden="1" x14ac:dyDescent="0.25"/>
    <row r="55394" hidden="1" x14ac:dyDescent="0.25"/>
    <row r="55395" hidden="1" x14ac:dyDescent="0.25"/>
    <row r="55396" hidden="1" x14ac:dyDescent="0.25"/>
    <row r="55397" hidden="1" x14ac:dyDescent="0.25"/>
    <row r="55398" hidden="1" x14ac:dyDescent="0.25"/>
    <row r="55399" hidden="1" x14ac:dyDescent="0.25"/>
    <row r="55400" hidden="1" x14ac:dyDescent="0.25"/>
    <row r="55401" hidden="1" x14ac:dyDescent="0.25"/>
    <row r="55402" hidden="1" x14ac:dyDescent="0.25"/>
    <row r="55403" hidden="1" x14ac:dyDescent="0.25"/>
    <row r="55404" hidden="1" x14ac:dyDescent="0.25"/>
    <row r="55405" hidden="1" x14ac:dyDescent="0.25"/>
    <row r="55406" hidden="1" x14ac:dyDescent="0.25"/>
    <row r="55407" hidden="1" x14ac:dyDescent="0.25"/>
    <row r="55408" hidden="1" x14ac:dyDescent="0.25"/>
    <row r="55409" hidden="1" x14ac:dyDescent="0.25"/>
    <row r="55410" hidden="1" x14ac:dyDescent="0.25"/>
    <row r="55411" hidden="1" x14ac:dyDescent="0.25"/>
    <row r="55412" hidden="1" x14ac:dyDescent="0.25"/>
    <row r="55413" hidden="1" x14ac:dyDescent="0.25"/>
    <row r="55414" hidden="1" x14ac:dyDescent="0.25"/>
    <row r="55415" hidden="1" x14ac:dyDescent="0.25"/>
    <row r="55416" hidden="1" x14ac:dyDescent="0.25"/>
    <row r="55417" hidden="1" x14ac:dyDescent="0.25"/>
    <row r="55418" hidden="1" x14ac:dyDescent="0.25"/>
    <row r="55419" hidden="1" x14ac:dyDescent="0.25"/>
    <row r="55420" hidden="1" x14ac:dyDescent="0.25"/>
    <row r="55421" hidden="1" x14ac:dyDescent="0.25"/>
    <row r="55422" hidden="1" x14ac:dyDescent="0.25"/>
    <row r="55423" hidden="1" x14ac:dyDescent="0.25"/>
    <row r="55424" hidden="1" x14ac:dyDescent="0.25"/>
    <row r="55425" hidden="1" x14ac:dyDescent="0.25"/>
    <row r="55426" hidden="1" x14ac:dyDescent="0.25"/>
    <row r="55427" hidden="1" x14ac:dyDescent="0.25"/>
    <row r="55428" hidden="1" x14ac:dyDescent="0.25"/>
    <row r="55429" hidden="1" x14ac:dyDescent="0.25"/>
    <row r="55430" hidden="1" x14ac:dyDescent="0.25"/>
    <row r="55431" hidden="1" x14ac:dyDescent="0.25"/>
    <row r="55432" hidden="1" x14ac:dyDescent="0.25"/>
    <row r="55433" hidden="1" x14ac:dyDescent="0.25"/>
    <row r="55434" hidden="1" x14ac:dyDescent="0.25"/>
    <row r="55435" hidden="1" x14ac:dyDescent="0.25"/>
    <row r="55436" hidden="1" x14ac:dyDescent="0.25"/>
    <row r="55437" hidden="1" x14ac:dyDescent="0.25"/>
    <row r="55438" hidden="1" x14ac:dyDescent="0.25"/>
    <row r="55439" hidden="1" x14ac:dyDescent="0.25"/>
    <row r="55440" hidden="1" x14ac:dyDescent="0.25"/>
    <row r="55441" hidden="1" x14ac:dyDescent="0.25"/>
    <row r="55442" hidden="1" x14ac:dyDescent="0.25"/>
    <row r="55443" hidden="1" x14ac:dyDescent="0.25"/>
    <row r="55444" hidden="1" x14ac:dyDescent="0.25"/>
    <row r="55445" hidden="1" x14ac:dyDescent="0.25"/>
    <row r="55446" hidden="1" x14ac:dyDescent="0.25"/>
    <row r="55447" hidden="1" x14ac:dyDescent="0.25"/>
    <row r="55448" hidden="1" x14ac:dyDescent="0.25"/>
    <row r="55449" hidden="1" x14ac:dyDescent="0.25"/>
    <row r="55450" hidden="1" x14ac:dyDescent="0.25"/>
    <row r="55451" hidden="1" x14ac:dyDescent="0.25"/>
    <row r="55452" hidden="1" x14ac:dyDescent="0.25"/>
    <row r="55453" hidden="1" x14ac:dyDescent="0.25"/>
    <row r="55454" hidden="1" x14ac:dyDescent="0.25"/>
    <row r="55455" hidden="1" x14ac:dyDescent="0.25"/>
    <row r="55456" hidden="1" x14ac:dyDescent="0.25"/>
    <row r="55457" hidden="1" x14ac:dyDescent="0.25"/>
    <row r="55458" hidden="1" x14ac:dyDescent="0.25"/>
    <row r="55459" hidden="1" x14ac:dyDescent="0.25"/>
    <row r="55460" hidden="1" x14ac:dyDescent="0.25"/>
    <row r="55461" hidden="1" x14ac:dyDescent="0.25"/>
    <row r="55462" hidden="1" x14ac:dyDescent="0.25"/>
    <row r="55463" hidden="1" x14ac:dyDescent="0.25"/>
    <row r="55464" hidden="1" x14ac:dyDescent="0.25"/>
    <row r="55465" hidden="1" x14ac:dyDescent="0.25"/>
    <row r="55466" hidden="1" x14ac:dyDescent="0.25"/>
    <row r="55467" hidden="1" x14ac:dyDescent="0.25"/>
    <row r="55468" hidden="1" x14ac:dyDescent="0.25"/>
    <row r="55469" hidden="1" x14ac:dyDescent="0.25"/>
    <row r="55470" hidden="1" x14ac:dyDescent="0.25"/>
    <row r="55471" hidden="1" x14ac:dyDescent="0.25"/>
    <row r="55472" hidden="1" x14ac:dyDescent="0.25"/>
    <row r="55473" hidden="1" x14ac:dyDescent="0.25"/>
    <row r="55474" hidden="1" x14ac:dyDescent="0.25"/>
    <row r="55475" hidden="1" x14ac:dyDescent="0.25"/>
    <row r="55476" hidden="1" x14ac:dyDescent="0.25"/>
    <row r="55477" hidden="1" x14ac:dyDescent="0.25"/>
    <row r="55478" hidden="1" x14ac:dyDescent="0.25"/>
    <row r="55479" hidden="1" x14ac:dyDescent="0.25"/>
    <row r="55480" hidden="1" x14ac:dyDescent="0.25"/>
    <row r="55481" hidden="1" x14ac:dyDescent="0.25"/>
    <row r="55482" hidden="1" x14ac:dyDescent="0.25"/>
    <row r="55483" hidden="1" x14ac:dyDescent="0.25"/>
    <row r="55484" hidden="1" x14ac:dyDescent="0.25"/>
    <row r="55485" hidden="1" x14ac:dyDescent="0.25"/>
    <row r="55486" hidden="1" x14ac:dyDescent="0.25"/>
    <row r="55487" hidden="1" x14ac:dyDescent="0.25"/>
    <row r="55488" hidden="1" x14ac:dyDescent="0.25"/>
    <row r="55489" hidden="1" x14ac:dyDescent="0.25"/>
    <row r="55490" hidden="1" x14ac:dyDescent="0.25"/>
    <row r="55491" hidden="1" x14ac:dyDescent="0.25"/>
    <row r="55492" hidden="1" x14ac:dyDescent="0.25"/>
    <row r="55493" hidden="1" x14ac:dyDescent="0.25"/>
    <row r="55494" hidden="1" x14ac:dyDescent="0.25"/>
    <row r="55495" hidden="1" x14ac:dyDescent="0.25"/>
    <row r="55496" hidden="1" x14ac:dyDescent="0.25"/>
    <row r="55497" hidden="1" x14ac:dyDescent="0.25"/>
    <row r="55498" hidden="1" x14ac:dyDescent="0.25"/>
    <row r="55499" hidden="1" x14ac:dyDescent="0.25"/>
    <row r="55500" hidden="1" x14ac:dyDescent="0.25"/>
    <row r="55501" hidden="1" x14ac:dyDescent="0.25"/>
    <row r="55502" hidden="1" x14ac:dyDescent="0.25"/>
    <row r="55503" hidden="1" x14ac:dyDescent="0.25"/>
    <row r="55504" hidden="1" x14ac:dyDescent="0.25"/>
    <row r="55505" hidden="1" x14ac:dyDescent="0.25"/>
    <row r="55506" hidden="1" x14ac:dyDescent="0.25"/>
    <row r="55507" hidden="1" x14ac:dyDescent="0.25"/>
    <row r="55508" hidden="1" x14ac:dyDescent="0.25"/>
    <row r="55509" hidden="1" x14ac:dyDescent="0.25"/>
    <row r="55510" hidden="1" x14ac:dyDescent="0.25"/>
    <row r="55511" hidden="1" x14ac:dyDescent="0.25"/>
    <row r="55512" hidden="1" x14ac:dyDescent="0.25"/>
    <row r="55513" hidden="1" x14ac:dyDescent="0.25"/>
    <row r="55514" hidden="1" x14ac:dyDescent="0.25"/>
    <row r="55515" hidden="1" x14ac:dyDescent="0.25"/>
    <row r="55516" hidden="1" x14ac:dyDescent="0.25"/>
    <row r="55517" hidden="1" x14ac:dyDescent="0.25"/>
    <row r="55518" hidden="1" x14ac:dyDescent="0.25"/>
    <row r="55519" hidden="1" x14ac:dyDescent="0.25"/>
    <row r="55520" hidden="1" x14ac:dyDescent="0.25"/>
    <row r="55521" hidden="1" x14ac:dyDescent="0.25"/>
    <row r="55522" hidden="1" x14ac:dyDescent="0.25"/>
    <row r="55523" hidden="1" x14ac:dyDescent="0.25"/>
    <row r="55524" hidden="1" x14ac:dyDescent="0.25"/>
    <row r="55525" hidden="1" x14ac:dyDescent="0.25"/>
    <row r="55526" hidden="1" x14ac:dyDescent="0.25"/>
    <row r="55527" hidden="1" x14ac:dyDescent="0.25"/>
    <row r="55528" hidden="1" x14ac:dyDescent="0.25"/>
    <row r="55529" hidden="1" x14ac:dyDescent="0.25"/>
    <row r="55530" hidden="1" x14ac:dyDescent="0.25"/>
    <row r="55531" hidden="1" x14ac:dyDescent="0.25"/>
    <row r="55532" hidden="1" x14ac:dyDescent="0.25"/>
    <row r="55533" hidden="1" x14ac:dyDescent="0.25"/>
    <row r="55534" hidden="1" x14ac:dyDescent="0.25"/>
    <row r="55535" hidden="1" x14ac:dyDescent="0.25"/>
    <row r="55536" hidden="1" x14ac:dyDescent="0.25"/>
    <row r="55537" hidden="1" x14ac:dyDescent="0.25"/>
    <row r="55538" hidden="1" x14ac:dyDescent="0.25"/>
    <row r="55539" hidden="1" x14ac:dyDescent="0.25"/>
    <row r="55540" hidden="1" x14ac:dyDescent="0.25"/>
    <row r="55541" hidden="1" x14ac:dyDescent="0.25"/>
    <row r="55542" hidden="1" x14ac:dyDescent="0.25"/>
    <row r="55543" hidden="1" x14ac:dyDescent="0.25"/>
    <row r="55544" hidden="1" x14ac:dyDescent="0.25"/>
    <row r="55545" hidden="1" x14ac:dyDescent="0.25"/>
    <row r="55546" hidden="1" x14ac:dyDescent="0.25"/>
    <row r="55547" hidden="1" x14ac:dyDescent="0.25"/>
    <row r="55548" hidden="1" x14ac:dyDescent="0.25"/>
    <row r="55549" hidden="1" x14ac:dyDescent="0.25"/>
    <row r="55550" hidden="1" x14ac:dyDescent="0.25"/>
    <row r="55551" hidden="1" x14ac:dyDescent="0.25"/>
    <row r="55552" hidden="1" x14ac:dyDescent="0.25"/>
    <row r="55553" hidden="1" x14ac:dyDescent="0.25"/>
    <row r="55554" hidden="1" x14ac:dyDescent="0.25"/>
    <row r="55555" hidden="1" x14ac:dyDescent="0.25"/>
    <row r="55556" hidden="1" x14ac:dyDescent="0.25"/>
    <row r="55557" hidden="1" x14ac:dyDescent="0.25"/>
    <row r="55558" hidden="1" x14ac:dyDescent="0.25"/>
    <row r="55559" hidden="1" x14ac:dyDescent="0.25"/>
    <row r="55560" hidden="1" x14ac:dyDescent="0.25"/>
    <row r="55561" hidden="1" x14ac:dyDescent="0.25"/>
    <row r="55562" hidden="1" x14ac:dyDescent="0.25"/>
    <row r="55563" hidden="1" x14ac:dyDescent="0.25"/>
    <row r="55564" hidden="1" x14ac:dyDescent="0.25"/>
    <row r="55565" hidden="1" x14ac:dyDescent="0.25"/>
    <row r="55566" hidden="1" x14ac:dyDescent="0.25"/>
    <row r="55567" hidden="1" x14ac:dyDescent="0.25"/>
    <row r="55568" hidden="1" x14ac:dyDescent="0.25"/>
    <row r="55569" hidden="1" x14ac:dyDescent="0.25"/>
    <row r="55570" hidden="1" x14ac:dyDescent="0.25"/>
    <row r="55571" hidden="1" x14ac:dyDescent="0.25"/>
    <row r="55572" hidden="1" x14ac:dyDescent="0.25"/>
    <row r="55573" hidden="1" x14ac:dyDescent="0.25"/>
    <row r="55574" hidden="1" x14ac:dyDescent="0.25"/>
    <row r="55575" hidden="1" x14ac:dyDescent="0.25"/>
    <row r="55576" hidden="1" x14ac:dyDescent="0.25"/>
    <row r="55577" hidden="1" x14ac:dyDescent="0.25"/>
    <row r="55578" hidden="1" x14ac:dyDescent="0.25"/>
    <row r="55579" hidden="1" x14ac:dyDescent="0.25"/>
    <row r="55580" hidden="1" x14ac:dyDescent="0.25"/>
    <row r="55581" hidden="1" x14ac:dyDescent="0.25"/>
    <row r="55582" hidden="1" x14ac:dyDescent="0.25"/>
    <row r="55583" hidden="1" x14ac:dyDescent="0.25"/>
    <row r="55584" hidden="1" x14ac:dyDescent="0.25"/>
    <row r="55585" hidden="1" x14ac:dyDescent="0.25"/>
    <row r="55586" hidden="1" x14ac:dyDescent="0.25"/>
    <row r="55587" hidden="1" x14ac:dyDescent="0.25"/>
    <row r="55588" hidden="1" x14ac:dyDescent="0.25"/>
    <row r="55589" hidden="1" x14ac:dyDescent="0.25"/>
    <row r="55590" hidden="1" x14ac:dyDescent="0.25"/>
    <row r="55591" hidden="1" x14ac:dyDescent="0.25"/>
    <row r="55592" hidden="1" x14ac:dyDescent="0.25"/>
    <row r="55593" hidden="1" x14ac:dyDescent="0.25"/>
    <row r="55594" hidden="1" x14ac:dyDescent="0.25"/>
    <row r="55595" hidden="1" x14ac:dyDescent="0.25"/>
    <row r="55596" hidden="1" x14ac:dyDescent="0.25"/>
    <row r="55597" hidden="1" x14ac:dyDescent="0.25"/>
    <row r="55598" hidden="1" x14ac:dyDescent="0.25"/>
    <row r="55599" hidden="1" x14ac:dyDescent="0.25"/>
    <row r="55600" hidden="1" x14ac:dyDescent="0.25"/>
    <row r="55601" hidden="1" x14ac:dyDescent="0.25"/>
    <row r="55602" hidden="1" x14ac:dyDescent="0.25"/>
    <row r="55603" hidden="1" x14ac:dyDescent="0.25"/>
    <row r="55604" hidden="1" x14ac:dyDescent="0.25"/>
    <row r="55605" hidden="1" x14ac:dyDescent="0.25"/>
    <row r="55606" hidden="1" x14ac:dyDescent="0.25"/>
    <row r="55607" hidden="1" x14ac:dyDescent="0.25"/>
    <row r="55608" hidden="1" x14ac:dyDescent="0.25"/>
    <row r="55609" hidden="1" x14ac:dyDescent="0.25"/>
    <row r="55610" hidden="1" x14ac:dyDescent="0.25"/>
    <row r="55611" hidden="1" x14ac:dyDescent="0.25"/>
    <row r="55612" hidden="1" x14ac:dyDescent="0.25"/>
    <row r="55613" hidden="1" x14ac:dyDescent="0.25"/>
    <row r="55614" hidden="1" x14ac:dyDescent="0.25"/>
    <row r="55615" hidden="1" x14ac:dyDescent="0.25"/>
    <row r="55616" hidden="1" x14ac:dyDescent="0.25"/>
    <row r="55617" hidden="1" x14ac:dyDescent="0.25"/>
    <row r="55618" hidden="1" x14ac:dyDescent="0.25"/>
    <row r="55619" hidden="1" x14ac:dyDescent="0.25"/>
    <row r="55620" hidden="1" x14ac:dyDescent="0.25"/>
    <row r="55621" hidden="1" x14ac:dyDescent="0.25"/>
    <row r="55622" hidden="1" x14ac:dyDescent="0.25"/>
    <row r="55623" hidden="1" x14ac:dyDescent="0.25"/>
    <row r="55624" hidden="1" x14ac:dyDescent="0.25"/>
    <row r="55625" hidden="1" x14ac:dyDescent="0.25"/>
    <row r="55626" hidden="1" x14ac:dyDescent="0.25"/>
    <row r="55627" hidden="1" x14ac:dyDescent="0.25"/>
    <row r="55628" hidden="1" x14ac:dyDescent="0.25"/>
    <row r="55629" hidden="1" x14ac:dyDescent="0.25"/>
    <row r="55630" hidden="1" x14ac:dyDescent="0.25"/>
    <row r="55631" hidden="1" x14ac:dyDescent="0.25"/>
    <row r="55632" hidden="1" x14ac:dyDescent="0.25"/>
    <row r="55633" hidden="1" x14ac:dyDescent="0.25"/>
    <row r="55634" hidden="1" x14ac:dyDescent="0.25"/>
    <row r="55635" hidden="1" x14ac:dyDescent="0.25"/>
    <row r="55636" hidden="1" x14ac:dyDescent="0.25"/>
    <row r="55637" hidden="1" x14ac:dyDescent="0.25"/>
    <row r="55638" hidden="1" x14ac:dyDescent="0.25"/>
    <row r="55639" hidden="1" x14ac:dyDescent="0.25"/>
    <row r="55640" hidden="1" x14ac:dyDescent="0.25"/>
    <row r="55641" hidden="1" x14ac:dyDescent="0.25"/>
    <row r="55642" hidden="1" x14ac:dyDescent="0.25"/>
    <row r="55643" hidden="1" x14ac:dyDescent="0.25"/>
    <row r="55644" hidden="1" x14ac:dyDescent="0.25"/>
    <row r="55645" hidden="1" x14ac:dyDescent="0.25"/>
    <row r="55646" hidden="1" x14ac:dyDescent="0.25"/>
    <row r="55647" hidden="1" x14ac:dyDescent="0.25"/>
    <row r="55648" hidden="1" x14ac:dyDescent="0.25"/>
    <row r="55649" hidden="1" x14ac:dyDescent="0.25"/>
    <row r="55650" hidden="1" x14ac:dyDescent="0.25"/>
    <row r="55651" hidden="1" x14ac:dyDescent="0.25"/>
    <row r="55652" hidden="1" x14ac:dyDescent="0.25"/>
    <row r="55653" hidden="1" x14ac:dyDescent="0.25"/>
    <row r="55654" hidden="1" x14ac:dyDescent="0.25"/>
    <row r="55655" hidden="1" x14ac:dyDescent="0.25"/>
    <row r="55656" hidden="1" x14ac:dyDescent="0.25"/>
    <row r="55657" hidden="1" x14ac:dyDescent="0.25"/>
    <row r="55658" hidden="1" x14ac:dyDescent="0.25"/>
    <row r="55659" hidden="1" x14ac:dyDescent="0.25"/>
    <row r="55660" hidden="1" x14ac:dyDescent="0.25"/>
    <row r="55661" hidden="1" x14ac:dyDescent="0.25"/>
    <row r="55662" hidden="1" x14ac:dyDescent="0.25"/>
    <row r="55663" hidden="1" x14ac:dyDescent="0.25"/>
    <row r="55664" hidden="1" x14ac:dyDescent="0.25"/>
    <row r="55665" hidden="1" x14ac:dyDescent="0.25"/>
    <row r="55666" hidden="1" x14ac:dyDescent="0.25"/>
    <row r="55667" hidden="1" x14ac:dyDescent="0.25"/>
    <row r="55668" hidden="1" x14ac:dyDescent="0.25"/>
    <row r="55669" hidden="1" x14ac:dyDescent="0.25"/>
    <row r="55670" hidden="1" x14ac:dyDescent="0.25"/>
    <row r="55671" hidden="1" x14ac:dyDescent="0.25"/>
    <row r="55672" hidden="1" x14ac:dyDescent="0.25"/>
    <row r="55673" hidden="1" x14ac:dyDescent="0.25"/>
    <row r="55674" hidden="1" x14ac:dyDescent="0.25"/>
    <row r="55675" hidden="1" x14ac:dyDescent="0.25"/>
    <row r="55676" hidden="1" x14ac:dyDescent="0.25"/>
    <row r="55677" hidden="1" x14ac:dyDescent="0.25"/>
    <row r="55678" hidden="1" x14ac:dyDescent="0.25"/>
    <row r="55679" hidden="1" x14ac:dyDescent="0.25"/>
    <row r="55680" hidden="1" x14ac:dyDescent="0.25"/>
    <row r="55681" hidden="1" x14ac:dyDescent="0.25"/>
    <row r="55682" hidden="1" x14ac:dyDescent="0.25"/>
    <row r="55683" hidden="1" x14ac:dyDescent="0.25"/>
    <row r="55684" hidden="1" x14ac:dyDescent="0.25"/>
    <row r="55685" hidden="1" x14ac:dyDescent="0.25"/>
    <row r="55686" hidden="1" x14ac:dyDescent="0.25"/>
    <row r="55687" hidden="1" x14ac:dyDescent="0.25"/>
    <row r="55688" hidden="1" x14ac:dyDescent="0.25"/>
    <row r="55689" hidden="1" x14ac:dyDescent="0.25"/>
    <row r="55690" hidden="1" x14ac:dyDescent="0.25"/>
    <row r="55691" hidden="1" x14ac:dyDescent="0.25"/>
    <row r="55692" hidden="1" x14ac:dyDescent="0.25"/>
    <row r="55693" hidden="1" x14ac:dyDescent="0.25"/>
    <row r="55694" hidden="1" x14ac:dyDescent="0.25"/>
    <row r="55695" hidden="1" x14ac:dyDescent="0.25"/>
    <row r="55696" hidden="1" x14ac:dyDescent="0.25"/>
    <row r="55697" hidden="1" x14ac:dyDescent="0.25"/>
    <row r="55698" hidden="1" x14ac:dyDescent="0.25"/>
    <row r="55699" hidden="1" x14ac:dyDescent="0.25"/>
    <row r="55700" hidden="1" x14ac:dyDescent="0.25"/>
    <row r="55701" hidden="1" x14ac:dyDescent="0.25"/>
    <row r="55702" hidden="1" x14ac:dyDescent="0.25"/>
    <row r="55703" hidden="1" x14ac:dyDescent="0.25"/>
    <row r="55704" hidden="1" x14ac:dyDescent="0.25"/>
    <row r="55705" hidden="1" x14ac:dyDescent="0.25"/>
    <row r="55706" hidden="1" x14ac:dyDescent="0.25"/>
    <row r="55707" hidden="1" x14ac:dyDescent="0.25"/>
    <row r="55708" hidden="1" x14ac:dyDescent="0.25"/>
    <row r="55709" hidden="1" x14ac:dyDescent="0.25"/>
    <row r="55710" hidden="1" x14ac:dyDescent="0.25"/>
    <row r="55711" hidden="1" x14ac:dyDescent="0.25"/>
    <row r="55712" hidden="1" x14ac:dyDescent="0.25"/>
    <row r="55713" hidden="1" x14ac:dyDescent="0.25"/>
    <row r="55714" hidden="1" x14ac:dyDescent="0.25"/>
    <row r="55715" hidden="1" x14ac:dyDescent="0.25"/>
    <row r="55716" hidden="1" x14ac:dyDescent="0.25"/>
    <row r="55717" hidden="1" x14ac:dyDescent="0.25"/>
    <row r="55718" hidden="1" x14ac:dyDescent="0.25"/>
    <row r="55719" hidden="1" x14ac:dyDescent="0.25"/>
    <row r="55720" hidden="1" x14ac:dyDescent="0.25"/>
    <row r="55721" hidden="1" x14ac:dyDescent="0.25"/>
    <row r="55722" hidden="1" x14ac:dyDescent="0.25"/>
    <row r="55723" hidden="1" x14ac:dyDescent="0.25"/>
    <row r="55724" hidden="1" x14ac:dyDescent="0.25"/>
    <row r="55725" hidden="1" x14ac:dyDescent="0.25"/>
    <row r="55726" hidden="1" x14ac:dyDescent="0.25"/>
    <row r="55727" hidden="1" x14ac:dyDescent="0.25"/>
    <row r="55728" hidden="1" x14ac:dyDescent="0.25"/>
    <row r="55729" hidden="1" x14ac:dyDescent="0.25"/>
    <row r="55730" hidden="1" x14ac:dyDescent="0.25"/>
    <row r="55731" hidden="1" x14ac:dyDescent="0.25"/>
    <row r="55732" hidden="1" x14ac:dyDescent="0.25"/>
    <row r="55733" hidden="1" x14ac:dyDescent="0.25"/>
    <row r="55734" hidden="1" x14ac:dyDescent="0.25"/>
    <row r="55735" hidden="1" x14ac:dyDescent="0.25"/>
    <row r="55736" hidden="1" x14ac:dyDescent="0.25"/>
    <row r="55737" hidden="1" x14ac:dyDescent="0.25"/>
    <row r="55738" hidden="1" x14ac:dyDescent="0.25"/>
    <row r="55739" hidden="1" x14ac:dyDescent="0.25"/>
    <row r="55740" hidden="1" x14ac:dyDescent="0.25"/>
    <row r="55741" hidden="1" x14ac:dyDescent="0.25"/>
    <row r="55742" hidden="1" x14ac:dyDescent="0.25"/>
    <row r="55743" hidden="1" x14ac:dyDescent="0.25"/>
    <row r="55744" hidden="1" x14ac:dyDescent="0.25"/>
    <row r="55745" hidden="1" x14ac:dyDescent="0.25"/>
    <row r="55746" hidden="1" x14ac:dyDescent="0.25"/>
    <row r="55747" hidden="1" x14ac:dyDescent="0.25"/>
    <row r="55748" hidden="1" x14ac:dyDescent="0.25"/>
    <row r="55749" hidden="1" x14ac:dyDescent="0.25"/>
    <row r="55750" hidden="1" x14ac:dyDescent="0.25"/>
    <row r="55751" hidden="1" x14ac:dyDescent="0.25"/>
    <row r="55752" hidden="1" x14ac:dyDescent="0.25"/>
    <row r="55753" hidden="1" x14ac:dyDescent="0.25"/>
    <row r="55754" hidden="1" x14ac:dyDescent="0.25"/>
    <row r="55755" hidden="1" x14ac:dyDescent="0.25"/>
    <row r="55756" hidden="1" x14ac:dyDescent="0.25"/>
    <row r="55757" hidden="1" x14ac:dyDescent="0.25"/>
    <row r="55758" hidden="1" x14ac:dyDescent="0.25"/>
    <row r="55759" hidden="1" x14ac:dyDescent="0.25"/>
    <row r="55760" hidden="1" x14ac:dyDescent="0.25"/>
    <row r="55761" hidden="1" x14ac:dyDescent="0.25"/>
    <row r="55762" hidden="1" x14ac:dyDescent="0.25"/>
    <row r="55763" hidden="1" x14ac:dyDescent="0.25"/>
    <row r="55764" hidden="1" x14ac:dyDescent="0.25"/>
    <row r="55765" hidden="1" x14ac:dyDescent="0.25"/>
    <row r="55766" hidden="1" x14ac:dyDescent="0.25"/>
    <row r="55767" hidden="1" x14ac:dyDescent="0.25"/>
    <row r="55768" hidden="1" x14ac:dyDescent="0.25"/>
    <row r="55769" hidden="1" x14ac:dyDescent="0.25"/>
    <row r="55770" hidden="1" x14ac:dyDescent="0.25"/>
    <row r="55771" hidden="1" x14ac:dyDescent="0.25"/>
    <row r="55772" hidden="1" x14ac:dyDescent="0.25"/>
    <row r="55773" hidden="1" x14ac:dyDescent="0.25"/>
    <row r="55774" hidden="1" x14ac:dyDescent="0.25"/>
    <row r="55775" hidden="1" x14ac:dyDescent="0.25"/>
    <row r="55776" hidden="1" x14ac:dyDescent="0.25"/>
    <row r="55777" hidden="1" x14ac:dyDescent="0.25"/>
    <row r="55778" hidden="1" x14ac:dyDescent="0.25"/>
    <row r="55779" hidden="1" x14ac:dyDescent="0.25"/>
    <row r="55780" hidden="1" x14ac:dyDescent="0.25"/>
    <row r="55781" hidden="1" x14ac:dyDescent="0.25"/>
    <row r="55782" hidden="1" x14ac:dyDescent="0.25"/>
    <row r="55783" hidden="1" x14ac:dyDescent="0.25"/>
    <row r="55784" hidden="1" x14ac:dyDescent="0.25"/>
    <row r="55785" hidden="1" x14ac:dyDescent="0.25"/>
    <row r="55786" hidden="1" x14ac:dyDescent="0.25"/>
    <row r="55787" hidden="1" x14ac:dyDescent="0.25"/>
    <row r="55788" hidden="1" x14ac:dyDescent="0.25"/>
    <row r="55789" hidden="1" x14ac:dyDescent="0.25"/>
    <row r="55790" hidden="1" x14ac:dyDescent="0.25"/>
    <row r="55791" hidden="1" x14ac:dyDescent="0.25"/>
    <row r="55792" hidden="1" x14ac:dyDescent="0.25"/>
    <row r="55793" hidden="1" x14ac:dyDescent="0.25"/>
    <row r="55794" hidden="1" x14ac:dyDescent="0.25"/>
    <row r="55795" hidden="1" x14ac:dyDescent="0.25"/>
    <row r="55796" hidden="1" x14ac:dyDescent="0.25"/>
    <row r="55797" hidden="1" x14ac:dyDescent="0.25"/>
    <row r="55798" hidden="1" x14ac:dyDescent="0.25"/>
    <row r="55799" hidden="1" x14ac:dyDescent="0.25"/>
    <row r="55800" hidden="1" x14ac:dyDescent="0.25"/>
    <row r="55801" hidden="1" x14ac:dyDescent="0.25"/>
    <row r="55802" hidden="1" x14ac:dyDescent="0.25"/>
    <row r="55803" hidden="1" x14ac:dyDescent="0.25"/>
    <row r="55804" hidden="1" x14ac:dyDescent="0.25"/>
    <row r="55805" hidden="1" x14ac:dyDescent="0.25"/>
    <row r="55806" hidden="1" x14ac:dyDescent="0.25"/>
    <row r="55807" hidden="1" x14ac:dyDescent="0.25"/>
    <row r="55808" hidden="1" x14ac:dyDescent="0.25"/>
    <row r="55809" hidden="1" x14ac:dyDescent="0.25"/>
    <row r="55810" hidden="1" x14ac:dyDescent="0.25"/>
    <row r="55811" hidden="1" x14ac:dyDescent="0.25"/>
    <row r="55812" hidden="1" x14ac:dyDescent="0.25"/>
    <row r="55813" hidden="1" x14ac:dyDescent="0.25"/>
    <row r="55814" hidden="1" x14ac:dyDescent="0.25"/>
    <row r="55815" hidden="1" x14ac:dyDescent="0.25"/>
    <row r="55816" hidden="1" x14ac:dyDescent="0.25"/>
    <row r="55817" hidden="1" x14ac:dyDescent="0.25"/>
    <row r="55818" hidden="1" x14ac:dyDescent="0.25"/>
    <row r="55819" hidden="1" x14ac:dyDescent="0.25"/>
    <row r="55820" hidden="1" x14ac:dyDescent="0.25"/>
    <row r="55821" hidden="1" x14ac:dyDescent="0.25"/>
    <row r="55822" hidden="1" x14ac:dyDescent="0.25"/>
    <row r="55823" hidden="1" x14ac:dyDescent="0.25"/>
    <row r="55824" hidden="1" x14ac:dyDescent="0.25"/>
    <row r="55825" hidden="1" x14ac:dyDescent="0.25"/>
    <row r="55826" hidden="1" x14ac:dyDescent="0.25"/>
    <row r="55827" hidden="1" x14ac:dyDescent="0.25"/>
    <row r="55828" hidden="1" x14ac:dyDescent="0.25"/>
    <row r="55829" hidden="1" x14ac:dyDescent="0.25"/>
    <row r="55830" hidden="1" x14ac:dyDescent="0.25"/>
    <row r="55831" hidden="1" x14ac:dyDescent="0.25"/>
    <row r="55832" hidden="1" x14ac:dyDescent="0.25"/>
    <row r="55833" hidden="1" x14ac:dyDescent="0.25"/>
    <row r="55834" hidden="1" x14ac:dyDescent="0.25"/>
    <row r="55835" hidden="1" x14ac:dyDescent="0.25"/>
    <row r="55836" hidden="1" x14ac:dyDescent="0.25"/>
    <row r="55837" hidden="1" x14ac:dyDescent="0.25"/>
    <row r="55838" hidden="1" x14ac:dyDescent="0.25"/>
    <row r="55839" hidden="1" x14ac:dyDescent="0.25"/>
    <row r="55840" hidden="1" x14ac:dyDescent="0.25"/>
    <row r="55841" hidden="1" x14ac:dyDescent="0.25"/>
    <row r="55842" hidden="1" x14ac:dyDescent="0.25"/>
    <row r="55843" hidden="1" x14ac:dyDescent="0.25"/>
    <row r="55844" hidden="1" x14ac:dyDescent="0.25"/>
    <row r="55845" hidden="1" x14ac:dyDescent="0.25"/>
    <row r="55846" hidden="1" x14ac:dyDescent="0.25"/>
    <row r="55847" hidden="1" x14ac:dyDescent="0.25"/>
    <row r="55848" hidden="1" x14ac:dyDescent="0.25"/>
    <row r="55849" hidden="1" x14ac:dyDescent="0.25"/>
    <row r="55850" hidden="1" x14ac:dyDescent="0.25"/>
    <row r="55851" hidden="1" x14ac:dyDescent="0.25"/>
    <row r="55852" hidden="1" x14ac:dyDescent="0.25"/>
    <row r="55853" hidden="1" x14ac:dyDescent="0.25"/>
    <row r="55854" hidden="1" x14ac:dyDescent="0.25"/>
    <row r="55855" hidden="1" x14ac:dyDescent="0.25"/>
    <row r="55856" hidden="1" x14ac:dyDescent="0.25"/>
    <row r="55857" hidden="1" x14ac:dyDescent="0.25"/>
    <row r="55858" hidden="1" x14ac:dyDescent="0.25"/>
    <row r="55859" hidden="1" x14ac:dyDescent="0.25"/>
    <row r="55860" hidden="1" x14ac:dyDescent="0.25"/>
    <row r="55861" hidden="1" x14ac:dyDescent="0.25"/>
    <row r="55862" hidden="1" x14ac:dyDescent="0.25"/>
    <row r="55863" hidden="1" x14ac:dyDescent="0.25"/>
    <row r="55864" hidden="1" x14ac:dyDescent="0.25"/>
    <row r="55865" hidden="1" x14ac:dyDescent="0.25"/>
    <row r="55866" hidden="1" x14ac:dyDescent="0.25"/>
    <row r="55867" hidden="1" x14ac:dyDescent="0.25"/>
    <row r="55868" hidden="1" x14ac:dyDescent="0.25"/>
    <row r="55869" hidden="1" x14ac:dyDescent="0.25"/>
    <row r="55870" hidden="1" x14ac:dyDescent="0.25"/>
    <row r="55871" hidden="1" x14ac:dyDescent="0.25"/>
    <row r="55872" hidden="1" x14ac:dyDescent="0.25"/>
    <row r="55873" hidden="1" x14ac:dyDescent="0.25"/>
    <row r="55874" hidden="1" x14ac:dyDescent="0.25"/>
    <row r="55875" hidden="1" x14ac:dyDescent="0.25"/>
    <row r="55876" hidden="1" x14ac:dyDescent="0.25"/>
    <row r="55877" hidden="1" x14ac:dyDescent="0.25"/>
    <row r="55878" hidden="1" x14ac:dyDescent="0.25"/>
    <row r="55879" hidden="1" x14ac:dyDescent="0.25"/>
    <row r="55880" hidden="1" x14ac:dyDescent="0.25"/>
    <row r="55881" hidden="1" x14ac:dyDescent="0.25"/>
    <row r="55882" hidden="1" x14ac:dyDescent="0.25"/>
    <row r="55883" hidden="1" x14ac:dyDescent="0.25"/>
    <row r="55884" hidden="1" x14ac:dyDescent="0.25"/>
    <row r="55885" hidden="1" x14ac:dyDescent="0.25"/>
    <row r="55886" hidden="1" x14ac:dyDescent="0.25"/>
    <row r="55887" hidden="1" x14ac:dyDescent="0.25"/>
    <row r="55888" hidden="1" x14ac:dyDescent="0.25"/>
    <row r="55889" hidden="1" x14ac:dyDescent="0.25"/>
    <row r="55890" hidden="1" x14ac:dyDescent="0.25"/>
    <row r="55891" hidden="1" x14ac:dyDescent="0.25"/>
    <row r="55892" hidden="1" x14ac:dyDescent="0.25"/>
    <row r="55893" hidden="1" x14ac:dyDescent="0.25"/>
    <row r="55894" hidden="1" x14ac:dyDescent="0.25"/>
    <row r="55895" hidden="1" x14ac:dyDescent="0.25"/>
    <row r="55896" hidden="1" x14ac:dyDescent="0.25"/>
    <row r="55897" hidden="1" x14ac:dyDescent="0.25"/>
    <row r="55898" hidden="1" x14ac:dyDescent="0.25"/>
    <row r="55899" hidden="1" x14ac:dyDescent="0.25"/>
    <row r="55900" hidden="1" x14ac:dyDescent="0.25"/>
    <row r="55901" hidden="1" x14ac:dyDescent="0.25"/>
    <row r="55902" hidden="1" x14ac:dyDescent="0.25"/>
    <row r="55903" hidden="1" x14ac:dyDescent="0.25"/>
    <row r="55904" hidden="1" x14ac:dyDescent="0.25"/>
    <row r="55905" hidden="1" x14ac:dyDescent="0.25"/>
    <row r="55906" hidden="1" x14ac:dyDescent="0.25"/>
    <row r="55907" hidden="1" x14ac:dyDescent="0.25"/>
    <row r="55908" hidden="1" x14ac:dyDescent="0.25"/>
    <row r="55909" hidden="1" x14ac:dyDescent="0.25"/>
    <row r="55910" hidden="1" x14ac:dyDescent="0.25"/>
    <row r="55911" hidden="1" x14ac:dyDescent="0.25"/>
    <row r="55912" hidden="1" x14ac:dyDescent="0.25"/>
    <row r="55913" hidden="1" x14ac:dyDescent="0.25"/>
    <row r="55914" hidden="1" x14ac:dyDescent="0.25"/>
    <row r="55915" hidden="1" x14ac:dyDescent="0.25"/>
    <row r="55916" hidden="1" x14ac:dyDescent="0.25"/>
    <row r="55917" hidden="1" x14ac:dyDescent="0.25"/>
    <row r="55918" hidden="1" x14ac:dyDescent="0.25"/>
    <row r="55919" hidden="1" x14ac:dyDescent="0.25"/>
    <row r="55920" hidden="1" x14ac:dyDescent="0.25"/>
    <row r="55921" hidden="1" x14ac:dyDescent="0.25"/>
    <row r="55922" hidden="1" x14ac:dyDescent="0.25"/>
    <row r="55923" hidden="1" x14ac:dyDescent="0.25"/>
    <row r="55924" hidden="1" x14ac:dyDescent="0.25"/>
    <row r="55925" hidden="1" x14ac:dyDescent="0.25"/>
    <row r="55926" hidden="1" x14ac:dyDescent="0.25"/>
    <row r="55927" hidden="1" x14ac:dyDescent="0.25"/>
    <row r="55928" hidden="1" x14ac:dyDescent="0.25"/>
    <row r="55929" hidden="1" x14ac:dyDescent="0.25"/>
    <row r="55930" hidden="1" x14ac:dyDescent="0.25"/>
    <row r="55931" hidden="1" x14ac:dyDescent="0.25"/>
    <row r="55932" hidden="1" x14ac:dyDescent="0.25"/>
    <row r="55933" hidden="1" x14ac:dyDescent="0.25"/>
    <row r="55934" hidden="1" x14ac:dyDescent="0.25"/>
    <row r="55935" hidden="1" x14ac:dyDescent="0.25"/>
    <row r="55936" hidden="1" x14ac:dyDescent="0.25"/>
    <row r="55937" hidden="1" x14ac:dyDescent="0.25"/>
    <row r="55938" hidden="1" x14ac:dyDescent="0.25"/>
    <row r="55939" hidden="1" x14ac:dyDescent="0.25"/>
    <row r="55940" hidden="1" x14ac:dyDescent="0.25"/>
    <row r="55941" hidden="1" x14ac:dyDescent="0.25"/>
    <row r="55942" hidden="1" x14ac:dyDescent="0.25"/>
    <row r="55943" hidden="1" x14ac:dyDescent="0.25"/>
    <row r="55944" hidden="1" x14ac:dyDescent="0.25"/>
    <row r="55945" hidden="1" x14ac:dyDescent="0.25"/>
    <row r="55946" hidden="1" x14ac:dyDescent="0.25"/>
    <row r="55947" hidden="1" x14ac:dyDescent="0.25"/>
    <row r="55948" hidden="1" x14ac:dyDescent="0.25"/>
    <row r="55949" hidden="1" x14ac:dyDescent="0.25"/>
    <row r="55950" hidden="1" x14ac:dyDescent="0.25"/>
    <row r="55951" hidden="1" x14ac:dyDescent="0.25"/>
    <row r="55952" hidden="1" x14ac:dyDescent="0.25"/>
    <row r="55953" hidden="1" x14ac:dyDescent="0.25"/>
    <row r="55954" hidden="1" x14ac:dyDescent="0.25"/>
    <row r="55955" hidden="1" x14ac:dyDescent="0.25"/>
    <row r="55956" hidden="1" x14ac:dyDescent="0.25"/>
    <row r="55957" hidden="1" x14ac:dyDescent="0.25"/>
    <row r="55958" hidden="1" x14ac:dyDescent="0.25"/>
    <row r="55959" hidden="1" x14ac:dyDescent="0.25"/>
    <row r="55960" hidden="1" x14ac:dyDescent="0.25"/>
    <row r="55961" hidden="1" x14ac:dyDescent="0.25"/>
    <row r="55962" hidden="1" x14ac:dyDescent="0.25"/>
    <row r="55963" hidden="1" x14ac:dyDescent="0.25"/>
    <row r="55964" hidden="1" x14ac:dyDescent="0.25"/>
    <row r="55965" hidden="1" x14ac:dyDescent="0.25"/>
    <row r="55966" hidden="1" x14ac:dyDescent="0.25"/>
    <row r="55967" hidden="1" x14ac:dyDescent="0.25"/>
    <row r="55968" hidden="1" x14ac:dyDescent="0.25"/>
    <row r="55969" hidden="1" x14ac:dyDescent="0.25"/>
    <row r="55970" hidden="1" x14ac:dyDescent="0.25"/>
    <row r="55971" hidden="1" x14ac:dyDescent="0.25"/>
    <row r="55972" hidden="1" x14ac:dyDescent="0.25"/>
    <row r="55973" hidden="1" x14ac:dyDescent="0.25"/>
    <row r="55974" hidden="1" x14ac:dyDescent="0.25"/>
    <row r="55975" hidden="1" x14ac:dyDescent="0.25"/>
    <row r="55976" hidden="1" x14ac:dyDescent="0.25"/>
    <row r="55977" hidden="1" x14ac:dyDescent="0.25"/>
    <row r="55978" hidden="1" x14ac:dyDescent="0.25"/>
    <row r="55979" hidden="1" x14ac:dyDescent="0.25"/>
    <row r="55980" hidden="1" x14ac:dyDescent="0.25"/>
    <row r="55981" hidden="1" x14ac:dyDescent="0.25"/>
    <row r="55982" hidden="1" x14ac:dyDescent="0.25"/>
    <row r="55983" hidden="1" x14ac:dyDescent="0.25"/>
    <row r="55984" hidden="1" x14ac:dyDescent="0.25"/>
    <row r="55985" hidden="1" x14ac:dyDescent="0.25"/>
    <row r="55986" hidden="1" x14ac:dyDescent="0.25"/>
    <row r="55987" hidden="1" x14ac:dyDescent="0.25"/>
    <row r="55988" hidden="1" x14ac:dyDescent="0.25"/>
    <row r="55989" hidden="1" x14ac:dyDescent="0.25"/>
    <row r="55990" hidden="1" x14ac:dyDescent="0.25"/>
    <row r="55991" hidden="1" x14ac:dyDescent="0.25"/>
    <row r="55992" hidden="1" x14ac:dyDescent="0.25"/>
    <row r="55993" hidden="1" x14ac:dyDescent="0.25"/>
    <row r="55994" hidden="1" x14ac:dyDescent="0.25"/>
    <row r="55995" hidden="1" x14ac:dyDescent="0.25"/>
    <row r="55996" hidden="1" x14ac:dyDescent="0.25"/>
    <row r="55997" hidden="1" x14ac:dyDescent="0.25"/>
    <row r="55998" hidden="1" x14ac:dyDescent="0.25"/>
    <row r="55999" hidden="1" x14ac:dyDescent="0.25"/>
    <row r="56000" hidden="1" x14ac:dyDescent="0.25"/>
    <row r="56001" hidden="1" x14ac:dyDescent="0.25"/>
    <row r="56002" hidden="1" x14ac:dyDescent="0.25"/>
    <row r="56003" hidden="1" x14ac:dyDescent="0.25"/>
    <row r="56004" hidden="1" x14ac:dyDescent="0.25"/>
    <row r="56005" hidden="1" x14ac:dyDescent="0.25"/>
    <row r="56006" hidden="1" x14ac:dyDescent="0.25"/>
    <row r="56007" hidden="1" x14ac:dyDescent="0.25"/>
    <row r="56008" hidden="1" x14ac:dyDescent="0.25"/>
    <row r="56009" hidden="1" x14ac:dyDescent="0.25"/>
    <row r="56010" hidden="1" x14ac:dyDescent="0.25"/>
    <row r="56011" hidden="1" x14ac:dyDescent="0.25"/>
    <row r="56012" hidden="1" x14ac:dyDescent="0.25"/>
    <row r="56013" hidden="1" x14ac:dyDescent="0.25"/>
    <row r="56014" hidden="1" x14ac:dyDescent="0.25"/>
    <row r="56015" hidden="1" x14ac:dyDescent="0.25"/>
    <row r="56016" hidden="1" x14ac:dyDescent="0.25"/>
    <row r="56017" hidden="1" x14ac:dyDescent="0.25"/>
    <row r="56018" hidden="1" x14ac:dyDescent="0.25"/>
    <row r="56019" hidden="1" x14ac:dyDescent="0.25"/>
    <row r="56020" hidden="1" x14ac:dyDescent="0.25"/>
    <row r="56021" hidden="1" x14ac:dyDescent="0.25"/>
    <row r="56022" hidden="1" x14ac:dyDescent="0.25"/>
    <row r="56023" hidden="1" x14ac:dyDescent="0.25"/>
    <row r="56024" hidden="1" x14ac:dyDescent="0.25"/>
    <row r="56025" hidden="1" x14ac:dyDescent="0.25"/>
    <row r="56026" hidden="1" x14ac:dyDescent="0.25"/>
    <row r="56027" hidden="1" x14ac:dyDescent="0.25"/>
    <row r="56028" hidden="1" x14ac:dyDescent="0.25"/>
    <row r="56029" hidden="1" x14ac:dyDescent="0.25"/>
    <row r="56030" hidden="1" x14ac:dyDescent="0.25"/>
    <row r="56031" hidden="1" x14ac:dyDescent="0.25"/>
    <row r="56032" hidden="1" x14ac:dyDescent="0.25"/>
    <row r="56033" hidden="1" x14ac:dyDescent="0.25"/>
    <row r="56034" hidden="1" x14ac:dyDescent="0.25"/>
    <row r="56035" hidden="1" x14ac:dyDescent="0.25"/>
    <row r="56036" hidden="1" x14ac:dyDescent="0.25"/>
    <row r="56037" hidden="1" x14ac:dyDescent="0.25"/>
    <row r="56038" hidden="1" x14ac:dyDescent="0.25"/>
    <row r="56039" hidden="1" x14ac:dyDescent="0.25"/>
    <row r="56040" hidden="1" x14ac:dyDescent="0.25"/>
    <row r="56041" hidden="1" x14ac:dyDescent="0.25"/>
    <row r="56042" hidden="1" x14ac:dyDescent="0.25"/>
    <row r="56043" hidden="1" x14ac:dyDescent="0.25"/>
    <row r="56044" hidden="1" x14ac:dyDescent="0.25"/>
    <row r="56045" hidden="1" x14ac:dyDescent="0.25"/>
    <row r="56046" hidden="1" x14ac:dyDescent="0.25"/>
    <row r="56047" hidden="1" x14ac:dyDescent="0.25"/>
    <row r="56048" hidden="1" x14ac:dyDescent="0.25"/>
    <row r="56049" hidden="1" x14ac:dyDescent="0.25"/>
    <row r="56050" hidden="1" x14ac:dyDescent="0.25"/>
    <row r="56051" hidden="1" x14ac:dyDescent="0.25"/>
    <row r="56052" hidden="1" x14ac:dyDescent="0.25"/>
    <row r="56053" hidden="1" x14ac:dyDescent="0.25"/>
    <row r="56054" hidden="1" x14ac:dyDescent="0.25"/>
    <row r="56055" hidden="1" x14ac:dyDescent="0.25"/>
    <row r="56056" hidden="1" x14ac:dyDescent="0.25"/>
    <row r="56057" hidden="1" x14ac:dyDescent="0.25"/>
    <row r="56058" hidden="1" x14ac:dyDescent="0.25"/>
    <row r="56059" hidden="1" x14ac:dyDescent="0.25"/>
    <row r="56060" hidden="1" x14ac:dyDescent="0.25"/>
    <row r="56061" hidden="1" x14ac:dyDescent="0.25"/>
    <row r="56062" hidden="1" x14ac:dyDescent="0.25"/>
    <row r="56063" hidden="1" x14ac:dyDescent="0.25"/>
    <row r="56064" hidden="1" x14ac:dyDescent="0.25"/>
    <row r="56065" hidden="1" x14ac:dyDescent="0.25"/>
    <row r="56066" hidden="1" x14ac:dyDescent="0.25"/>
    <row r="56067" hidden="1" x14ac:dyDescent="0.25"/>
    <row r="56068" hidden="1" x14ac:dyDescent="0.25"/>
    <row r="56069" hidden="1" x14ac:dyDescent="0.25"/>
    <row r="56070" hidden="1" x14ac:dyDescent="0.25"/>
    <row r="56071" hidden="1" x14ac:dyDescent="0.25"/>
    <row r="56072" hidden="1" x14ac:dyDescent="0.25"/>
    <row r="56073" hidden="1" x14ac:dyDescent="0.25"/>
    <row r="56074" hidden="1" x14ac:dyDescent="0.25"/>
    <row r="56075" hidden="1" x14ac:dyDescent="0.25"/>
    <row r="56076" hidden="1" x14ac:dyDescent="0.25"/>
    <row r="56077" hidden="1" x14ac:dyDescent="0.25"/>
    <row r="56078" hidden="1" x14ac:dyDescent="0.25"/>
    <row r="56079" hidden="1" x14ac:dyDescent="0.25"/>
    <row r="56080" hidden="1" x14ac:dyDescent="0.25"/>
    <row r="56081" hidden="1" x14ac:dyDescent="0.25"/>
    <row r="56082" hidden="1" x14ac:dyDescent="0.25"/>
    <row r="56083" hidden="1" x14ac:dyDescent="0.25"/>
    <row r="56084" hidden="1" x14ac:dyDescent="0.25"/>
    <row r="56085" hidden="1" x14ac:dyDescent="0.25"/>
    <row r="56086" hidden="1" x14ac:dyDescent="0.25"/>
    <row r="56087" hidden="1" x14ac:dyDescent="0.25"/>
    <row r="56088" hidden="1" x14ac:dyDescent="0.25"/>
    <row r="56089" hidden="1" x14ac:dyDescent="0.25"/>
    <row r="56090" hidden="1" x14ac:dyDescent="0.25"/>
    <row r="56091" hidden="1" x14ac:dyDescent="0.25"/>
    <row r="56092" hidden="1" x14ac:dyDescent="0.25"/>
    <row r="56093" hidden="1" x14ac:dyDescent="0.25"/>
    <row r="56094" hidden="1" x14ac:dyDescent="0.25"/>
    <row r="56095" hidden="1" x14ac:dyDescent="0.25"/>
    <row r="56096" hidden="1" x14ac:dyDescent="0.25"/>
    <row r="56097" hidden="1" x14ac:dyDescent="0.25"/>
    <row r="56098" hidden="1" x14ac:dyDescent="0.25"/>
    <row r="56099" hidden="1" x14ac:dyDescent="0.25"/>
    <row r="56100" hidden="1" x14ac:dyDescent="0.25"/>
    <row r="56101" hidden="1" x14ac:dyDescent="0.25"/>
    <row r="56102" hidden="1" x14ac:dyDescent="0.25"/>
    <row r="56103" hidden="1" x14ac:dyDescent="0.25"/>
    <row r="56104" hidden="1" x14ac:dyDescent="0.25"/>
    <row r="56105" hidden="1" x14ac:dyDescent="0.25"/>
    <row r="56106" hidden="1" x14ac:dyDescent="0.25"/>
    <row r="56107" hidden="1" x14ac:dyDescent="0.25"/>
    <row r="56108" hidden="1" x14ac:dyDescent="0.25"/>
    <row r="56109" hidden="1" x14ac:dyDescent="0.25"/>
    <row r="56110" hidden="1" x14ac:dyDescent="0.25"/>
    <row r="56111" hidden="1" x14ac:dyDescent="0.25"/>
    <row r="56112" hidden="1" x14ac:dyDescent="0.25"/>
    <row r="56113" hidden="1" x14ac:dyDescent="0.25"/>
    <row r="56114" hidden="1" x14ac:dyDescent="0.25"/>
    <row r="56115" hidden="1" x14ac:dyDescent="0.25"/>
    <row r="56116" hidden="1" x14ac:dyDescent="0.25"/>
    <row r="56117" hidden="1" x14ac:dyDescent="0.25"/>
    <row r="56118" hidden="1" x14ac:dyDescent="0.25"/>
    <row r="56119" hidden="1" x14ac:dyDescent="0.25"/>
    <row r="56120" hidden="1" x14ac:dyDescent="0.25"/>
    <row r="56121" hidden="1" x14ac:dyDescent="0.25"/>
    <row r="56122" hidden="1" x14ac:dyDescent="0.25"/>
    <row r="56123" hidden="1" x14ac:dyDescent="0.25"/>
    <row r="56124" hidden="1" x14ac:dyDescent="0.25"/>
    <row r="56125" hidden="1" x14ac:dyDescent="0.25"/>
    <row r="56126" hidden="1" x14ac:dyDescent="0.25"/>
    <row r="56127" hidden="1" x14ac:dyDescent="0.25"/>
    <row r="56128" hidden="1" x14ac:dyDescent="0.25"/>
    <row r="56129" hidden="1" x14ac:dyDescent="0.25"/>
    <row r="56130" hidden="1" x14ac:dyDescent="0.25"/>
    <row r="56131" hidden="1" x14ac:dyDescent="0.25"/>
    <row r="56132" hidden="1" x14ac:dyDescent="0.25"/>
    <row r="56133" hidden="1" x14ac:dyDescent="0.25"/>
    <row r="56134" hidden="1" x14ac:dyDescent="0.25"/>
    <row r="56135" hidden="1" x14ac:dyDescent="0.25"/>
    <row r="56136" hidden="1" x14ac:dyDescent="0.25"/>
    <row r="56137" hidden="1" x14ac:dyDescent="0.25"/>
    <row r="56138" hidden="1" x14ac:dyDescent="0.25"/>
    <row r="56139" hidden="1" x14ac:dyDescent="0.25"/>
    <row r="56140" hidden="1" x14ac:dyDescent="0.25"/>
    <row r="56141" hidden="1" x14ac:dyDescent="0.25"/>
    <row r="56142" hidden="1" x14ac:dyDescent="0.25"/>
    <row r="56143" hidden="1" x14ac:dyDescent="0.25"/>
    <row r="56144" hidden="1" x14ac:dyDescent="0.25"/>
    <row r="56145" hidden="1" x14ac:dyDescent="0.25"/>
    <row r="56146" hidden="1" x14ac:dyDescent="0.25"/>
    <row r="56147" hidden="1" x14ac:dyDescent="0.25"/>
    <row r="56148" hidden="1" x14ac:dyDescent="0.25"/>
    <row r="56149" hidden="1" x14ac:dyDescent="0.25"/>
    <row r="56150" hidden="1" x14ac:dyDescent="0.25"/>
    <row r="56151" hidden="1" x14ac:dyDescent="0.25"/>
    <row r="56152" hidden="1" x14ac:dyDescent="0.25"/>
    <row r="56153" hidden="1" x14ac:dyDescent="0.25"/>
    <row r="56154" hidden="1" x14ac:dyDescent="0.25"/>
    <row r="56155" hidden="1" x14ac:dyDescent="0.25"/>
    <row r="56156" hidden="1" x14ac:dyDescent="0.25"/>
    <row r="56157" hidden="1" x14ac:dyDescent="0.25"/>
    <row r="56158" hidden="1" x14ac:dyDescent="0.25"/>
    <row r="56159" hidden="1" x14ac:dyDescent="0.25"/>
    <row r="56160" hidden="1" x14ac:dyDescent="0.25"/>
    <row r="56161" hidden="1" x14ac:dyDescent="0.25"/>
    <row r="56162" hidden="1" x14ac:dyDescent="0.25"/>
    <row r="56163" hidden="1" x14ac:dyDescent="0.25"/>
    <row r="56164" hidden="1" x14ac:dyDescent="0.25"/>
    <row r="56165" hidden="1" x14ac:dyDescent="0.25"/>
    <row r="56166" hidden="1" x14ac:dyDescent="0.25"/>
    <row r="56167" hidden="1" x14ac:dyDescent="0.25"/>
    <row r="56168" hidden="1" x14ac:dyDescent="0.25"/>
    <row r="56169" hidden="1" x14ac:dyDescent="0.25"/>
    <row r="56170" hidden="1" x14ac:dyDescent="0.25"/>
    <row r="56171" hidden="1" x14ac:dyDescent="0.25"/>
    <row r="56172" hidden="1" x14ac:dyDescent="0.25"/>
    <row r="56173" hidden="1" x14ac:dyDescent="0.25"/>
    <row r="56174" hidden="1" x14ac:dyDescent="0.25"/>
    <row r="56175" hidden="1" x14ac:dyDescent="0.25"/>
    <row r="56176" hidden="1" x14ac:dyDescent="0.25"/>
    <row r="56177" hidden="1" x14ac:dyDescent="0.25"/>
    <row r="56178" hidden="1" x14ac:dyDescent="0.25"/>
    <row r="56179" hidden="1" x14ac:dyDescent="0.25"/>
    <row r="56180" hidden="1" x14ac:dyDescent="0.25"/>
    <row r="56181" hidden="1" x14ac:dyDescent="0.25"/>
    <row r="56182" hidden="1" x14ac:dyDescent="0.25"/>
    <row r="56183" hidden="1" x14ac:dyDescent="0.25"/>
    <row r="56184" hidden="1" x14ac:dyDescent="0.25"/>
    <row r="56185" hidden="1" x14ac:dyDescent="0.25"/>
    <row r="56186" hidden="1" x14ac:dyDescent="0.25"/>
    <row r="56187" hidden="1" x14ac:dyDescent="0.25"/>
    <row r="56188" hidden="1" x14ac:dyDescent="0.25"/>
    <row r="56189" hidden="1" x14ac:dyDescent="0.25"/>
    <row r="56190" hidden="1" x14ac:dyDescent="0.25"/>
    <row r="56191" hidden="1" x14ac:dyDescent="0.25"/>
    <row r="56192" hidden="1" x14ac:dyDescent="0.25"/>
    <row r="56193" hidden="1" x14ac:dyDescent="0.25"/>
    <row r="56194" hidden="1" x14ac:dyDescent="0.25"/>
    <row r="56195" hidden="1" x14ac:dyDescent="0.25"/>
    <row r="56196" hidden="1" x14ac:dyDescent="0.25"/>
    <row r="56197" hidden="1" x14ac:dyDescent="0.25"/>
    <row r="56198" hidden="1" x14ac:dyDescent="0.25"/>
    <row r="56199" hidden="1" x14ac:dyDescent="0.25"/>
    <row r="56200" hidden="1" x14ac:dyDescent="0.25"/>
    <row r="56201" hidden="1" x14ac:dyDescent="0.25"/>
    <row r="56202" hidden="1" x14ac:dyDescent="0.25"/>
    <row r="56203" hidden="1" x14ac:dyDescent="0.25"/>
    <row r="56204" hidden="1" x14ac:dyDescent="0.25"/>
    <row r="56205" hidden="1" x14ac:dyDescent="0.25"/>
    <row r="56206" hidden="1" x14ac:dyDescent="0.25"/>
    <row r="56207" hidden="1" x14ac:dyDescent="0.25"/>
    <row r="56208" hidden="1" x14ac:dyDescent="0.25"/>
    <row r="56209" hidden="1" x14ac:dyDescent="0.25"/>
    <row r="56210" hidden="1" x14ac:dyDescent="0.25"/>
    <row r="56211" hidden="1" x14ac:dyDescent="0.25"/>
    <row r="56212" hidden="1" x14ac:dyDescent="0.25"/>
    <row r="56213" hidden="1" x14ac:dyDescent="0.25"/>
    <row r="56214" hidden="1" x14ac:dyDescent="0.25"/>
    <row r="56215" hidden="1" x14ac:dyDescent="0.25"/>
    <row r="56216" hidden="1" x14ac:dyDescent="0.25"/>
    <row r="56217" hidden="1" x14ac:dyDescent="0.25"/>
    <row r="56218" hidden="1" x14ac:dyDescent="0.25"/>
    <row r="56219" hidden="1" x14ac:dyDescent="0.25"/>
    <row r="56220" hidden="1" x14ac:dyDescent="0.25"/>
    <row r="56221" hidden="1" x14ac:dyDescent="0.25"/>
    <row r="56222" hidden="1" x14ac:dyDescent="0.25"/>
    <row r="56223" hidden="1" x14ac:dyDescent="0.25"/>
    <row r="56224" hidden="1" x14ac:dyDescent="0.25"/>
    <row r="56225" hidden="1" x14ac:dyDescent="0.25"/>
    <row r="56226" hidden="1" x14ac:dyDescent="0.25"/>
    <row r="56227" hidden="1" x14ac:dyDescent="0.25"/>
    <row r="56228" hidden="1" x14ac:dyDescent="0.25"/>
    <row r="56229" hidden="1" x14ac:dyDescent="0.25"/>
    <row r="56230" hidden="1" x14ac:dyDescent="0.25"/>
    <row r="56231" hidden="1" x14ac:dyDescent="0.25"/>
    <row r="56232" hidden="1" x14ac:dyDescent="0.25"/>
    <row r="56233" hidden="1" x14ac:dyDescent="0.25"/>
    <row r="56234" hidden="1" x14ac:dyDescent="0.25"/>
    <row r="56235" hidden="1" x14ac:dyDescent="0.25"/>
    <row r="56236" hidden="1" x14ac:dyDescent="0.25"/>
    <row r="56237" hidden="1" x14ac:dyDescent="0.25"/>
    <row r="56238" hidden="1" x14ac:dyDescent="0.25"/>
    <row r="56239" hidden="1" x14ac:dyDescent="0.25"/>
    <row r="56240" hidden="1" x14ac:dyDescent="0.25"/>
    <row r="56241" hidden="1" x14ac:dyDescent="0.25"/>
    <row r="56242" hidden="1" x14ac:dyDescent="0.25"/>
    <row r="56243" hidden="1" x14ac:dyDescent="0.25"/>
    <row r="56244" hidden="1" x14ac:dyDescent="0.25"/>
    <row r="56245" hidden="1" x14ac:dyDescent="0.25"/>
    <row r="56246" hidden="1" x14ac:dyDescent="0.25"/>
    <row r="56247" hidden="1" x14ac:dyDescent="0.25"/>
    <row r="56248" hidden="1" x14ac:dyDescent="0.25"/>
    <row r="56249" hidden="1" x14ac:dyDescent="0.25"/>
    <row r="56250" hidden="1" x14ac:dyDescent="0.25"/>
    <row r="56251" hidden="1" x14ac:dyDescent="0.25"/>
    <row r="56252" hidden="1" x14ac:dyDescent="0.25"/>
    <row r="56253" hidden="1" x14ac:dyDescent="0.25"/>
    <row r="56254" hidden="1" x14ac:dyDescent="0.25"/>
    <row r="56255" hidden="1" x14ac:dyDescent="0.25"/>
    <row r="56256" hidden="1" x14ac:dyDescent="0.25"/>
    <row r="56257" hidden="1" x14ac:dyDescent="0.25"/>
    <row r="56258" hidden="1" x14ac:dyDescent="0.25"/>
    <row r="56259" hidden="1" x14ac:dyDescent="0.25"/>
    <row r="56260" hidden="1" x14ac:dyDescent="0.25"/>
    <row r="56261" hidden="1" x14ac:dyDescent="0.25"/>
    <row r="56262" hidden="1" x14ac:dyDescent="0.25"/>
    <row r="56263" hidden="1" x14ac:dyDescent="0.25"/>
    <row r="56264" hidden="1" x14ac:dyDescent="0.25"/>
    <row r="56265" hidden="1" x14ac:dyDescent="0.25"/>
    <row r="56266" hidden="1" x14ac:dyDescent="0.25"/>
    <row r="56267" hidden="1" x14ac:dyDescent="0.25"/>
    <row r="56268" hidden="1" x14ac:dyDescent="0.25"/>
    <row r="56269" hidden="1" x14ac:dyDescent="0.25"/>
    <row r="56270" hidden="1" x14ac:dyDescent="0.25"/>
    <row r="56271" hidden="1" x14ac:dyDescent="0.25"/>
    <row r="56272" hidden="1" x14ac:dyDescent="0.25"/>
    <row r="56273" hidden="1" x14ac:dyDescent="0.25"/>
    <row r="56274" hidden="1" x14ac:dyDescent="0.25"/>
    <row r="56275" hidden="1" x14ac:dyDescent="0.25"/>
    <row r="56276" hidden="1" x14ac:dyDescent="0.25"/>
    <row r="56277" hidden="1" x14ac:dyDescent="0.25"/>
    <row r="56278" hidden="1" x14ac:dyDescent="0.25"/>
    <row r="56279" hidden="1" x14ac:dyDescent="0.25"/>
    <row r="56280" hidden="1" x14ac:dyDescent="0.25"/>
    <row r="56281" hidden="1" x14ac:dyDescent="0.25"/>
    <row r="56282" hidden="1" x14ac:dyDescent="0.25"/>
    <row r="56283" hidden="1" x14ac:dyDescent="0.25"/>
    <row r="56284" hidden="1" x14ac:dyDescent="0.25"/>
    <row r="56285" hidden="1" x14ac:dyDescent="0.25"/>
    <row r="56286" hidden="1" x14ac:dyDescent="0.25"/>
    <row r="56287" hidden="1" x14ac:dyDescent="0.25"/>
    <row r="56288" hidden="1" x14ac:dyDescent="0.25"/>
    <row r="56289" hidden="1" x14ac:dyDescent="0.25"/>
    <row r="56290" hidden="1" x14ac:dyDescent="0.25"/>
    <row r="56291" hidden="1" x14ac:dyDescent="0.25"/>
    <row r="56292" hidden="1" x14ac:dyDescent="0.25"/>
    <row r="56293" hidden="1" x14ac:dyDescent="0.25"/>
    <row r="56294" hidden="1" x14ac:dyDescent="0.25"/>
    <row r="56295" hidden="1" x14ac:dyDescent="0.25"/>
    <row r="56296" hidden="1" x14ac:dyDescent="0.25"/>
    <row r="56297" hidden="1" x14ac:dyDescent="0.25"/>
    <row r="56298" hidden="1" x14ac:dyDescent="0.25"/>
    <row r="56299" hidden="1" x14ac:dyDescent="0.25"/>
    <row r="56300" hidden="1" x14ac:dyDescent="0.25"/>
    <row r="56301" hidden="1" x14ac:dyDescent="0.25"/>
    <row r="56302" hidden="1" x14ac:dyDescent="0.25"/>
    <row r="56303" hidden="1" x14ac:dyDescent="0.25"/>
    <row r="56304" hidden="1" x14ac:dyDescent="0.25"/>
    <row r="56305" hidden="1" x14ac:dyDescent="0.25"/>
    <row r="56306" hidden="1" x14ac:dyDescent="0.25"/>
    <row r="56307" hidden="1" x14ac:dyDescent="0.25"/>
    <row r="56308" hidden="1" x14ac:dyDescent="0.25"/>
    <row r="56309" hidden="1" x14ac:dyDescent="0.25"/>
    <row r="56310" hidden="1" x14ac:dyDescent="0.25"/>
    <row r="56311" hidden="1" x14ac:dyDescent="0.25"/>
    <row r="56312" hidden="1" x14ac:dyDescent="0.25"/>
    <row r="56313" hidden="1" x14ac:dyDescent="0.25"/>
    <row r="56314" hidden="1" x14ac:dyDescent="0.25"/>
    <row r="56315" hidden="1" x14ac:dyDescent="0.25"/>
    <row r="56316" hidden="1" x14ac:dyDescent="0.25"/>
    <row r="56317" hidden="1" x14ac:dyDescent="0.25"/>
    <row r="56318" hidden="1" x14ac:dyDescent="0.25"/>
    <row r="56319" hidden="1" x14ac:dyDescent="0.25"/>
    <row r="56320" hidden="1" x14ac:dyDescent="0.25"/>
    <row r="56321" hidden="1" x14ac:dyDescent="0.25"/>
    <row r="56322" hidden="1" x14ac:dyDescent="0.25"/>
    <row r="56323" hidden="1" x14ac:dyDescent="0.25"/>
    <row r="56324" hidden="1" x14ac:dyDescent="0.25"/>
    <row r="56325" hidden="1" x14ac:dyDescent="0.25"/>
    <row r="56326" hidden="1" x14ac:dyDescent="0.25"/>
    <row r="56327" hidden="1" x14ac:dyDescent="0.25"/>
    <row r="56328" hidden="1" x14ac:dyDescent="0.25"/>
    <row r="56329" hidden="1" x14ac:dyDescent="0.25"/>
    <row r="56330" hidden="1" x14ac:dyDescent="0.25"/>
    <row r="56331" hidden="1" x14ac:dyDescent="0.25"/>
    <row r="56332" hidden="1" x14ac:dyDescent="0.25"/>
    <row r="56333" hidden="1" x14ac:dyDescent="0.25"/>
    <row r="56334" hidden="1" x14ac:dyDescent="0.25"/>
    <row r="56335" hidden="1" x14ac:dyDescent="0.25"/>
    <row r="56336" hidden="1" x14ac:dyDescent="0.25"/>
    <row r="56337" hidden="1" x14ac:dyDescent="0.25"/>
    <row r="56338" hidden="1" x14ac:dyDescent="0.25"/>
    <row r="56339" hidden="1" x14ac:dyDescent="0.25"/>
    <row r="56340" hidden="1" x14ac:dyDescent="0.25"/>
    <row r="56341" hidden="1" x14ac:dyDescent="0.25"/>
    <row r="56342" hidden="1" x14ac:dyDescent="0.25"/>
    <row r="56343" hidden="1" x14ac:dyDescent="0.25"/>
    <row r="56344" hidden="1" x14ac:dyDescent="0.25"/>
    <row r="56345" hidden="1" x14ac:dyDescent="0.25"/>
    <row r="56346" hidden="1" x14ac:dyDescent="0.25"/>
    <row r="56347" hidden="1" x14ac:dyDescent="0.25"/>
    <row r="56348" hidden="1" x14ac:dyDescent="0.25"/>
    <row r="56349" hidden="1" x14ac:dyDescent="0.25"/>
    <row r="56350" hidden="1" x14ac:dyDescent="0.25"/>
    <row r="56351" hidden="1" x14ac:dyDescent="0.25"/>
    <row r="56352" hidden="1" x14ac:dyDescent="0.25"/>
    <row r="56353" hidden="1" x14ac:dyDescent="0.25"/>
    <row r="56354" hidden="1" x14ac:dyDescent="0.25"/>
    <row r="56355" hidden="1" x14ac:dyDescent="0.25"/>
    <row r="56356" hidden="1" x14ac:dyDescent="0.25"/>
    <row r="56357" hidden="1" x14ac:dyDescent="0.25"/>
    <row r="56358" hidden="1" x14ac:dyDescent="0.25"/>
    <row r="56359" hidden="1" x14ac:dyDescent="0.25"/>
    <row r="56360" hidden="1" x14ac:dyDescent="0.25"/>
    <row r="56361" hidden="1" x14ac:dyDescent="0.25"/>
    <row r="56362" hidden="1" x14ac:dyDescent="0.25"/>
    <row r="56363" hidden="1" x14ac:dyDescent="0.25"/>
    <row r="56364" hidden="1" x14ac:dyDescent="0.25"/>
    <row r="56365" hidden="1" x14ac:dyDescent="0.25"/>
    <row r="56366" hidden="1" x14ac:dyDescent="0.25"/>
    <row r="56367" hidden="1" x14ac:dyDescent="0.25"/>
    <row r="56368" hidden="1" x14ac:dyDescent="0.25"/>
    <row r="56369" hidden="1" x14ac:dyDescent="0.25"/>
    <row r="56370" hidden="1" x14ac:dyDescent="0.25"/>
    <row r="56371" hidden="1" x14ac:dyDescent="0.25"/>
    <row r="56372" hidden="1" x14ac:dyDescent="0.25"/>
    <row r="56373" hidden="1" x14ac:dyDescent="0.25"/>
    <row r="56374" hidden="1" x14ac:dyDescent="0.25"/>
    <row r="56375" hidden="1" x14ac:dyDescent="0.25"/>
    <row r="56376" hidden="1" x14ac:dyDescent="0.25"/>
    <row r="56377" hidden="1" x14ac:dyDescent="0.25"/>
    <row r="56378" hidden="1" x14ac:dyDescent="0.25"/>
    <row r="56379" hidden="1" x14ac:dyDescent="0.25"/>
    <row r="56380" hidden="1" x14ac:dyDescent="0.25"/>
    <row r="56381" hidden="1" x14ac:dyDescent="0.25"/>
    <row r="56382" hidden="1" x14ac:dyDescent="0.25"/>
    <row r="56383" hidden="1" x14ac:dyDescent="0.25"/>
    <row r="56384" hidden="1" x14ac:dyDescent="0.25"/>
    <row r="56385" hidden="1" x14ac:dyDescent="0.25"/>
    <row r="56386" hidden="1" x14ac:dyDescent="0.25"/>
    <row r="56387" hidden="1" x14ac:dyDescent="0.25"/>
    <row r="56388" hidden="1" x14ac:dyDescent="0.25"/>
    <row r="56389" hidden="1" x14ac:dyDescent="0.25"/>
    <row r="56390" hidden="1" x14ac:dyDescent="0.25"/>
    <row r="56391" hidden="1" x14ac:dyDescent="0.25"/>
    <row r="56392" hidden="1" x14ac:dyDescent="0.25"/>
    <row r="56393" hidden="1" x14ac:dyDescent="0.25"/>
    <row r="56394" hidden="1" x14ac:dyDescent="0.25"/>
    <row r="56395" hidden="1" x14ac:dyDescent="0.25"/>
    <row r="56396" hidden="1" x14ac:dyDescent="0.25"/>
    <row r="56397" hidden="1" x14ac:dyDescent="0.25"/>
    <row r="56398" hidden="1" x14ac:dyDescent="0.25"/>
    <row r="56399" hidden="1" x14ac:dyDescent="0.25"/>
    <row r="56400" hidden="1" x14ac:dyDescent="0.25"/>
    <row r="56401" hidden="1" x14ac:dyDescent="0.25"/>
    <row r="56402" hidden="1" x14ac:dyDescent="0.25"/>
    <row r="56403" hidden="1" x14ac:dyDescent="0.25"/>
    <row r="56404" hidden="1" x14ac:dyDescent="0.25"/>
    <row r="56405" hidden="1" x14ac:dyDescent="0.25"/>
    <row r="56406" hidden="1" x14ac:dyDescent="0.25"/>
    <row r="56407" hidden="1" x14ac:dyDescent="0.25"/>
    <row r="56408" hidden="1" x14ac:dyDescent="0.25"/>
    <row r="56409" hidden="1" x14ac:dyDescent="0.25"/>
    <row r="56410" hidden="1" x14ac:dyDescent="0.25"/>
    <row r="56411" hidden="1" x14ac:dyDescent="0.25"/>
    <row r="56412" hidden="1" x14ac:dyDescent="0.25"/>
    <row r="56413" hidden="1" x14ac:dyDescent="0.25"/>
    <row r="56414" hidden="1" x14ac:dyDescent="0.25"/>
    <row r="56415" hidden="1" x14ac:dyDescent="0.25"/>
    <row r="56416" hidden="1" x14ac:dyDescent="0.25"/>
    <row r="56417" hidden="1" x14ac:dyDescent="0.25"/>
    <row r="56418" hidden="1" x14ac:dyDescent="0.25"/>
    <row r="56419" hidden="1" x14ac:dyDescent="0.25"/>
    <row r="56420" hidden="1" x14ac:dyDescent="0.25"/>
    <row r="56421" hidden="1" x14ac:dyDescent="0.25"/>
    <row r="56422" hidden="1" x14ac:dyDescent="0.25"/>
    <row r="56423" hidden="1" x14ac:dyDescent="0.25"/>
    <row r="56424" hidden="1" x14ac:dyDescent="0.25"/>
    <row r="56425" hidden="1" x14ac:dyDescent="0.25"/>
    <row r="56426" hidden="1" x14ac:dyDescent="0.25"/>
    <row r="56427" hidden="1" x14ac:dyDescent="0.25"/>
    <row r="56428" hidden="1" x14ac:dyDescent="0.25"/>
    <row r="56429" hidden="1" x14ac:dyDescent="0.25"/>
    <row r="56430" hidden="1" x14ac:dyDescent="0.25"/>
    <row r="56431" hidden="1" x14ac:dyDescent="0.25"/>
    <row r="56432" hidden="1" x14ac:dyDescent="0.25"/>
    <row r="56433" hidden="1" x14ac:dyDescent="0.25"/>
    <row r="56434" hidden="1" x14ac:dyDescent="0.25"/>
    <row r="56435" hidden="1" x14ac:dyDescent="0.25"/>
    <row r="56436" hidden="1" x14ac:dyDescent="0.25"/>
    <row r="56437" hidden="1" x14ac:dyDescent="0.25"/>
    <row r="56438" hidden="1" x14ac:dyDescent="0.25"/>
    <row r="56439" hidden="1" x14ac:dyDescent="0.25"/>
    <row r="56440" hidden="1" x14ac:dyDescent="0.25"/>
    <row r="56441" hidden="1" x14ac:dyDescent="0.25"/>
    <row r="56442" hidden="1" x14ac:dyDescent="0.25"/>
    <row r="56443" hidden="1" x14ac:dyDescent="0.25"/>
    <row r="56444" hidden="1" x14ac:dyDescent="0.25"/>
    <row r="56445" hidden="1" x14ac:dyDescent="0.25"/>
    <row r="56446" hidden="1" x14ac:dyDescent="0.25"/>
    <row r="56447" hidden="1" x14ac:dyDescent="0.25"/>
    <row r="56448" hidden="1" x14ac:dyDescent="0.25"/>
    <row r="56449" hidden="1" x14ac:dyDescent="0.25"/>
    <row r="56450" hidden="1" x14ac:dyDescent="0.25"/>
    <row r="56451" hidden="1" x14ac:dyDescent="0.25"/>
    <row r="56452" hidden="1" x14ac:dyDescent="0.25"/>
    <row r="56453" hidden="1" x14ac:dyDescent="0.25"/>
    <row r="56454" hidden="1" x14ac:dyDescent="0.25"/>
    <row r="56455" hidden="1" x14ac:dyDescent="0.25"/>
    <row r="56456" hidden="1" x14ac:dyDescent="0.25"/>
    <row r="56457" hidden="1" x14ac:dyDescent="0.25"/>
    <row r="56458" hidden="1" x14ac:dyDescent="0.25"/>
    <row r="56459" hidden="1" x14ac:dyDescent="0.25"/>
    <row r="56460" hidden="1" x14ac:dyDescent="0.25"/>
    <row r="56461" hidden="1" x14ac:dyDescent="0.25"/>
    <row r="56462" hidden="1" x14ac:dyDescent="0.25"/>
    <row r="56463" hidden="1" x14ac:dyDescent="0.25"/>
    <row r="56464" hidden="1" x14ac:dyDescent="0.25"/>
    <row r="56465" hidden="1" x14ac:dyDescent="0.25"/>
    <row r="56466" hidden="1" x14ac:dyDescent="0.25"/>
    <row r="56467" hidden="1" x14ac:dyDescent="0.25"/>
    <row r="56468" hidden="1" x14ac:dyDescent="0.25"/>
    <row r="56469" hidden="1" x14ac:dyDescent="0.25"/>
    <row r="56470" hidden="1" x14ac:dyDescent="0.25"/>
    <row r="56471" hidden="1" x14ac:dyDescent="0.25"/>
    <row r="56472" hidden="1" x14ac:dyDescent="0.25"/>
    <row r="56473" hidden="1" x14ac:dyDescent="0.25"/>
    <row r="56474" hidden="1" x14ac:dyDescent="0.25"/>
    <row r="56475" hidden="1" x14ac:dyDescent="0.25"/>
    <row r="56476" hidden="1" x14ac:dyDescent="0.25"/>
    <row r="56477" hidden="1" x14ac:dyDescent="0.25"/>
    <row r="56478" hidden="1" x14ac:dyDescent="0.25"/>
    <row r="56479" hidden="1" x14ac:dyDescent="0.25"/>
    <row r="56480" hidden="1" x14ac:dyDescent="0.25"/>
    <row r="56481" hidden="1" x14ac:dyDescent="0.25"/>
    <row r="56482" hidden="1" x14ac:dyDescent="0.25"/>
    <row r="56483" hidden="1" x14ac:dyDescent="0.25"/>
    <row r="56484" hidden="1" x14ac:dyDescent="0.25"/>
    <row r="56485" hidden="1" x14ac:dyDescent="0.25"/>
    <row r="56486" hidden="1" x14ac:dyDescent="0.25"/>
    <row r="56487" hidden="1" x14ac:dyDescent="0.25"/>
    <row r="56488" hidden="1" x14ac:dyDescent="0.25"/>
    <row r="56489" hidden="1" x14ac:dyDescent="0.25"/>
    <row r="56490" hidden="1" x14ac:dyDescent="0.25"/>
    <row r="56491" hidden="1" x14ac:dyDescent="0.25"/>
    <row r="56492" hidden="1" x14ac:dyDescent="0.25"/>
    <row r="56493" hidden="1" x14ac:dyDescent="0.25"/>
    <row r="56494" hidden="1" x14ac:dyDescent="0.25"/>
    <row r="56495" hidden="1" x14ac:dyDescent="0.25"/>
    <row r="56496" hidden="1" x14ac:dyDescent="0.25"/>
    <row r="56497" hidden="1" x14ac:dyDescent="0.25"/>
    <row r="56498" hidden="1" x14ac:dyDescent="0.25"/>
    <row r="56499" hidden="1" x14ac:dyDescent="0.25"/>
    <row r="56500" hidden="1" x14ac:dyDescent="0.25"/>
    <row r="56501" hidden="1" x14ac:dyDescent="0.25"/>
    <row r="56502" hidden="1" x14ac:dyDescent="0.25"/>
    <row r="56503" hidden="1" x14ac:dyDescent="0.25"/>
    <row r="56504" hidden="1" x14ac:dyDescent="0.25"/>
    <row r="56505" hidden="1" x14ac:dyDescent="0.25"/>
    <row r="56506" hidden="1" x14ac:dyDescent="0.25"/>
    <row r="56507" hidden="1" x14ac:dyDescent="0.25"/>
    <row r="56508" hidden="1" x14ac:dyDescent="0.25"/>
    <row r="56509" hidden="1" x14ac:dyDescent="0.25"/>
    <row r="56510" hidden="1" x14ac:dyDescent="0.25"/>
    <row r="56511" hidden="1" x14ac:dyDescent="0.25"/>
    <row r="56512" hidden="1" x14ac:dyDescent="0.25"/>
    <row r="56513" hidden="1" x14ac:dyDescent="0.25"/>
    <row r="56514" hidden="1" x14ac:dyDescent="0.25"/>
    <row r="56515" hidden="1" x14ac:dyDescent="0.25"/>
    <row r="56516" hidden="1" x14ac:dyDescent="0.25"/>
    <row r="56517" hidden="1" x14ac:dyDescent="0.25"/>
    <row r="56518" hidden="1" x14ac:dyDescent="0.25"/>
    <row r="56519" hidden="1" x14ac:dyDescent="0.25"/>
    <row r="56520" hidden="1" x14ac:dyDescent="0.25"/>
    <row r="56521" hidden="1" x14ac:dyDescent="0.25"/>
    <row r="56522" hidden="1" x14ac:dyDescent="0.25"/>
    <row r="56523" hidden="1" x14ac:dyDescent="0.25"/>
    <row r="56524" hidden="1" x14ac:dyDescent="0.25"/>
    <row r="56525" hidden="1" x14ac:dyDescent="0.25"/>
    <row r="56526" hidden="1" x14ac:dyDescent="0.25"/>
    <row r="56527" hidden="1" x14ac:dyDescent="0.25"/>
    <row r="56528" hidden="1" x14ac:dyDescent="0.25"/>
    <row r="56529" hidden="1" x14ac:dyDescent="0.25"/>
    <row r="56530" hidden="1" x14ac:dyDescent="0.25"/>
    <row r="56531" hidden="1" x14ac:dyDescent="0.25"/>
    <row r="56532" hidden="1" x14ac:dyDescent="0.25"/>
    <row r="56533" hidden="1" x14ac:dyDescent="0.25"/>
    <row r="56534" hidden="1" x14ac:dyDescent="0.25"/>
    <row r="56535" hidden="1" x14ac:dyDescent="0.25"/>
    <row r="56536" hidden="1" x14ac:dyDescent="0.25"/>
    <row r="56537" hidden="1" x14ac:dyDescent="0.25"/>
    <row r="56538" hidden="1" x14ac:dyDescent="0.25"/>
    <row r="56539" hidden="1" x14ac:dyDescent="0.25"/>
    <row r="56540" hidden="1" x14ac:dyDescent="0.25"/>
    <row r="56541" hidden="1" x14ac:dyDescent="0.25"/>
    <row r="56542" hidden="1" x14ac:dyDescent="0.25"/>
    <row r="56543" hidden="1" x14ac:dyDescent="0.25"/>
    <row r="56544" hidden="1" x14ac:dyDescent="0.25"/>
    <row r="56545" hidden="1" x14ac:dyDescent="0.25"/>
    <row r="56546" hidden="1" x14ac:dyDescent="0.25"/>
    <row r="56547" hidden="1" x14ac:dyDescent="0.25"/>
    <row r="56548" hidden="1" x14ac:dyDescent="0.25"/>
    <row r="56549" hidden="1" x14ac:dyDescent="0.25"/>
    <row r="56550" hidden="1" x14ac:dyDescent="0.25"/>
    <row r="56551" hidden="1" x14ac:dyDescent="0.25"/>
    <row r="56552" hidden="1" x14ac:dyDescent="0.25"/>
    <row r="56553" hidden="1" x14ac:dyDescent="0.25"/>
    <row r="56554" hidden="1" x14ac:dyDescent="0.25"/>
    <row r="56555" hidden="1" x14ac:dyDescent="0.25"/>
    <row r="56556" hidden="1" x14ac:dyDescent="0.25"/>
    <row r="56557" hidden="1" x14ac:dyDescent="0.25"/>
    <row r="56558" hidden="1" x14ac:dyDescent="0.25"/>
    <row r="56559" hidden="1" x14ac:dyDescent="0.25"/>
    <row r="56560" hidden="1" x14ac:dyDescent="0.25"/>
    <row r="56561" hidden="1" x14ac:dyDescent="0.25"/>
    <row r="56562" hidden="1" x14ac:dyDescent="0.25"/>
    <row r="56563" hidden="1" x14ac:dyDescent="0.25"/>
    <row r="56564" hidden="1" x14ac:dyDescent="0.25"/>
    <row r="56565" hidden="1" x14ac:dyDescent="0.25"/>
    <row r="56566" hidden="1" x14ac:dyDescent="0.25"/>
    <row r="56567" hidden="1" x14ac:dyDescent="0.25"/>
    <row r="56568" hidden="1" x14ac:dyDescent="0.25"/>
    <row r="56569" hidden="1" x14ac:dyDescent="0.25"/>
    <row r="56570" hidden="1" x14ac:dyDescent="0.25"/>
    <row r="56571" hidden="1" x14ac:dyDescent="0.25"/>
    <row r="56572" hidden="1" x14ac:dyDescent="0.25"/>
    <row r="56573" hidden="1" x14ac:dyDescent="0.25"/>
    <row r="56574" hidden="1" x14ac:dyDescent="0.25"/>
    <row r="56575" hidden="1" x14ac:dyDescent="0.25"/>
    <row r="56576" hidden="1" x14ac:dyDescent="0.25"/>
    <row r="56577" hidden="1" x14ac:dyDescent="0.25"/>
    <row r="56578" hidden="1" x14ac:dyDescent="0.25"/>
    <row r="56579" hidden="1" x14ac:dyDescent="0.25"/>
    <row r="56580" hidden="1" x14ac:dyDescent="0.25"/>
    <row r="56581" hidden="1" x14ac:dyDescent="0.25"/>
    <row r="56582" hidden="1" x14ac:dyDescent="0.25"/>
    <row r="56583" hidden="1" x14ac:dyDescent="0.25"/>
    <row r="56584" hidden="1" x14ac:dyDescent="0.25"/>
    <row r="56585" hidden="1" x14ac:dyDescent="0.25"/>
    <row r="56586" hidden="1" x14ac:dyDescent="0.25"/>
    <row r="56587" hidden="1" x14ac:dyDescent="0.25"/>
    <row r="56588" hidden="1" x14ac:dyDescent="0.25"/>
    <row r="56589" hidden="1" x14ac:dyDescent="0.25"/>
    <row r="56590" hidden="1" x14ac:dyDescent="0.25"/>
    <row r="56591" hidden="1" x14ac:dyDescent="0.25"/>
    <row r="56592" hidden="1" x14ac:dyDescent="0.25"/>
    <row r="56593" hidden="1" x14ac:dyDescent="0.25"/>
    <row r="56594" hidden="1" x14ac:dyDescent="0.25"/>
    <row r="56595" hidden="1" x14ac:dyDescent="0.25"/>
    <row r="56596" hidden="1" x14ac:dyDescent="0.25"/>
    <row r="56597" hidden="1" x14ac:dyDescent="0.25"/>
    <row r="56598" hidden="1" x14ac:dyDescent="0.25"/>
    <row r="56599" hidden="1" x14ac:dyDescent="0.25"/>
    <row r="56600" hidden="1" x14ac:dyDescent="0.25"/>
    <row r="56601" hidden="1" x14ac:dyDescent="0.25"/>
    <row r="56602" hidden="1" x14ac:dyDescent="0.25"/>
    <row r="56603" hidden="1" x14ac:dyDescent="0.25"/>
    <row r="56604" hidden="1" x14ac:dyDescent="0.25"/>
    <row r="56605" hidden="1" x14ac:dyDescent="0.25"/>
    <row r="56606" hidden="1" x14ac:dyDescent="0.25"/>
    <row r="56607" hidden="1" x14ac:dyDescent="0.25"/>
    <row r="56608" hidden="1" x14ac:dyDescent="0.25"/>
    <row r="56609" hidden="1" x14ac:dyDescent="0.25"/>
    <row r="56610" hidden="1" x14ac:dyDescent="0.25"/>
    <row r="56611" hidden="1" x14ac:dyDescent="0.25"/>
    <row r="56612" hidden="1" x14ac:dyDescent="0.25"/>
    <row r="56613" hidden="1" x14ac:dyDescent="0.25"/>
    <row r="56614" hidden="1" x14ac:dyDescent="0.25"/>
    <row r="56615" hidden="1" x14ac:dyDescent="0.25"/>
    <row r="56616" hidden="1" x14ac:dyDescent="0.25"/>
    <row r="56617" hidden="1" x14ac:dyDescent="0.25"/>
    <row r="56618" hidden="1" x14ac:dyDescent="0.25"/>
    <row r="56619" hidden="1" x14ac:dyDescent="0.25"/>
    <row r="56620" hidden="1" x14ac:dyDescent="0.25"/>
    <row r="56621" hidden="1" x14ac:dyDescent="0.25"/>
    <row r="56622" hidden="1" x14ac:dyDescent="0.25"/>
    <row r="56623" hidden="1" x14ac:dyDescent="0.25"/>
    <row r="56624" hidden="1" x14ac:dyDescent="0.25"/>
    <row r="56625" hidden="1" x14ac:dyDescent="0.25"/>
    <row r="56626" hidden="1" x14ac:dyDescent="0.25"/>
    <row r="56627" hidden="1" x14ac:dyDescent="0.25"/>
    <row r="56628" hidden="1" x14ac:dyDescent="0.25"/>
    <row r="56629" hidden="1" x14ac:dyDescent="0.25"/>
    <row r="56630" hidden="1" x14ac:dyDescent="0.25"/>
    <row r="56631" hidden="1" x14ac:dyDescent="0.25"/>
    <row r="56632" hidden="1" x14ac:dyDescent="0.25"/>
    <row r="56633" hidden="1" x14ac:dyDescent="0.25"/>
    <row r="56634" hidden="1" x14ac:dyDescent="0.25"/>
    <row r="56635" hidden="1" x14ac:dyDescent="0.25"/>
    <row r="56636" hidden="1" x14ac:dyDescent="0.25"/>
    <row r="56637" hidden="1" x14ac:dyDescent="0.25"/>
    <row r="56638" hidden="1" x14ac:dyDescent="0.25"/>
    <row r="56639" hidden="1" x14ac:dyDescent="0.25"/>
    <row r="56640" hidden="1" x14ac:dyDescent="0.25"/>
    <row r="56641" hidden="1" x14ac:dyDescent="0.25"/>
    <row r="56642" hidden="1" x14ac:dyDescent="0.25"/>
    <row r="56643" hidden="1" x14ac:dyDescent="0.25"/>
    <row r="56644" hidden="1" x14ac:dyDescent="0.25"/>
    <row r="56645" hidden="1" x14ac:dyDescent="0.25"/>
    <row r="56646" hidden="1" x14ac:dyDescent="0.25"/>
    <row r="56647" hidden="1" x14ac:dyDescent="0.25"/>
    <row r="56648" hidden="1" x14ac:dyDescent="0.25"/>
    <row r="56649" hidden="1" x14ac:dyDescent="0.25"/>
    <row r="56650" hidden="1" x14ac:dyDescent="0.25"/>
    <row r="56651" hidden="1" x14ac:dyDescent="0.25"/>
    <row r="56652" hidden="1" x14ac:dyDescent="0.25"/>
    <row r="56653" hidden="1" x14ac:dyDescent="0.25"/>
    <row r="56654" hidden="1" x14ac:dyDescent="0.25"/>
    <row r="56655" hidden="1" x14ac:dyDescent="0.25"/>
    <row r="56656" hidden="1" x14ac:dyDescent="0.25"/>
    <row r="56657" hidden="1" x14ac:dyDescent="0.25"/>
    <row r="56658" hidden="1" x14ac:dyDescent="0.25"/>
    <row r="56659" hidden="1" x14ac:dyDescent="0.25"/>
    <row r="56660" hidden="1" x14ac:dyDescent="0.25"/>
    <row r="56661" hidden="1" x14ac:dyDescent="0.25"/>
    <row r="56662" hidden="1" x14ac:dyDescent="0.25"/>
    <row r="56663" hidden="1" x14ac:dyDescent="0.25"/>
    <row r="56664" hidden="1" x14ac:dyDescent="0.25"/>
    <row r="56665" hidden="1" x14ac:dyDescent="0.25"/>
    <row r="56666" hidden="1" x14ac:dyDescent="0.25"/>
    <row r="56667" hidden="1" x14ac:dyDescent="0.25"/>
    <row r="56668" hidden="1" x14ac:dyDescent="0.25"/>
    <row r="56669" hidden="1" x14ac:dyDescent="0.25"/>
    <row r="56670" hidden="1" x14ac:dyDescent="0.25"/>
    <row r="56671" hidden="1" x14ac:dyDescent="0.25"/>
    <row r="56672" hidden="1" x14ac:dyDescent="0.25"/>
    <row r="56673" hidden="1" x14ac:dyDescent="0.25"/>
    <row r="56674" hidden="1" x14ac:dyDescent="0.25"/>
    <row r="56675" hidden="1" x14ac:dyDescent="0.25"/>
    <row r="56676" hidden="1" x14ac:dyDescent="0.25"/>
    <row r="56677" hidden="1" x14ac:dyDescent="0.25"/>
    <row r="56678" hidden="1" x14ac:dyDescent="0.25"/>
    <row r="56679" hidden="1" x14ac:dyDescent="0.25"/>
    <row r="56680" hidden="1" x14ac:dyDescent="0.25"/>
    <row r="56681" hidden="1" x14ac:dyDescent="0.25"/>
    <row r="56682" hidden="1" x14ac:dyDescent="0.25"/>
    <row r="56683" hidden="1" x14ac:dyDescent="0.25"/>
    <row r="56684" hidden="1" x14ac:dyDescent="0.25"/>
    <row r="56685" hidden="1" x14ac:dyDescent="0.25"/>
    <row r="56686" hidden="1" x14ac:dyDescent="0.25"/>
    <row r="56687" hidden="1" x14ac:dyDescent="0.25"/>
    <row r="56688" hidden="1" x14ac:dyDescent="0.25"/>
    <row r="56689" hidden="1" x14ac:dyDescent="0.25"/>
    <row r="56690" hidden="1" x14ac:dyDescent="0.25"/>
    <row r="56691" hidden="1" x14ac:dyDescent="0.25"/>
    <row r="56692" hidden="1" x14ac:dyDescent="0.25"/>
    <row r="56693" hidden="1" x14ac:dyDescent="0.25"/>
    <row r="56694" hidden="1" x14ac:dyDescent="0.25"/>
    <row r="56695" hidden="1" x14ac:dyDescent="0.25"/>
    <row r="56696" hidden="1" x14ac:dyDescent="0.25"/>
    <row r="56697" hidden="1" x14ac:dyDescent="0.25"/>
    <row r="56698" hidden="1" x14ac:dyDescent="0.25"/>
    <row r="56699" hidden="1" x14ac:dyDescent="0.25"/>
    <row r="56700" hidden="1" x14ac:dyDescent="0.25"/>
    <row r="56701" hidden="1" x14ac:dyDescent="0.25"/>
    <row r="56702" hidden="1" x14ac:dyDescent="0.25"/>
    <row r="56703" hidden="1" x14ac:dyDescent="0.25"/>
    <row r="56704" hidden="1" x14ac:dyDescent="0.25"/>
    <row r="56705" hidden="1" x14ac:dyDescent="0.25"/>
    <row r="56706" hidden="1" x14ac:dyDescent="0.25"/>
    <row r="56707" hidden="1" x14ac:dyDescent="0.25"/>
    <row r="56708" hidden="1" x14ac:dyDescent="0.25"/>
    <row r="56709" hidden="1" x14ac:dyDescent="0.25"/>
    <row r="56710" hidden="1" x14ac:dyDescent="0.25"/>
    <row r="56711" hidden="1" x14ac:dyDescent="0.25"/>
    <row r="56712" hidden="1" x14ac:dyDescent="0.25"/>
    <row r="56713" hidden="1" x14ac:dyDescent="0.25"/>
    <row r="56714" hidden="1" x14ac:dyDescent="0.25"/>
    <row r="56715" hidden="1" x14ac:dyDescent="0.25"/>
    <row r="56716" hidden="1" x14ac:dyDescent="0.25"/>
    <row r="56717" hidden="1" x14ac:dyDescent="0.25"/>
    <row r="56718" hidden="1" x14ac:dyDescent="0.25"/>
    <row r="56719" hidden="1" x14ac:dyDescent="0.25"/>
    <row r="56720" hidden="1" x14ac:dyDescent="0.25"/>
    <row r="56721" hidden="1" x14ac:dyDescent="0.25"/>
    <row r="56722" hidden="1" x14ac:dyDescent="0.25"/>
    <row r="56723" hidden="1" x14ac:dyDescent="0.25"/>
    <row r="56724" hidden="1" x14ac:dyDescent="0.25"/>
    <row r="56725" hidden="1" x14ac:dyDescent="0.25"/>
    <row r="56726" hidden="1" x14ac:dyDescent="0.25"/>
    <row r="56727" hidden="1" x14ac:dyDescent="0.25"/>
    <row r="56728" hidden="1" x14ac:dyDescent="0.25"/>
    <row r="56729" hidden="1" x14ac:dyDescent="0.25"/>
    <row r="56730" hidden="1" x14ac:dyDescent="0.25"/>
    <row r="56731" hidden="1" x14ac:dyDescent="0.25"/>
    <row r="56732" hidden="1" x14ac:dyDescent="0.25"/>
    <row r="56733" hidden="1" x14ac:dyDescent="0.25"/>
    <row r="56734" hidden="1" x14ac:dyDescent="0.25"/>
    <row r="56735" hidden="1" x14ac:dyDescent="0.25"/>
    <row r="56736" hidden="1" x14ac:dyDescent="0.25"/>
    <row r="56737" hidden="1" x14ac:dyDescent="0.25"/>
    <row r="56738" hidden="1" x14ac:dyDescent="0.25"/>
    <row r="56739" hidden="1" x14ac:dyDescent="0.25"/>
    <row r="56740" hidden="1" x14ac:dyDescent="0.25"/>
    <row r="56741" hidden="1" x14ac:dyDescent="0.25"/>
    <row r="56742" hidden="1" x14ac:dyDescent="0.25"/>
    <row r="56743" hidden="1" x14ac:dyDescent="0.25"/>
    <row r="56744" hidden="1" x14ac:dyDescent="0.25"/>
    <row r="56745" hidden="1" x14ac:dyDescent="0.25"/>
    <row r="56746" hidden="1" x14ac:dyDescent="0.25"/>
    <row r="56747" hidden="1" x14ac:dyDescent="0.25"/>
    <row r="56748" hidden="1" x14ac:dyDescent="0.25"/>
    <row r="56749" hidden="1" x14ac:dyDescent="0.25"/>
    <row r="56750" hidden="1" x14ac:dyDescent="0.25"/>
    <row r="56751" hidden="1" x14ac:dyDescent="0.25"/>
    <row r="56752" hidden="1" x14ac:dyDescent="0.25"/>
    <row r="56753" hidden="1" x14ac:dyDescent="0.25"/>
    <row r="56754" hidden="1" x14ac:dyDescent="0.25"/>
    <row r="56755" hidden="1" x14ac:dyDescent="0.25"/>
    <row r="56756" hidden="1" x14ac:dyDescent="0.25"/>
    <row r="56757" hidden="1" x14ac:dyDescent="0.25"/>
    <row r="56758" hidden="1" x14ac:dyDescent="0.25"/>
    <row r="56759" hidden="1" x14ac:dyDescent="0.25"/>
    <row r="56760" hidden="1" x14ac:dyDescent="0.25"/>
    <row r="56761" hidden="1" x14ac:dyDescent="0.25"/>
    <row r="56762" hidden="1" x14ac:dyDescent="0.25"/>
    <row r="56763" hidden="1" x14ac:dyDescent="0.25"/>
    <row r="56764" hidden="1" x14ac:dyDescent="0.25"/>
    <row r="56765" hidden="1" x14ac:dyDescent="0.25"/>
    <row r="56766" hidden="1" x14ac:dyDescent="0.25"/>
    <row r="56767" hidden="1" x14ac:dyDescent="0.25"/>
    <row r="56768" hidden="1" x14ac:dyDescent="0.25"/>
    <row r="56769" hidden="1" x14ac:dyDescent="0.25"/>
    <row r="56770" hidden="1" x14ac:dyDescent="0.25"/>
    <row r="56771" hidden="1" x14ac:dyDescent="0.25"/>
    <row r="56772" hidden="1" x14ac:dyDescent="0.25"/>
    <row r="56773" hidden="1" x14ac:dyDescent="0.25"/>
    <row r="56774" hidden="1" x14ac:dyDescent="0.25"/>
    <row r="56775" hidden="1" x14ac:dyDescent="0.25"/>
    <row r="56776" hidden="1" x14ac:dyDescent="0.25"/>
    <row r="56777" hidden="1" x14ac:dyDescent="0.25"/>
    <row r="56778" hidden="1" x14ac:dyDescent="0.25"/>
    <row r="56779" hidden="1" x14ac:dyDescent="0.25"/>
    <row r="56780" hidden="1" x14ac:dyDescent="0.25"/>
    <row r="56781" hidden="1" x14ac:dyDescent="0.25"/>
    <row r="56782" hidden="1" x14ac:dyDescent="0.25"/>
    <row r="56783" hidden="1" x14ac:dyDescent="0.25"/>
    <row r="56784" hidden="1" x14ac:dyDescent="0.25"/>
    <row r="56785" hidden="1" x14ac:dyDescent="0.25"/>
    <row r="56786" hidden="1" x14ac:dyDescent="0.25"/>
    <row r="56787" hidden="1" x14ac:dyDescent="0.25"/>
    <row r="56788" hidden="1" x14ac:dyDescent="0.25"/>
    <row r="56789" hidden="1" x14ac:dyDescent="0.25"/>
    <row r="56790" hidden="1" x14ac:dyDescent="0.25"/>
    <row r="56791" hidden="1" x14ac:dyDescent="0.25"/>
    <row r="56792" hidden="1" x14ac:dyDescent="0.25"/>
    <row r="56793" hidden="1" x14ac:dyDescent="0.25"/>
    <row r="56794" hidden="1" x14ac:dyDescent="0.25"/>
    <row r="56795" hidden="1" x14ac:dyDescent="0.25"/>
    <row r="56796" hidden="1" x14ac:dyDescent="0.25"/>
    <row r="56797" hidden="1" x14ac:dyDescent="0.25"/>
    <row r="56798" hidden="1" x14ac:dyDescent="0.25"/>
    <row r="56799" hidden="1" x14ac:dyDescent="0.25"/>
    <row r="56800" hidden="1" x14ac:dyDescent="0.25"/>
    <row r="56801" hidden="1" x14ac:dyDescent="0.25"/>
    <row r="56802" hidden="1" x14ac:dyDescent="0.25"/>
    <row r="56803" hidden="1" x14ac:dyDescent="0.25"/>
    <row r="56804" hidden="1" x14ac:dyDescent="0.25"/>
    <row r="56805" hidden="1" x14ac:dyDescent="0.25"/>
    <row r="56806" hidden="1" x14ac:dyDescent="0.25"/>
    <row r="56807" hidden="1" x14ac:dyDescent="0.25"/>
    <row r="56808" hidden="1" x14ac:dyDescent="0.25"/>
    <row r="56809" hidden="1" x14ac:dyDescent="0.25"/>
    <row r="56810" hidden="1" x14ac:dyDescent="0.25"/>
    <row r="56811" hidden="1" x14ac:dyDescent="0.25"/>
    <row r="56812" hidden="1" x14ac:dyDescent="0.25"/>
    <row r="56813" hidden="1" x14ac:dyDescent="0.25"/>
    <row r="56814" hidden="1" x14ac:dyDescent="0.25"/>
    <row r="56815" hidden="1" x14ac:dyDescent="0.25"/>
    <row r="56816" hidden="1" x14ac:dyDescent="0.25"/>
    <row r="56817" hidden="1" x14ac:dyDescent="0.25"/>
    <row r="56818" hidden="1" x14ac:dyDescent="0.25"/>
    <row r="56819" hidden="1" x14ac:dyDescent="0.25"/>
    <row r="56820" hidden="1" x14ac:dyDescent="0.25"/>
    <row r="56821" hidden="1" x14ac:dyDescent="0.25"/>
    <row r="56822" hidden="1" x14ac:dyDescent="0.25"/>
    <row r="56823" hidden="1" x14ac:dyDescent="0.25"/>
    <row r="56824" hidden="1" x14ac:dyDescent="0.25"/>
    <row r="56825" hidden="1" x14ac:dyDescent="0.25"/>
    <row r="56826" hidden="1" x14ac:dyDescent="0.25"/>
    <row r="56827" hidden="1" x14ac:dyDescent="0.25"/>
    <row r="56828" hidden="1" x14ac:dyDescent="0.25"/>
    <row r="56829" hidden="1" x14ac:dyDescent="0.25"/>
    <row r="56830" hidden="1" x14ac:dyDescent="0.25"/>
    <row r="56831" hidden="1" x14ac:dyDescent="0.25"/>
    <row r="56832" hidden="1" x14ac:dyDescent="0.25"/>
    <row r="56833" hidden="1" x14ac:dyDescent="0.25"/>
    <row r="56834" hidden="1" x14ac:dyDescent="0.25"/>
    <row r="56835" hidden="1" x14ac:dyDescent="0.25"/>
    <row r="56836" hidden="1" x14ac:dyDescent="0.25"/>
    <row r="56837" hidden="1" x14ac:dyDescent="0.25"/>
    <row r="56838" hidden="1" x14ac:dyDescent="0.25"/>
    <row r="56839" hidden="1" x14ac:dyDescent="0.25"/>
    <row r="56840" hidden="1" x14ac:dyDescent="0.25"/>
    <row r="56841" hidden="1" x14ac:dyDescent="0.25"/>
    <row r="56842" hidden="1" x14ac:dyDescent="0.25"/>
    <row r="56843" hidden="1" x14ac:dyDescent="0.25"/>
    <row r="56844" hidden="1" x14ac:dyDescent="0.25"/>
    <row r="56845" hidden="1" x14ac:dyDescent="0.25"/>
    <row r="56846" hidden="1" x14ac:dyDescent="0.25"/>
    <row r="56847" hidden="1" x14ac:dyDescent="0.25"/>
    <row r="56848" hidden="1" x14ac:dyDescent="0.25"/>
    <row r="56849" hidden="1" x14ac:dyDescent="0.25"/>
    <row r="56850" hidden="1" x14ac:dyDescent="0.25"/>
    <row r="56851" hidden="1" x14ac:dyDescent="0.25"/>
    <row r="56852" hidden="1" x14ac:dyDescent="0.25"/>
    <row r="56853" hidden="1" x14ac:dyDescent="0.25"/>
    <row r="56854" hidden="1" x14ac:dyDescent="0.25"/>
    <row r="56855" hidden="1" x14ac:dyDescent="0.25"/>
    <row r="56856" hidden="1" x14ac:dyDescent="0.25"/>
    <row r="56857" hidden="1" x14ac:dyDescent="0.25"/>
    <row r="56858" hidden="1" x14ac:dyDescent="0.25"/>
    <row r="56859" hidden="1" x14ac:dyDescent="0.25"/>
    <row r="56860" hidden="1" x14ac:dyDescent="0.25"/>
    <row r="56861" hidden="1" x14ac:dyDescent="0.25"/>
    <row r="56862" hidden="1" x14ac:dyDescent="0.25"/>
    <row r="56863" hidden="1" x14ac:dyDescent="0.25"/>
    <row r="56864" hidden="1" x14ac:dyDescent="0.25"/>
    <row r="56865" hidden="1" x14ac:dyDescent="0.25"/>
    <row r="56866" hidden="1" x14ac:dyDescent="0.25"/>
    <row r="56867" hidden="1" x14ac:dyDescent="0.25"/>
    <row r="56868" hidden="1" x14ac:dyDescent="0.25"/>
    <row r="56869" hidden="1" x14ac:dyDescent="0.25"/>
    <row r="56870" hidden="1" x14ac:dyDescent="0.25"/>
    <row r="56871" hidden="1" x14ac:dyDescent="0.25"/>
    <row r="56872" hidden="1" x14ac:dyDescent="0.25"/>
    <row r="56873" hidden="1" x14ac:dyDescent="0.25"/>
    <row r="56874" hidden="1" x14ac:dyDescent="0.25"/>
    <row r="56875" hidden="1" x14ac:dyDescent="0.25"/>
    <row r="56876" hidden="1" x14ac:dyDescent="0.25"/>
    <row r="56877" hidden="1" x14ac:dyDescent="0.25"/>
    <row r="56878" hidden="1" x14ac:dyDescent="0.25"/>
    <row r="56879" hidden="1" x14ac:dyDescent="0.25"/>
    <row r="56880" hidden="1" x14ac:dyDescent="0.25"/>
    <row r="56881" hidden="1" x14ac:dyDescent="0.25"/>
    <row r="56882" hidden="1" x14ac:dyDescent="0.25"/>
    <row r="56883" hidden="1" x14ac:dyDescent="0.25"/>
    <row r="56884" hidden="1" x14ac:dyDescent="0.25"/>
    <row r="56885" hidden="1" x14ac:dyDescent="0.25"/>
    <row r="56886" hidden="1" x14ac:dyDescent="0.25"/>
    <row r="56887" hidden="1" x14ac:dyDescent="0.25"/>
    <row r="56888" hidden="1" x14ac:dyDescent="0.25"/>
    <row r="56889" hidden="1" x14ac:dyDescent="0.25"/>
    <row r="56890" hidden="1" x14ac:dyDescent="0.25"/>
    <row r="56891" hidden="1" x14ac:dyDescent="0.25"/>
    <row r="56892" hidden="1" x14ac:dyDescent="0.25"/>
    <row r="56893" hidden="1" x14ac:dyDescent="0.25"/>
    <row r="56894" hidden="1" x14ac:dyDescent="0.25"/>
    <row r="56895" hidden="1" x14ac:dyDescent="0.25"/>
    <row r="56896" hidden="1" x14ac:dyDescent="0.25"/>
    <row r="56897" hidden="1" x14ac:dyDescent="0.25"/>
    <row r="56898" hidden="1" x14ac:dyDescent="0.25"/>
    <row r="56899" hidden="1" x14ac:dyDescent="0.25"/>
    <row r="56900" hidden="1" x14ac:dyDescent="0.25"/>
    <row r="56901" hidden="1" x14ac:dyDescent="0.25"/>
    <row r="56902" hidden="1" x14ac:dyDescent="0.25"/>
    <row r="56903" hidden="1" x14ac:dyDescent="0.25"/>
    <row r="56904" hidden="1" x14ac:dyDescent="0.25"/>
    <row r="56905" hidden="1" x14ac:dyDescent="0.25"/>
    <row r="56906" hidden="1" x14ac:dyDescent="0.25"/>
    <row r="56907" hidden="1" x14ac:dyDescent="0.25"/>
    <row r="56908" hidden="1" x14ac:dyDescent="0.25"/>
    <row r="56909" hidden="1" x14ac:dyDescent="0.25"/>
    <row r="56910" hidden="1" x14ac:dyDescent="0.25"/>
    <row r="56911" hidden="1" x14ac:dyDescent="0.25"/>
    <row r="56912" hidden="1" x14ac:dyDescent="0.25"/>
    <row r="56913" hidden="1" x14ac:dyDescent="0.25"/>
    <row r="56914" hidden="1" x14ac:dyDescent="0.25"/>
    <row r="56915" hidden="1" x14ac:dyDescent="0.25"/>
    <row r="56916" hidden="1" x14ac:dyDescent="0.25"/>
    <row r="56917" hidden="1" x14ac:dyDescent="0.25"/>
    <row r="56918" hidden="1" x14ac:dyDescent="0.25"/>
    <row r="56919" hidden="1" x14ac:dyDescent="0.25"/>
    <row r="56920" hidden="1" x14ac:dyDescent="0.25"/>
    <row r="56921" hidden="1" x14ac:dyDescent="0.25"/>
    <row r="56922" hidden="1" x14ac:dyDescent="0.25"/>
    <row r="56923" hidden="1" x14ac:dyDescent="0.25"/>
    <row r="56924" hidden="1" x14ac:dyDescent="0.25"/>
    <row r="56925" hidden="1" x14ac:dyDescent="0.25"/>
    <row r="56926" hidden="1" x14ac:dyDescent="0.25"/>
    <row r="56927" hidden="1" x14ac:dyDescent="0.25"/>
    <row r="56928" hidden="1" x14ac:dyDescent="0.25"/>
    <row r="56929" hidden="1" x14ac:dyDescent="0.25"/>
    <row r="56930" hidden="1" x14ac:dyDescent="0.25"/>
    <row r="56931" hidden="1" x14ac:dyDescent="0.25"/>
    <row r="56932" hidden="1" x14ac:dyDescent="0.25"/>
    <row r="56933" hidden="1" x14ac:dyDescent="0.25"/>
    <row r="56934" hidden="1" x14ac:dyDescent="0.25"/>
    <row r="56935" hidden="1" x14ac:dyDescent="0.25"/>
    <row r="56936" hidden="1" x14ac:dyDescent="0.25"/>
    <row r="56937" hidden="1" x14ac:dyDescent="0.25"/>
    <row r="56938" hidden="1" x14ac:dyDescent="0.25"/>
    <row r="56939" hidden="1" x14ac:dyDescent="0.25"/>
    <row r="56940" hidden="1" x14ac:dyDescent="0.25"/>
    <row r="56941" hidden="1" x14ac:dyDescent="0.25"/>
    <row r="56942" hidden="1" x14ac:dyDescent="0.25"/>
    <row r="56943" hidden="1" x14ac:dyDescent="0.25"/>
    <row r="56944" hidden="1" x14ac:dyDescent="0.25"/>
    <row r="56945" hidden="1" x14ac:dyDescent="0.25"/>
    <row r="56946" hidden="1" x14ac:dyDescent="0.25"/>
    <row r="56947" hidden="1" x14ac:dyDescent="0.25"/>
    <row r="56948" hidden="1" x14ac:dyDescent="0.25"/>
    <row r="56949" hidden="1" x14ac:dyDescent="0.25"/>
    <row r="56950" hidden="1" x14ac:dyDescent="0.25"/>
    <row r="56951" hidden="1" x14ac:dyDescent="0.25"/>
    <row r="56952" hidden="1" x14ac:dyDescent="0.25"/>
    <row r="56953" hidden="1" x14ac:dyDescent="0.25"/>
    <row r="56954" hidden="1" x14ac:dyDescent="0.25"/>
    <row r="56955" hidden="1" x14ac:dyDescent="0.25"/>
    <row r="56956" hidden="1" x14ac:dyDescent="0.25"/>
    <row r="56957" hidden="1" x14ac:dyDescent="0.25"/>
    <row r="56958" hidden="1" x14ac:dyDescent="0.25"/>
    <row r="56959" hidden="1" x14ac:dyDescent="0.25"/>
    <row r="56960" hidden="1" x14ac:dyDescent="0.25"/>
    <row r="56961" hidden="1" x14ac:dyDescent="0.25"/>
    <row r="56962" hidden="1" x14ac:dyDescent="0.25"/>
    <row r="56963" hidden="1" x14ac:dyDescent="0.25"/>
    <row r="56964" hidden="1" x14ac:dyDescent="0.25"/>
    <row r="56965" hidden="1" x14ac:dyDescent="0.25"/>
    <row r="56966" hidden="1" x14ac:dyDescent="0.25"/>
    <row r="56967" hidden="1" x14ac:dyDescent="0.25"/>
    <row r="56968" hidden="1" x14ac:dyDescent="0.25"/>
    <row r="56969" hidden="1" x14ac:dyDescent="0.25"/>
    <row r="56970" hidden="1" x14ac:dyDescent="0.25"/>
    <row r="56971" hidden="1" x14ac:dyDescent="0.25"/>
    <row r="56972" hidden="1" x14ac:dyDescent="0.25"/>
    <row r="56973" hidden="1" x14ac:dyDescent="0.25"/>
    <row r="56974" hidden="1" x14ac:dyDescent="0.25"/>
    <row r="56975" hidden="1" x14ac:dyDescent="0.25"/>
    <row r="56976" hidden="1" x14ac:dyDescent="0.25"/>
    <row r="56977" hidden="1" x14ac:dyDescent="0.25"/>
    <row r="56978" hidden="1" x14ac:dyDescent="0.25"/>
    <row r="56979" hidden="1" x14ac:dyDescent="0.25"/>
    <row r="56980" hidden="1" x14ac:dyDescent="0.25"/>
    <row r="56981" hidden="1" x14ac:dyDescent="0.25"/>
    <row r="56982" hidden="1" x14ac:dyDescent="0.25"/>
    <row r="56983" hidden="1" x14ac:dyDescent="0.25"/>
    <row r="56984" hidden="1" x14ac:dyDescent="0.25"/>
    <row r="56985" hidden="1" x14ac:dyDescent="0.25"/>
    <row r="56986" hidden="1" x14ac:dyDescent="0.25"/>
    <row r="56987" hidden="1" x14ac:dyDescent="0.25"/>
    <row r="56988" hidden="1" x14ac:dyDescent="0.25"/>
    <row r="56989" hidden="1" x14ac:dyDescent="0.25"/>
    <row r="56990" hidden="1" x14ac:dyDescent="0.25"/>
    <row r="56991" hidden="1" x14ac:dyDescent="0.25"/>
    <row r="56992" hidden="1" x14ac:dyDescent="0.25"/>
    <row r="56993" hidden="1" x14ac:dyDescent="0.25"/>
    <row r="56994" hidden="1" x14ac:dyDescent="0.25"/>
    <row r="56995" hidden="1" x14ac:dyDescent="0.25"/>
    <row r="56996" hidden="1" x14ac:dyDescent="0.25"/>
    <row r="56997" hidden="1" x14ac:dyDescent="0.25"/>
    <row r="56998" hidden="1" x14ac:dyDescent="0.25"/>
    <row r="56999" hidden="1" x14ac:dyDescent="0.25"/>
    <row r="57000" hidden="1" x14ac:dyDescent="0.25"/>
    <row r="57001" hidden="1" x14ac:dyDescent="0.25"/>
    <row r="57002" hidden="1" x14ac:dyDescent="0.25"/>
    <row r="57003" hidden="1" x14ac:dyDescent="0.25"/>
    <row r="57004" hidden="1" x14ac:dyDescent="0.25"/>
    <row r="57005" hidden="1" x14ac:dyDescent="0.25"/>
    <row r="57006" hidden="1" x14ac:dyDescent="0.25"/>
    <row r="57007" hidden="1" x14ac:dyDescent="0.25"/>
    <row r="57008" hidden="1" x14ac:dyDescent="0.25"/>
    <row r="57009" hidden="1" x14ac:dyDescent="0.25"/>
    <row r="57010" hidden="1" x14ac:dyDescent="0.25"/>
    <row r="57011" hidden="1" x14ac:dyDescent="0.25"/>
    <row r="57012" hidden="1" x14ac:dyDescent="0.25"/>
    <row r="57013" hidden="1" x14ac:dyDescent="0.25"/>
    <row r="57014" hidden="1" x14ac:dyDescent="0.25"/>
    <row r="57015" hidden="1" x14ac:dyDescent="0.25"/>
    <row r="57016" hidden="1" x14ac:dyDescent="0.25"/>
    <row r="57017" hidden="1" x14ac:dyDescent="0.25"/>
    <row r="57018" hidden="1" x14ac:dyDescent="0.25"/>
    <row r="57019" hidden="1" x14ac:dyDescent="0.25"/>
    <row r="57020" hidden="1" x14ac:dyDescent="0.25"/>
    <row r="57021" hidden="1" x14ac:dyDescent="0.25"/>
    <row r="57022" hidden="1" x14ac:dyDescent="0.25"/>
    <row r="57023" hidden="1" x14ac:dyDescent="0.25"/>
    <row r="57024" hidden="1" x14ac:dyDescent="0.25"/>
    <row r="57025" hidden="1" x14ac:dyDescent="0.25"/>
    <row r="57026" hidden="1" x14ac:dyDescent="0.25"/>
    <row r="57027" hidden="1" x14ac:dyDescent="0.25"/>
    <row r="57028" hidden="1" x14ac:dyDescent="0.25"/>
    <row r="57029" hidden="1" x14ac:dyDescent="0.25"/>
    <row r="57030" hidden="1" x14ac:dyDescent="0.25"/>
    <row r="57031" hidden="1" x14ac:dyDescent="0.25"/>
    <row r="57032" hidden="1" x14ac:dyDescent="0.25"/>
    <row r="57033" hidden="1" x14ac:dyDescent="0.25"/>
    <row r="57034" hidden="1" x14ac:dyDescent="0.25"/>
    <row r="57035" hidden="1" x14ac:dyDescent="0.25"/>
    <row r="57036" hidden="1" x14ac:dyDescent="0.25"/>
    <row r="57037" hidden="1" x14ac:dyDescent="0.25"/>
    <row r="57038" hidden="1" x14ac:dyDescent="0.25"/>
    <row r="57039" hidden="1" x14ac:dyDescent="0.25"/>
    <row r="57040" hidden="1" x14ac:dyDescent="0.25"/>
    <row r="57041" hidden="1" x14ac:dyDescent="0.25"/>
    <row r="57042" hidden="1" x14ac:dyDescent="0.25"/>
    <row r="57043" hidden="1" x14ac:dyDescent="0.25"/>
    <row r="57044" hidden="1" x14ac:dyDescent="0.25"/>
    <row r="57045" hidden="1" x14ac:dyDescent="0.25"/>
    <row r="57046" hidden="1" x14ac:dyDescent="0.25"/>
    <row r="57047" hidden="1" x14ac:dyDescent="0.25"/>
    <row r="57048" hidden="1" x14ac:dyDescent="0.25"/>
    <row r="57049" hidden="1" x14ac:dyDescent="0.25"/>
    <row r="57050" hidden="1" x14ac:dyDescent="0.25"/>
    <row r="57051" hidden="1" x14ac:dyDescent="0.25"/>
    <row r="57052" hidden="1" x14ac:dyDescent="0.25"/>
    <row r="57053" hidden="1" x14ac:dyDescent="0.25"/>
    <row r="57054" hidden="1" x14ac:dyDescent="0.25"/>
    <row r="57055" hidden="1" x14ac:dyDescent="0.25"/>
    <row r="57056" hidden="1" x14ac:dyDescent="0.25"/>
    <row r="57057" hidden="1" x14ac:dyDescent="0.25"/>
    <row r="57058" hidden="1" x14ac:dyDescent="0.25"/>
    <row r="57059" hidden="1" x14ac:dyDescent="0.25"/>
    <row r="57060" hidden="1" x14ac:dyDescent="0.25"/>
    <row r="57061" hidden="1" x14ac:dyDescent="0.25"/>
    <row r="57062" hidden="1" x14ac:dyDescent="0.25"/>
    <row r="57063" hidden="1" x14ac:dyDescent="0.25"/>
    <row r="57064" hidden="1" x14ac:dyDescent="0.25"/>
    <row r="57065" hidden="1" x14ac:dyDescent="0.25"/>
    <row r="57066" hidden="1" x14ac:dyDescent="0.25"/>
    <row r="57067" hidden="1" x14ac:dyDescent="0.25"/>
    <row r="57068" hidden="1" x14ac:dyDescent="0.25"/>
    <row r="57069" hidden="1" x14ac:dyDescent="0.25"/>
    <row r="57070" hidden="1" x14ac:dyDescent="0.25"/>
    <row r="57071" hidden="1" x14ac:dyDescent="0.25"/>
    <row r="57072" hidden="1" x14ac:dyDescent="0.25"/>
    <row r="57073" hidden="1" x14ac:dyDescent="0.25"/>
    <row r="57074" hidden="1" x14ac:dyDescent="0.25"/>
    <row r="57075" hidden="1" x14ac:dyDescent="0.25"/>
    <row r="57076" hidden="1" x14ac:dyDescent="0.25"/>
    <row r="57077" hidden="1" x14ac:dyDescent="0.25"/>
    <row r="57078" hidden="1" x14ac:dyDescent="0.25"/>
    <row r="57079" hidden="1" x14ac:dyDescent="0.25"/>
    <row r="57080" hidden="1" x14ac:dyDescent="0.25"/>
    <row r="57081" hidden="1" x14ac:dyDescent="0.25"/>
    <row r="57082" hidden="1" x14ac:dyDescent="0.25"/>
    <row r="57083" hidden="1" x14ac:dyDescent="0.25"/>
    <row r="57084" hidden="1" x14ac:dyDescent="0.25"/>
    <row r="57085" hidden="1" x14ac:dyDescent="0.25"/>
    <row r="57086" hidden="1" x14ac:dyDescent="0.25"/>
    <row r="57087" hidden="1" x14ac:dyDescent="0.25"/>
    <row r="57088" hidden="1" x14ac:dyDescent="0.25"/>
    <row r="57089" hidden="1" x14ac:dyDescent="0.25"/>
    <row r="57090" hidden="1" x14ac:dyDescent="0.25"/>
    <row r="57091" hidden="1" x14ac:dyDescent="0.25"/>
    <row r="57092" hidden="1" x14ac:dyDescent="0.25"/>
    <row r="57093" hidden="1" x14ac:dyDescent="0.25"/>
    <row r="57094" hidden="1" x14ac:dyDescent="0.25"/>
    <row r="57095" hidden="1" x14ac:dyDescent="0.25"/>
    <row r="57096" hidden="1" x14ac:dyDescent="0.25"/>
    <row r="57097" hidden="1" x14ac:dyDescent="0.25"/>
    <row r="57098" hidden="1" x14ac:dyDescent="0.25"/>
    <row r="57099" hidden="1" x14ac:dyDescent="0.25"/>
    <row r="57100" hidden="1" x14ac:dyDescent="0.25"/>
    <row r="57101" hidden="1" x14ac:dyDescent="0.25"/>
    <row r="57102" hidden="1" x14ac:dyDescent="0.25"/>
    <row r="57103" hidden="1" x14ac:dyDescent="0.25"/>
    <row r="57104" hidden="1" x14ac:dyDescent="0.25"/>
    <row r="57105" hidden="1" x14ac:dyDescent="0.25"/>
    <row r="57106" hidden="1" x14ac:dyDescent="0.25"/>
    <row r="57107" hidden="1" x14ac:dyDescent="0.25"/>
    <row r="57108" hidden="1" x14ac:dyDescent="0.25"/>
    <row r="57109" hidden="1" x14ac:dyDescent="0.25"/>
    <row r="57110" hidden="1" x14ac:dyDescent="0.25"/>
    <row r="57111" hidden="1" x14ac:dyDescent="0.25"/>
    <row r="57112" hidden="1" x14ac:dyDescent="0.25"/>
    <row r="57113" hidden="1" x14ac:dyDescent="0.25"/>
    <row r="57114" hidden="1" x14ac:dyDescent="0.25"/>
    <row r="57115" hidden="1" x14ac:dyDescent="0.25"/>
    <row r="57116" hidden="1" x14ac:dyDescent="0.25"/>
    <row r="57117" hidden="1" x14ac:dyDescent="0.25"/>
    <row r="57118" hidden="1" x14ac:dyDescent="0.25"/>
    <row r="57119" hidden="1" x14ac:dyDescent="0.25"/>
    <row r="57120" hidden="1" x14ac:dyDescent="0.25"/>
    <row r="57121" hidden="1" x14ac:dyDescent="0.25"/>
    <row r="57122" hidden="1" x14ac:dyDescent="0.25"/>
    <row r="57123" hidden="1" x14ac:dyDescent="0.25"/>
    <row r="57124" hidden="1" x14ac:dyDescent="0.25"/>
    <row r="57125" hidden="1" x14ac:dyDescent="0.25"/>
    <row r="57126" hidden="1" x14ac:dyDescent="0.25"/>
    <row r="57127" hidden="1" x14ac:dyDescent="0.25"/>
    <row r="57128" hidden="1" x14ac:dyDescent="0.25"/>
    <row r="57129" hidden="1" x14ac:dyDescent="0.25"/>
    <row r="57130" hidden="1" x14ac:dyDescent="0.25"/>
    <row r="57131" hidden="1" x14ac:dyDescent="0.25"/>
    <row r="57132" hidden="1" x14ac:dyDescent="0.25"/>
    <row r="57133" hidden="1" x14ac:dyDescent="0.25"/>
    <row r="57134" hidden="1" x14ac:dyDescent="0.25"/>
    <row r="57135" hidden="1" x14ac:dyDescent="0.25"/>
    <row r="57136" hidden="1" x14ac:dyDescent="0.25"/>
    <row r="57137" hidden="1" x14ac:dyDescent="0.25"/>
    <row r="57138" hidden="1" x14ac:dyDescent="0.25"/>
    <row r="57139" hidden="1" x14ac:dyDescent="0.25"/>
    <row r="57140" hidden="1" x14ac:dyDescent="0.25"/>
    <row r="57141" hidden="1" x14ac:dyDescent="0.25"/>
    <row r="57142" hidden="1" x14ac:dyDescent="0.25"/>
    <row r="57143" hidden="1" x14ac:dyDescent="0.25"/>
    <row r="57144" hidden="1" x14ac:dyDescent="0.25"/>
    <row r="57145" hidden="1" x14ac:dyDescent="0.25"/>
    <row r="57146" hidden="1" x14ac:dyDescent="0.25"/>
    <row r="57147" hidden="1" x14ac:dyDescent="0.25"/>
    <row r="57148" hidden="1" x14ac:dyDescent="0.25"/>
    <row r="57149" hidden="1" x14ac:dyDescent="0.25"/>
    <row r="57150" hidden="1" x14ac:dyDescent="0.25"/>
    <row r="57151" hidden="1" x14ac:dyDescent="0.25"/>
    <row r="57152" hidden="1" x14ac:dyDescent="0.25"/>
    <row r="57153" hidden="1" x14ac:dyDescent="0.25"/>
    <row r="57154" hidden="1" x14ac:dyDescent="0.25"/>
    <row r="57155" hidden="1" x14ac:dyDescent="0.25"/>
    <row r="57156" hidden="1" x14ac:dyDescent="0.25"/>
    <row r="57157" hidden="1" x14ac:dyDescent="0.25"/>
    <row r="57158" hidden="1" x14ac:dyDescent="0.25"/>
    <row r="57159" hidden="1" x14ac:dyDescent="0.25"/>
    <row r="57160" hidden="1" x14ac:dyDescent="0.25"/>
    <row r="57161" hidden="1" x14ac:dyDescent="0.25"/>
    <row r="57162" hidden="1" x14ac:dyDescent="0.25"/>
    <row r="57163" hidden="1" x14ac:dyDescent="0.25"/>
    <row r="57164" hidden="1" x14ac:dyDescent="0.25"/>
    <row r="57165" hidden="1" x14ac:dyDescent="0.25"/>
    <row r="57166" hidden="1" x14ac:dyDescent="0.25"/>
    <row r="57167" hidden="1" x14ac:dyDescent="0.25"/>
    <row r="57168" hidden="1" x14ac:dyDescent="0.25"/>
    <row r="57169" hidden="1" x14ac:dyDescent="0.25"/>
    <row r="57170" hidden="1" x14ac:dyDescent="0.25"/>
    <row r="57171" hidden="1" x14ac:dyDescent="0.25"/>
    <row r="57172" hidden="1" x14ac:dyDescent="0.25"/>
    <row r="57173" hidden="1" x14ac:dyDescent="0.25"/>
    <row r="57174" hidden="1" x14ac:dyDescent="0.25"/>
    <row r="57175" hidden="1" x14ac:dyDescent="0.25"/>
    <row r="57176" hidden="1" x14ac:dyDescent="0.25"/>
    <row r="57177" hidden="1" x14ac:dyDescent="0.25"/>
    <row r="57178" hidden="1" x14ac:dyDescent="0.25"/>
    <row r="57179" hidden="1" x14ac:dyDescent="0.25"/>
    <row r="57180" hidden="1" x14ac:dyDescent="0.25"/>
    <row r="57181" hidden="1" x14ac:dyDescent="0.25"/>
    <row r="57182" hidden="1" x14ac:dyDescent="0.25"/>
    <row r="57183" hidden="1" x14ac:dyDescent="0.25"/>
    <row r="57184" hidden="1" x14ac:dyDescent="0.25"/>
    <row r="57185" hidden="1" x14ac:dyDescent="0.25"/>
    <row r="57186" hidden="1" x14ac:dyDescent="0.25"/>
    <row r="57187" hidden="1" x14ac:dyDescent="0.25"/>
    <row r="57188" hidden="1" x14ac:dyDescent="0.25"/>
    <row r="57189" hidden="1" x14ac:dyDescent="0.25"/>
    <row r="57190" hidden="1" x14ac:dyDescent="0.25"/>
    <row r="57191" hidden="1" x14ac:dyDescent="0.25"/>
    <row r="57192" hidden="1" x14ac:dyDescent="0.25"/>
    <row r="57193" hidden="1" x14ac:dyDescent="0.25"/>
    <row r="57194" hidden="1" x14ac:dyDescent="0.25"/>
    <row r="57195" hidden="1" x14ac:dyDescent="0.25"/>
    <row r="57196" hidden="1" x14ac:dyDescent="0.25"/>
    <row r="57197" hidden="1" x14ac:dyDescent="0.25"/>
    <row r="57198" hidden="1" x14ac:dyDescent="0.25"/>
    <row r="57199" hidden="1" x14ac:dyDescent="0.25"/>
    <row r="57200" hidden="1" x14ac:dyDescent="0.25"/>
    <row r="57201" hidden="1" x14ac:dyDescent="0.25"/>
    <row r="57202" hidden="1" x14ac:dyDescent="0.25"/>
    <row r="57203" hidden="1" x14ac:dyDescent="0.25"/>
    <row r="57204" hidden="1" x14ac:dyDescent="0.25"/>
    <row r="57205" hidden="1" x14ac:dyDescent="0.25"/>
    <row r="57206" hidden="1" x14ac:dyDescent="0.25"/>
    <row r="57207" hidden="1" x14ac:dyDescent="0.25"/>
    <row r="57208" hidden="1" x14ac:dyDescent="0.25"/>
    <row r="57209" hidden="1" x14ac:dyDescent="0.25"/>
    <row r="57210" hidden="1" x14ac:dyDescent="0.25"/>
    <row r="57211" hidden="1" x14ac:dyDescent="0.25"/>
    <row r="57212" hidden="1" x14ac:dyDescent="0.25"/>
    <row r="57213" hidden="1" x14ac:dyDescent="0.25"/>
    <row r="57214" hidden="1" x14ac:dyDescent="0.25"/>
    <row r="57215" hidden="1" x14ac:dyDescent="0.25"/>
    <row r="57216" hidden="1" x14ac:dyDescent="0.25"/>
    <row r="57217" hidden="1" x14ac:dyDescent="0.25"/>
    <row r="57218" hidden="1" x14ac:dyDescent="0.25"/>
    <row r="57219" hidden="1" x14ac:dyDescent="0.25"/>
    <row r="57220" hidden="1" x14ac:dyDescent="0.25"/>
    <row r="57221" hidden="1" x14ac:dyDescent="0.25"/>
    <row r="57222" hidden="1" x14ac:dyDescent="0.25"/>
    <row r="57223" hidden="1" x14ac:dyDescent="0.25"/>
    <row r="57224" hidden="1" x14ac:dyDescent="0.25"/>
    <row r="57225" hidden="1" x14ac:dyDescent="0.25"/>
    <row r="57226" hidden="1" x14ac:dyDescent="0.25"/>
    <row r="57227" hidden="1" x14ac:dyDescent="0.25"/>
    <row r="57228" hidden="1" x14ac:dyDescent="0.25"/>
    <row r="57229" hidden="1" x14ac:dyDescent="0.25"/>
    <row r="57230" hidden="1" x14ac:dyDescent="0.25"/>
    <row r="57231" hidden="1" x14ac:dyDescent="0.25"/>
    <row r="57232" hidden="1" x14ac:dyDescent="0.25"/>
    <row r="57233" hidden="1" x14ac:dyDescent="0.25"/>
    <row r="57234" hidden="1" x14ac:dyDescent="0.25"/>
    <row r="57235" hidden="1" x14ac:dyDescent="0.25"/>
    <row r="57236" hidden="1" x14ac:dyDescent="0.25"/>
    <row r="57237" hidden="1" x14ac:dyDescent="0.25"/>
    <row r="57238" hidden="1" x14ac:dyDescent="0.25"/>
    <row r="57239" hidden="1" x14ac:dyDescent="0.25"/>
    <row r="57240" hidden="1" x14ac:dyDescent="0.25"/>
    <row r="57241" hidden="1" x14ac:dyDescent="0.25"/>
    <row r="57242" hidden="1" x14ac:dyDescent="0.25"/>
    <row r="57243" hidden="1" x14ac:dyDescent="0.25"/>
    <row r="57244" hidden="1" x14ac:dyDescent="0.25"/>
    <row r="57245" hidden="1" x14ac:dyDescent="0.25"/>
    <row r="57246" hidden="1" x14ac:dyDescent="0.25"/>
    <row r="57247" hidden="1" x14ac:dyDescent="0.25"/>
    <row r="57248" hidden="1" x14ac:dyDescent="0.25"/>
    <row r="57249" hidden="1" x14ac:dyDescent="0.25"/>
    <row r="57250" hidden="1" x14ac:dyDescent="0.25"/>
    <row r="57251" hidden="1" x14ac:dyDescent="0.25"/>
    <row r="57252" hidden="1" x14ac:dyDescent="0.25"/>
    <row r="57253" hidden="1" x14ac:dyDescent="0.25"/>
    <row r="57254" hidden="1" x14ac:dyDescent="0.25"/>
    <row r="57255" hidden="1" x14ac:dyDescent="0.25"/>
    <row r="57256" hidden="1" x14ac:dyDescent="0.25"/>
    <row r="57257" hidden="1" x14ac:dyDescent="0.25"/>
    <row r="57258" hidden="1" x14ac:dyDescent="0.25"/>
    <row r="57259" hidden="1" x14ac:dyDescent="0.25"/>
    <row r="57260" hidden="1" x14ac:dyDescent="0.25"/>
    <row r="57261" hidden="1" x14ac:dyDescent="0.25"/>
    <row r="57262" hidden="1" x14ac:dyDescent="0.25"/>
    <row r="57263" hidden="1" x14ac:dyDescent="0.25"/>
    <row r="57264" hidden="1" x14ac:dyDescent="0.25"/>
    <row r="57265" hidden="1" x14ac:dyDescent="0.25"/>
    <row r="57266" hidden="1" x14ac:dyDescent="0.25"/>
    <row r="57267" hidden="1" x14ac:dyDescent="0.25"/>
    <row r="57268" hidden="1" x14ac:dyDescent="0.25"/>
    <row r="57269" hidden="1" x14ac:dyDescent="0.25"/>
    <row r="57270" hidden="1" x14ac:dyDescent="0.25"/>
    <row r="57271" hidden="1" x14ac:dyDescent="0.25"/>
    <row r="57272" hidden="1" x14ac:dyDescent="0.25"/>
    <row r="57273" hidden="1" x14ac:dyDescent="0.25"/>
    <row r="57274" hidden="1" x14ac:dyDescent="0.25"/>
    <row r="57275" hidden="1" x14ac:dyDescent="0.25"/>
    <row r="57276" hidden="1" x14ac:dyDescent="0.25"/>
    <row r="57277" hidden="1" x14ac:dyDescent="0.25"/>
    <row r="57278" hidden="1" x14ac:dyDescent="0.25"/>
    <row r="57279" hidden="1" x14ac:dyDescent="0.25"/>
    <row r="57280" hidden="1" x14ac:dyDescent="0.25"/>
    <row r="57281" hidden="1" x14ac:dyDescent="0.25"/>
    <row r="57282" hidden="1" x14ac:dyDescent="0.25"/>
    <row r="57283" hidden="1" x14ac:dyDescent="0.25"/>
    <row r="57284" hidden="1" x14ac:dyDescent="0.25"/>
    <row r="57285" hidden="1" x14ac:dyDescent="0.25"/>
    <row r="57286" hidden="1" x14ac:dyDescent="0.25"/>
    <row r="57287" hidden="1" x14ac:dyDescent="0.25"/>
    <row r="57288" hidden="1" x14ac:dyDescent="0.25"/>
    <row r="57289" hidden="1" x14ac:dyDescent="0.25"/>
    <row r="57290" hidden="1" x14ac:dyDescent="0.25"/>
    <row r="57291" hidden="1" x14ac:dyDescent="0.25"/>
    <row r="57292" hidden="1" x14ac:dyDescent="0.25"/>
    <row r="57293" hidden="1" x14ac:dyDescent="0.25"/>
    <row r="57294" hidden="1" x14ac:dyDescent="0.25"/>
    <row r="57295" hidden="1" x14ac:dyDescent="0.25"/>
    <row r="57296" hidden="1" x14ac:dyDescent="0.25"/>
    <row r="57297" hidden="1" x14ac:dyDescent="0.25"/>
    <row r="57298" hidden="1" x14ac:dyDescent="0.25"/>
    <row r="57299" hidden="1" x14ac:dyDescent="0.25"/>
    <row r="57300" hidden="1" x14ac:dyDescent="0.25"/>
    <row r="57301" hidden="1" x14ac:dyDescent="0.25"/>
    <row r="57302" hidden="1" x14ac:dyDescent="0.25"/>
    <row r="57303" hidden="1" x14ac:dyDescent="0.25"/>
    <row r="57304" hidden="1" x14ac:dyDescent="0.25"/>
    <row r="57305" hidden="1" x14ac:dyDescent="0.25"/>
    <row r="57306" hidden="1" x14ac:dyDescent="0.25"/>
    <row r="57307" hidden="1" x14ac:dyDescent="0.25"/>
    <row r="57308" hidden="1" x14ac:dyDescent="0.25"/>
    <row r="57309" hidden="1" x14ac:dyDescent="0.25"/>
    <row r="57310" hidden="1" x14ac:dyDescent="0.25"/>
    <row r="57311" hidden="1" x14ac:dyDescent="0.25"/>
    <row r="57312" hidden="1" x14ac:dyDescent="0.25"/>
    <row r="57313" hidden="1" x14ac:dyDescent="0.25"/>
    <row r="57314" hidden="1" x14ac:dyDescent="0.25"/>
    <row r="57315" hidden="1" x14ac:dyDescent="0.25"/>
    <row r="57316" hidden="1" x14ac:dyDescent="0.25"/>
    <row r="57317" hidden="1" x14ac:dyDescent="0.25"/>
    <row r="57318" hidden="1" x14ac:dyDescent="0.25"/>
    <row r="57319" hidden="1" x14ac:dyDescent="0.25"/>
    <row r="57320" hidden="1" x14ac:dyDescent="0.25"/>
    <row r="57321" hidden="1" x14ac:dyDescent="0.25"/>
    <row r="57322" hidden="1" x14ac:dyDescent="0.25"/>
    <row r="57323" hidden="1" x14ac:dyDescent="0.25"/>
    <row r="57324" hidden="1" x14ac:dyDescent="0.25"/>
    <row r="57325" hidden="1" x14ac:dyDescent="0.25"/>
    <row r="57326" hidden="1" x14ac:dyDescent="0.25"/>
    <row r="57327" hidden="1" x14ac:dyDescent="0.25"/>
    <row r="57328" hidden="1" x14ac:dyDescent="0.25"/>
    <row r="57329" hidden="1" x14ac:dyDescent="0.25"/>
    <row r="57330" hidden="1" x14ac:dyDescent="0.25"/>
    <row r="57331" hidden="1" x14ac:dyDescent="0.25"/>
    <row r="57332" hidden="1" x14ac:dyDescent="0.25"/>
    <row r="57333" hidden="1" x14ac:dyDescent="0.25"/>
    <row r="57334" hidden="1" x14ac:dyDescent="0.25"/>
    <row r="57335" hidden="1" x14ac:dyDescent="0.25"/>
    <row r="57336" hidden="1" x14ac:dyDescent="0.25"/>
    <row r="57337" hidden="1" x14ac:dyDescent="0.25"/>
    <row r="57338" hidden="1" x14ac:dyDescent="0.25"/>
    <row r="57339" hidden="1" x14ac:dyDescent="0.25"/>
    <row r="57340" hidden="1" x14ac:dyDescent="0.25"/>
    <row r="57341" hidden="1" x14ac:dyDescent="0.25"/>
    <row r="57342" hidden="1" x14ac:dyDescent="0.25"/>
    <row r="57343" hidden="1" x14ac:dyDescent="0.25"/>
    <row r="57344" hidden="1" x14ac:dyDescent="0.25"/>
    <row r="57345" hidden="1" x14ac:dyDescent="0.25"/>
    <row r="57346" hidden="1" x14ac:dyDescent="0.25"/>
    <row r="57347" hidden="1" x14ac:dyDescent="0.25"/>
    <row r="57348" hidden="1" x14ac:dyDescent="0.25"/>
    <row r="57349" hidden="1" x14ac:dyDescent="0.25"/>
    <row r="57350" hidden="1" x14ac:dyDescent="0.25"/>
    <row r="57351" hidden="1" x14ac:dyDescent="0.25"/>
    <row r="57352" hidden="1" x14ac:dyDescent="0.25"/>
    <row r="57353" hidden="1" x14ac:dyDescent="0.25"/>
    <row r="57354" hidden="1" x14ac:dyDescent="0.25"/>
    <row r="57355" hidden="1" x14ac:dyDescent="0.25"/>
    <row r="57356" hidden="1" x14ac:dyDescent="0.25"/>
    <row r="57357" hidden="1" x14ac:dyDescent="0.25"/>
    <row r="57358" hidden="1" x14ac:dyDescent="0.25"/>
    <row r="57359" hidden="1" x14ac:dyDescent="0.25"/>
    <row r="57360" hidden="1" x14ac:dyDescent="0.25"/>
    <row r="57361" hidden="1" x14ac:dyDescent="0.25"/>
    <row r="57362" hidden="1" x14ac:dyDescent="0.25"/>
    <row r="57363" hidden="1" x14ac:dyDescent="0.25"/>
    <row r="57364" hidden="1" x14ac:dyDescent="0.25"/>
    <row r="57365" hidden="1" x14ac:dyDescent="0.25"/>
    <row r="57366" hidden="1" x14ac:dyDescent="0.25"/>
    <row r="57367" hidden="1" x14ac:dyDescent="0.25"/>
    <row r="57368" hidden="1" x14ac:dyDescent="0.25"/>
    <row r="57369" hidden="1" x14ac:dyDescent="0.25"/>
    <row r="57370" hidden="1" x14ac:dyDescent="0.25"/>
    <row r="57371" hidden="1" x14ac:dyDescent="0.25"/>
    <row r="57372" hidden="1" x14ac:dyDescent="0.25"/>
    <row r="57373" hidden="1" x14ac:dyDescent="0.25"/>
    <row r="57374" hidden="1" x14ac:dyDescent="0.25"/>
    <row r="57375" hidden="1" x14ac:dyDescent="0.25"/>
    <row r="57376" hidden="1" x14ac:dyDescent="0.25"/>
    <row r="57377" hidden="1" x14ac:dyDescent="0.25"/>
    <row r="57378" hidden="1" x14ac:dyDescent="0.25"/>
    <row r="57379" hidden="1" x14ac:dyDescent="0.25"/>
    <row r="57380" hidden="1" x14ac:dyDescent="0.25"/>
    <row r="57381" hidden="1" x14ac:dyDescent="0.25"/>
    <row r="57382" hidden="1" x14ac:dyDescent="0.25"/>
    <row r="57383" hidden="1" x14ac:dyDescent="0.25"/>
    <row r="57384" hidden="1" x14ac:dyDescent="0.25"/>
    <row r="57385" hidden="1" x14ac:dyDescent="0.25"/>
    <row r="57386" hidden="1" x14ac:dyDescent="0.25"/>
    <row r="57387" hidden="1" x14ac:dyDescent="0.25"/>
    <row r="57388" hidden="1" x14ac:dyDescent="0.25"/>
    <row r="57389" hidden="1" x14ac:dyDescent="0.25"/>
    <row r="57390" hidden="1" x14ac:dyDescent="0.25"/>
    <row r="57391" hidden="1" x14ac:dyDescent="0.25"/>
    <row r="57392" hidden="1" x14ac:dyDescent="0.25"/>
    <row r="57393" hidden="1" x14ac:dyDescent="0.25"/>
    <row r="57394" hidden="1" x14ac:dyDescent="0.25"/>
    <row r="57395" hidden="1" x14ac:dyDescent="0.25"/>
    <row r="57396" hidden="1" x14ac:dyDescent="0.25"/>
    <row r="57397" hidden="1" x14ac:dyDescent="0.25"/>
    <row r="57398" hidden="1" x14ac:dyDescent="0.25"/>
    <row r="57399" hidden="1" x14ac:dyDescent="0.25"/>
    <row r="57400" hidden="1" x14ac:dyDescent="0.25"/>
    <row r="57401" hidden="1" x14ac:dyDescent="0.25"/>
    <row r="57402" hidden="1" x14ac:dyDescent="0.25"/>
    <row r="57403" hidden="1" x14ac:dyDescent="0.25"/>
    <row r="57404" hidden="1" x14ac:dyDescent="0.25"/>
    <row r="57405" hidden="1" x14ac:dyDescent="0.25"/>
    <row r="57406" hidden="1" x14ac:dyDescent="0.25"/>
    <row r="57407" hidden="1" x14ac:dyDescent="0.25"/>
    <row r="57408" hidden="1" x14ac:dyDescent="0.25"/>
    <row r="57409" hidden="1" x14ac:dyDescent="0.25"/>
    <row r="57410" hidden="1" x14ac:dyDescent="0.25"/>
    <row r="57411" hidden="1" x14ac:dyDescent="0.25"/>
    <row r="57412" hidden="1" x14ac:dyDescent="0.25"/>
    <row r="57413" hidden="1" x14ac:dyDescent="0.25"/>
    <row r="57414" hidden="1" x14ac:dyDescent="0.25"/>
    <row r="57415" hidden="1" x14ac:dyDescent="0.25"/>
    <row r="57416" hidden="1" x14ac:dyDescent="0.25"/>
    <row r="57417" hidden="1" x14ac:dyDescent="0.25"/>
    <row r="57418" hidden="1" x14ac:dyDescent="0.25"/>
    <row r="57419" hidden="1" x14ac:dyDescent="0.25"/>
    <row r="57420" hidden="1" x14ac:dyDescent="0.25"/>
    <row r="57421" hidden="1" x14ac:dyDescent="0.25"/>
    <row r="57422" hidden="1" x14ac:dyDescent="0.25"/>
    <row r="57423" hidden="1" x14ac:dyDescent="0.25"/>
    <row r="57424" hidden="1" x14ac:dyDescent="0.25"/>
    <row r="57425" hidden="1" x14ac:dyDescent="0.25"/>
    <row r="57426" hidden="1" x14ac:dyDescent="0.25"/>
    <row r="57427" hidden="1" x14ac:dyDescent="0.25"/>
    <row r="57428" hidden="1" x14ac:dyDescent="0.25"/>
    <row r="57429" hidden="1" x14ac:dyDescent="0.25"/>
    <row r="57430" hidden="1" x14ac:dyDescent="0.25"/>
    <row r="57431" hidden="1" x14ac:dyDescent="0.25"/>
    <row r="57432" hidden="1" x14ac:dyDescent="0.25"/>
    <row r="57433" hidden="1" x14ac:dyDescent="0.25"/>
    <row r="57434" hidden="1" x14ac:dyDescent="0.25"/>
    <row r="57435" hidden="1" x14ac:dyDescent="0.25"/>
    <row r="57436" hidden="1" x14ac:dyDescent="0.25"/>
    <row r="57437" hidden="1" x14ac:dyDescent="0.25"/>
    <row r="57438" hidden="1" x14ac:dyDescent="0.25"/>
    <row r="57439" hidden="1" x14ac:dyDescent="0.25"/>
    <row r="57440" hidden="1" x14ac:dyDescent="0.25"/>
    <row r="57441" hidden="1" x14ac:dyDescent="0.25"/>
    <row r="57442" hidden="1" x14ac:dyDescent="0.25"/>
    <row r="57443" hidden="1" x14ac:dyDescent="0.25"/>
    <row r="57444" hidden="1" x14ac:dyDescent="0.25"/>
    <row r="57445" hidden="1" x14ac:dyDescent="0.25"/>
    <row r="57446" hidden="1" x14ac:dyDescent="0.25"/>
    <row r="57447" hidden="1" x14ac:dyDescent="0.25"/>
    <row r="57448" hidden="1" x14ac:dyDescent="0.25"/>
    <row r="57449" hidden="1" x14ac:dyDescent="0.25"/>
    <row r="57450" hidden="1" x14ac:dyDescent="0.25"/>
    <row r="57451" hidden="1" x14ac:dyDescent="0.25"/>
    <row r="57452" hidden="1" x14ac:dyDescent="0.25"/>
    <row r="57453" hidden="1" x14ac:dyDescent="0.25"/>
    <row r="57454" hidden="1" x14ac:dyDescent="0.25"/>
    <row r="57455" hidden="1" x14ac:dyDescent="0.25"/>
    <row r="57456" hidden="1" x14ac:dyDescent="0.25"/>
    <row r="57457" hidden="1" x14ac:dyDescent="0.25"/>
    <row r="57458" hidden="1" x14ac:dyDescent="0.25"/>
    <row r="57459" hidden="1" x14ac:dyDescent="0.25"/>
    <row r="57460" hidden="1" x14ac:dyDescent="0.25"/>
    <row r="57461" hidden="1" x14ac:dyDescent="0.25"/>
    <row r="57462" hidden="1" x14ac:dyDescent="0.25"/>
    <row r="57463" hidden="1" x14ac:dyDescent="0.25"/>
    <row r="57464" hidden="1" x14ac:dyDescent="0.25"/>
    <row r="57465" hidden="1" x14ac:dyDescent="0.25"/>
    <row r="57466" hidden="1" x14ac:dyDescent="0.25"/>
    <row r="57467" hidden="1" x14ac:dyDescent="0.25"/>
    <row r="57468" hidden="1" x14ac:dyDescent="0.25"/>
    <row r="57469" hidden="1" x14ac:dyDescent="0.25"/>
    <row r="57470" hidden="1" x14ac:dyDescent="0.25"/>
    <row r="57471" hidden="1" x14ac:dyDescent="0.25"/>
    <row r="57472" hidden="1" x14ac:dyDescent="0.25"/>
    <row r="57473" hidden="1" x14ac:dyDescent="0.25"/>
    <row r="57474" hidden="1" x14ac:dyDescent="0.25"/>
    <row r="57475" hidden="1" x14ac:dyDescent="0.25"/>
    <row r="57476" hidden="1" x14ac:dyDescent="0.25"/>
    <row r="57477" hidden="1" x14ac:dyDescent="0.25"/>
    <row r="57478" hidden="1" x14ac:dyDescent="0.25"/>
    <row r="57479" hidden="1" x14ac:dyDescent="0.25"/>
    <row r="57480" hidden="1" x14ac:dyDescent="0.25"/>
    <row r="57481" hidden="1" x14ac:dyDescent="0.25"/>
    <row r="57482" hidden="1" x14ac:dyDescent="0.25"/>
    <row r="57483" hidden="1" x14ac:dyDescent="0.25"/>
    <row r="57484" hidden="1" x14ac:dyDescent="0.25"/>
    <row r="57485" hidden="1" x14ac:dyDescent="0.25"/>
    <row r="57486" hidden="1" x14ac:dyDescent="0.25"/>
    <row r="57487" hidden="1" x14ac:dyDescent="0.25"/>
    <row r="57488" hidden="1" x14ac:dyDescent="0.25"/>
    <row r="57489" hidden="1" x14ac:dyDescent="0.25"/>
    <row r="57490" hidden="1" x14ac:dyDescent="0.25"/>
    <row r="57491" hidden="1" x14ac:dyDescent="0.25"/>
    <row r="57492" hidden="1" x14ac:dyDescent="0.25"/>
    <row r="57493" hidden="1" x14ac:dyDescent="0.25"/>
    <row r="57494" hidden="1" x14ac:dyDescent="0.25"/>
    <row r="57495" hidden="1" x14ac:dyDescent="0.25"/>
    <row r="57496" hidden="1" x14ac:dyDescent="0.25"/>
    <row r="57497" hidden="1" x14ac:dyDescent="0.25"/>
    <row r="57498" hidden="1" x14ac:dyDescent="0.25"/>
    <row r="57499" hidden="1" x14ac:dyDescent="0.25"/>
    <row r="57500" hidden="1" x14ac:dyDescent="0.25"/>
    <row r="57501" hidden="1" x14ac:dyDescent="0.25"/>
    <row r="57502" hidden="1" x14ac:dyDescent="0.25"/>
    <row r="57503" hidden="1" x14ac:dyDescent="0.25"/>
    <row r="57504" hidden="1" x14ac:dyDescent="0.25"/>
    <row r="57505" hidden="1" x14ac:dyDescent="0.25"/>
    <row r="57506" hidden="1" x14ac:dyDescent="0.25"/>
    <row r="57507" hidden="1" x14ac:dyDescent="0.25"/>
    <row r="57508" hidden="1" x14ac:dyDescent="0.25"/>
    <row r="57509" hidden="1" x14ac:dyDescent="0.25"/>
    <row r="57510" hidden="1" x14ac:dyDescent="0.25"/>
    <row r="57511" hidden="1" x14ac:dyDescent="0.25"/>
    <row r="57512" hidden="1" x14ac:dyDescent="0.25"/>
    <row r="57513" hidden="1" x14ac:dyDescent="0.25"/>
    <row r="57514" hidden="1" x14ac:dyDescent="0.25"/>
    <row r="57515" hidden="1" x14ac:dyDescent="0.25"/>
    <row r="57516" hidden="1" x14ac:dyDescent="0.25"/>
    <row r="57517" hidden="1" x14ac:dyDescent="0.25"/>
    <row r="57518" hidden="1" x14ac:dyDescent="0.25"/>
    <row r="57519" hidden="1" x14ac:dyDescent="0.25"/>
    <row r="57520" hidden="1" x14ac:dyDescent="0.25"/>
    <row r="57521" hidden="1" x14ac:dyDescent="0.25"/>
    <row r="57522" hidden="1" x14ac:dyDescent="0.25"/>
    <row r="57523" hidden="1" x14ac:dyDescent="0.25"/>
    <row r="57524" hidden="1" x14ac:dyDescent="0.25"/>
    <row r="57525" hidden="1" x14ac:dyDescent="0.25"/>
    <row r="57526" hidden="1" x14ac:dyDescent="0.25"/>
    <row r="57527" hidden="1" x14ac:dyDescent="0.25"/>
    <row r="57528" hidden="1" x14ac:dyDescent="0.25"/>
    <row r="57529" hidden="1" x14ac:dyDescent="0.25"/>
    <row r="57530" hidden="1" x14ac:dyDescent="0.25"/>
    <row r="57531" hidden="1" x14ac:dyDescent="0.25"/>
    <row r="57532" hidden="1" x14ac:dyDescent="0.25"/>
    <row r="57533" hidden="1" x14ac:dyDescent="0.25"/>
    <row r="57534" hidden="1" x14ac:dyDescent="0.25"/>
    <row r="57535" hidden="1" x14ac:dyDescent="0.25"/>
    <row r="57536" hidden="1" x14ac:dyDescent="0.25"/>
    <row r="57537" hidden="1" x14ac:dyDescent="0.25"/>
    <row r="57538" hidden="1" x14ac:dyDescent="0.25"/>
    <row r="57539" hidden="1" x14ac:dyDescent="0.25"/>
    <row r="57540" hidden="1" x14ac:dyDescent="0.25"/>
    <row r="57541" hidden="1" x14ac:dyDescent="0.25"/>
    <row r="57542" hidden="1" x14ac:dyDescent="0.25"/>
    <row r="57543" hidden="1" x14ac:dyDescent="0.25"/>
    <row r="57544" hidden="1" x14ac:dyDescent="0.25"/>
    <row r="57545" hidden="1" x14ac:dyDescent="0.25"/>
    <row r="57546" hidden="1" x14ac:dyDescent="0.25"/>
    <row r="57547" hidden="1" x14ac:dyDescent="0.25"/>
    <row r="57548" hidden="1" x14ac:dyDescent="0.25"/>
    <row r="57549" hidden="1" x14ac:dyDescent="0.25"/>
    <row r="57550" hidden="1" x14ac:dyDescent="0.25"/>
    <row r="57551" hidden="1" x14ac:dyDescent="0.25"/>
    <row r="57552" hidden="1" x14ac:dyDescent="0.25"/>
    <row r="57553" hidden="1" x14ac:dyDescent="0.25"/>
    <row r="57554" hidden="1" x14ac:dyDescent="0.25"/>
    <row r="57555" hidden="1" x14ac:dyDescent="0.25"/>
    <row r="57556" hidden="1" x14ac:dyDescent="0.25"/>
    <row r="57557" hidden="1" x14ac:dyDescent="0.25"/>
    <row r="57558" hidden="1" x14ac:dyDescent="0.25"/>
    <row r="57559" hidden="1" x14ac:dyDescent="0.25"/>
    <row r="57560" hidden="1" x14ac:dyDescent="0.25"/>
    <row r="57561" hidden="1" x14ac:dyDescent="0.25"/>
    <row r="57562" hidden="1" x14ac:dyDescent="0.25"/>
    <row r="57563" hidden="1" x14ac:dyDescent="0.25"/>
    <row r="57564" hidden="1" x14ac:dyDescent="0.25"/>
    <row r="57565" hidden="1" x14ac:dyDescent="0.25"/>
    <row r="57566" hidden="1" x14ac:dyDescent="0.25"/>
    <row r="57567" hidden="1" x14ac:dyDescent="0.25"/>
    <row r="57568" hidden="1" x14ac:dyDescent="0.25"/>
    <row r="57569" hidden="1" x14ac:dyDescent="0.25"/>
    <row r="57570" hidden="1" x14ac:dyDescent="0.25"/>
    <row r="57571" hidden="1" x14ac:dyDescent="0.25"/>
    <row r="57572" hidden="1" x14ac:dyDescent="0.25"/>
    <row r="57573" hidden="1" x14ac:dyDescent="0.25"/>
    <row r="57574" hidden="1" x14ac:dyDescent="0.25"/>
    <row r="57575" hidden="1" x14ac:dyDescent="0.25"/>
    <row r="57576" hidden="1" x14ac:dyDescent="0.25"/>
    <row r="57577" hidden="1" x14ac:dyDescent="0.25"/>
    <row r="57578" hidden="1" x14ac:dyDescent="0.25"/>
    <row r="57579" hidden="1" x14ac:dyDescent="0.25"/>
    <row r="57580" hidden="1" x14ac:dyDescent="0.25"/>
    <row r="57581" hidden="1" x14ac:dyDescent="0.25"/>
    <row r="57582" hidden="1" x14ac:dyDescent="0.25"/>
    <row r="57583" hidden="1" x14ac:dyDescent="0.25"/>
    <row r="57584" hidden="1" x14ac:dyDescent="0.25"/>
    <row r="57585" hidden="1" x14ac:dyDescent="0.25"/>
    <row r="57586" hidden="1" x14ac:dyDescent="0.25"/>
    <row r="57587" hidden="1" x14ac:dyDescent="0.25"/>
    <row r="57588" hidden="1" x14ac:dyDescent="0.25"/>
    <row r="57589" hidden="1" x14ac:dyDescent="0.25"/>
    <row r="57590" hidden="1" x14ac:dyDescent="0.25"/>
    <row r="57591" hidden="1" x14ac:dyDescent="0.25"/>
    <row r="57592" hidden="1" x14ac:dyDescent="0.25"/>
    <row r="57593" hidden="1" x14ac:dyDescent="0.25"/>
    <row r="57594" hidden="1" x14ac:dyDescent="0.25"/>
    <row r="57595" hidden="1" x14ac:dyDescent="0.25"/>
    <row r="57596" hidden="1" x14ac:dyDescent="0.25"/>
    <row r="57597" hidden="1" x14ac:dyDescent="0.25"/>
    <row r="57598" hidden="1" x14ac:dyDescent="0.25"/>
    <row r="57599" hidden="1" x14ac:dyDescent="0.25"/>
    <row r="57600" hidden="1" x14ac:dyDescent="0.25"/>
    <row r="57601" hidden="1" x14ac:dyDescent="0.25"/>
    <row r="57602" hidden="1" x14ac:dyDescent="0.25"/>
    <row r="57603" hidden="1" x14ac:dyDescent="0.25"/>
    <row r="57604" hidden="1" x14ac:dyDescent="0.25"/>
    <row r="57605" hidden="1" x14ac:dyDescent="0.25"/>
    <row r="57606" hidden="1" x14ac:dyDescent="0.25"/>
    <row r="57607" hidden="1" x14ac:dyDescent="0.25"/>
    <row r="57608" hidden="1" x14ac:dyDescent="0.25"/>
    <row r="57609" hidden="1" x14ac:dyDescent="0.25"/>
    <row r="57610" hidden="1" x14ac:dyDescent="0.25"/>
    <row r="57611" hidden="1" x14ac:dyDescent="0.25"/>
    <row r="57612" hidden="1" x14ac:dyDescent="0.25"/>
    <row r="57613" hidden="1" x14ac:dyDescent="0.25"/>
    <row r="57614" hidden="1" x14ac:dyDescent="0.25"/>
    <row r="57615" hidden="1" x14ac:dyDescent="0.25"/>
    <row r="57616" hidden="1" x14ac:dyDescent="0.25"/>
    <row r="57617" hidden="1" x14ac:dyDescent="0.25"/>
    <row r="57618" hidden="1" x14ac:dyDescent="0.25"/>
    <row r="57619" hidden="1" x14ac:dyDescent="0.25"/>
    <row r="57620" hidden="1" x14ac:dyDescent="0.25"/>
    <row r="57621" hidden="1" x14ac:dyDescent="0.25"/>
    <row r="57622" hidden="1" x14ac:dyDescent="0.25"/>
    <row r="57623" hidden="1" x14ac:dyDescent="0.25"/>
    <row r="57624" hidden="1" x14ac:dyDescent="0.25"/>
    <row r="57625" hidden="1" x14ac:dyDescent="0.25"/>
    <row r="57626" hidden="1" x14ac:dyDescent="0.25"/>
    <row r="57627" hidden="1" x14ac:dyDescent="0.25"/>
    <row r="57628" hidden="1" x14ac:dyDescent="0.25"/>
    <row r="57629" hidden="1" x14ac:dyDescent="0.25"/>
    <row r="57630" hidden="1" x14ac:dyDescent="0.25"/>
    <row r="57631" hidden="1" x14ac:dyDescent="0.25"/>
    <row r="57632" hidden="1" x14ac:dyDescent="0.25"/>
    <row r="57633" hidden="1" x14ac:dyDescent="0.25"/>
    <row r="57634" hidden="1" x14ac:dyDescent="0.25"/>
    <row r="57635" hidden="1" x14ac:dyDescent="0.25"/>
    <row r="57636" hidden="1" x14ac:dyDescent="0.25"/>
    <row r="57637" hidden="1" x14ac:dyDescent="0.25"/>
    <row r="57638" hidden="1" x14ac:dyDescent="0.25"/>
    <row r="57639" hidden="1" x14ac:dyDescent="0.25"/>
    <row r="57640" hidden="1" x14ac:dyDescent="0.25"/>
    <row r="57641" hidden="1" x14ac:dyDescent="0.25"/>
    <row r="57642" hidden="1" x14ac:dyDescent="0.25"/>
    <row r="57643" hidden="1" x14ac:dyDescent="0.25"/>
    <row r="57644" hidden="1" x14ac:dyDescent="0.25"/>
    <row r="57645" hidden="1" x14ac:dyDescent="0.25"/>
    <row r="57646" hidden="1" x14ac:dyDescent="0.25"/>
    <row r="57647" hidden="1" x14ac:dyDescent="0.25"/>
    <row r="57648" hidden="1" x14ac:dyDescent="0.25"/>
    <row r="57649" hidden="1" x14ac:dyDescent="0.25"/>
    <row r="57650" hidden="1" x14ac:dyDescent="0.25"/>
    <row r="57651" hidden="1" x14ac:dyDescent="0.25"/>
    <row r="57652" hidden="1" x14ac:dyDescent="0.25"/>
    <row r="57653" hidden="1" x14ac:dyDescent="0.25"/>
    <row r="57654" hidden="1" x14ac:dyDescent="0.25"/>
    <row r="57655" hidden="1" x14ac:dyDescent="0.25"/>
    <row r="57656" hidden="1" x14ac:dyDescent="0.25"/>
    <row r="57657" hidden="1" x14ac:dyDescent="0.25"/>
    <row r="57658" hidden="1" x14ac:dyDescent="0.25"/>
    <row r="57659" hidden="1" x14ac:dyDescent="0.25"/>
    <row r="57660" hidden="1" x14ac:dyDescent="0.25"/>
    <row r="57661" hidden="1" x14ac:dyDescent="0.25"/>
    <row r="57662" hidden="1" x14ac:dyDescent="0.25"/>
    <row r="57663" hidden="1" x14ac:dyDescent="0.25"/>
    <row r="57664" hidden="1" x14ac:dyDescent="0.25"/>
    <row r="57665" hidden="1" x14ac:dyDescent="0.25"/>
    <row r="57666" hidden="1" x14ac:dyDescent="0.25"/>
    <row r="57667" hidden="1" x14ac:dyDescent="0.25"/>
    <row r="57668" hidden="1" x14ac:dyDescent="0.25"/>
    <row r="57669" hidden="1" x14ac:dyDescent="0.25"/>
    <row r="57670" hidden="1" x14ac:dyDescent="0.25"/>
    <row r="57671" hidden="1" x14ac:dyDescent="0.25"/>
    <row r="57672" hidden="1" x14ac:dyDescent="0.25"/>
    <row r="57673" hidden="1" x14ac:dyDescent="0.25"/>
    <row r="57674" hidden="1" x14ac:dyDescent="0.25"/>
    <row r="57675" hidden="1" x14ac:dyDescent="0.25"/>
    <row r="57676" hidden="1" x14ac:dyDescent="0.25"/>
    <row r="57677" hidden="1" x14ac:dyDescent="0.25"/>
    <row r="57678" hidden="1" x14ac:dyDescent="0.25"/>
    <row r="57679" hidden="1" x14ac:dyDescent="0.25"/>
    <row r="57680" hidden="1" x14ac:dyDescent="0.25"/>
    <row r="57681" hidden="1" x14ac:dyDescent="0.25"/>
    <row r="57682" hidden="1" x14ac:dyDescent="0.25"/>
    <row r="57683" hidden="1" x14ac:dyDescent="0.25"/>
    <row r="57684" hidden="1" x14ac:dyDescent="0.25"/>
    <row r="57685" hidden="1" x14ac:dyDescent="0.25"/>
    <row r="57686" hidden="1" x14ac:dyDescent="0.25"/>
    <row r="57687" hidden="1" x14ac:dyDescent="0.25"/>
    <row r="57688" hidden="1" x14ac:dyDescent="0.25"/>
    <row r="57689" hidden="1" x14ac:dyDescent="0.25"/>
    <row r="57690" hidden="1" x14ac:dyDescent="0.25"/>
    <row r="57691" hidden="1" x14ac:dyDescent="0.25"/>
    <row r="57692" hidden="1" x14ac:dyDescent="0.25"/>
    <row r="57693" hidden="1" x14ac:dyDescent="0.25"/>
    <row r="57694" hidden="1" x14ac:dyDescent="0.25"/>
    <row r="57695" hidden="1" x14ac:dyDescent="0.25"/>
    <row r="57696" hidden="1" x14ac:dyDescent="0.25"/>
    <row r="57697" hidden="1" x14ac:dyDescent="0.25"/>
    <row r="57698" hidden="1" x14ac:dyDescent="0.25"/>
    <row r="57699" hidden="1" x14ac:dyDescent="0.25"/>
    <row r="57700" hidden="1" x14ac:dyDescent="0.25"/>
    <row r="57701" hidden="1" x14ac:dyDescent="0.25"/>
    <row r="57702" hidden="1" x14ac:dyDescent="0.25"/>
    <row r="57703" hidden="1" x14ac:dyDescent="0.25"/>
    <row r="57704" hidden="1" x14ac:dyDescent="0.25"/>
    <row r="57705" hidden="1" x14ac:dyDescent="0.25"/>
    <row r="57706" hidden="1" x14ac:dyDescent="0.25"/>
    <row r="57707" hidden="1" x14ac:dyDescent="0.25"/>
    <row r="57708" hidden="1" x14ac:dyDescent="0.25"/>
    <row r="57709" hidden="1" x14ac:dyDescent="0.25"/>
    <row r="57710" hidden="1" x14ac:dyDescent="0.25"/>
    <row r="57711" hidden="1" x14ac:dyDescent="0.25"/>
    <row r="57712" hidden="1" x14ac:dyDescent="0.25"/>
    <row r="57713" hidden="1" x14ac:dyDescent="0.25"/>
    <row r="57714" hidden="1" x14ac:dyDescent="0.25"/>
    <row r="57715" hidden="1" x14ac:dyDescent="0.25"/>
    <row r="57716" hidden="1" x14ac:dyDescent="0.25"/>
    <row r="57717" hidden="1" x14ac:dyDescent="0.25"/>
    <row r="57718" hidden="1" x14ac:dyDescent="0.25"/>
    <row r="57719" hidden="1" x14ac:dyDescent="0.25"/>
    <row r="57720" hidden="1" x14ac:dyDescent="0.25"/>
    <row r="57721" hidden="1" x14ac:dyDescent="0.25"/>
    <row r="57722" hidden="1" x14ac:dyDescent="0.25"/>
    <row r="57723" hidden="1" x14ac:dyDescent="0.25"/>
    <row r="57724" hidden="1" x14ac:dyDescent="0.25"/>
    <row r="57725" hidden="1" x14ac:dyDescent="0.25"/>
    <row r="57726" hidden="1" x14ac:dyDescent="0.25"/>
    <row r="57727" hidden="1" x14ac:dyDescent="0.25"/>
    <row r="57728" hidden="1" x14ac:dyDescent="0.25"/>
    <row r="57729" hidden="1" x14ac:dyDescent="0.25"/>
    <row r="57730" hidden="1" x14ac:dyDescent="0.25"/>
    <row r="57731" hidden="1" x14ac:dyDescent="0.25"/>
    <row r="57732" hidden="1" x14ac:dyDescent="0.25"/>
    <row r="57733" hidden="1" x14ac:dyDescent="0.25"/>
    <row r="57734" hidden="1" x14ac:dyDescent="0.25"/>
    <row r="57735" hidden="1" x14ac:dyDescent="0.25"/>
    <row r="57736" hidden="1" x14ac:dyDescent="0.25"/>
    <row r="57737" hidden="1" x14ac:dyDescent="0.25"/>
    <row r="57738" hidden="1" x14ac:dyDescent="0.25"/>
    <row r="57739" hidden="1" x14ac:dyDescent="0.25"/>
    <row r="57740" hidden="1" x14ac:dyDescent="0.25"/>
    <row r="57741" hidden="1" x14ac:dyDescent="0.25"/>
    <row r="57742" hidden="1" x14ac:dyDescent="0.25"/>
    <row r="57743" hidden="1" x14ac:dyDescent="0.25"/>
    <row r="57744" hidden="1" x14ac:dyDescent="0.25"/>
    <row r="57745" hidden="1" x14ac:dyDescent="0.25"/>
    <row r="57746" hidden="1" x14ac:dyDescent="0.25"/>
    <row r="57747" hidden="1" x14ac:dyDescent="0.25"/>
    <row r="57748" hidden="1" x14ac:dyDescent="0.25"/>
    <row r="57749" hidden="1" x14ac:dyDescent="0.25"/>
    <row r="57750" hidden="1" x14ac:dyDescent="0.25"/>
    <row r="57751" hidden="1" x14ac:dyDescent="0.25"/>
    <row r="57752" hidden="1" x14ac:dyDescent="0.25"/>
    <row r="57753" hidden="1" x14ac:dyDescent="0.25"/>
    <row r="57754" hidden="1" x14ac:dyDescent="0.25"/>
    <row r="57755" hidden="1" x14ac:dyDescent="0.25"/>
    <row r="57756" hidden="1" x14ac:dyDescent="0.25"/>
    <row r="57757" hidden="1" x14ac:dyDescent="0.25"/>
    <row r="57758" hidden="1" x14ac:dyDescent="0.25"/>
    <row r="57759" hidden="1" x14ac:dyDescent="0.25"/>
    <row r="57760" hidden="1" x14ac:dyDescent="0.25"/>
    <row r="57761" hidden="1" x14ac:dyDescent="0.25"/>
    <row r="57762" hidden="1" x14ac:dyDescent="0.25"/>
    <row r="57763" hidden="1" x14ac:dyDescent="0.25"/>
    <row r="57764" hidden="1" x14ac:dyDescent="0.25"/>
    <row r="57765" hidden="1" x14ac:dyDescent="0.25"/>
    <row r="57766" hidden="1" x14ac:dyDescent="0.25"/>
    <row r="57767" hidden="1" x14ac:dyDescent="0.25"/>
    <row r="57768" hidden="1" x14ac:dyDescent="0.25"/>
    <row r="57769" hidden="1" x14ac:dyDescent="0.25"/>
    <row r="57770" hidden="1" x14ac:dyDescent="0.25"/>
    <row r="57771" hidden="1" x14ac:dyDescent="0.25"/>
    <row r="57772" hidden="1" x14ac:dyDescent="0.25"/>
    <row r="57773" hidden="1" x14ac:dyDescent="0.25"/>
    <row r="57774" hidden="1" x14ac:dyDescent="0.25"/>
    <row r="57775" hidden="1" x14ac:dyDescent="0.25"/>
    <row r="57776" hidden="1" x14ac:dyDescent="0.25"/>
    <row r="57777" hidden="1" x14ac:dyDescent="0.25"/>
    <row r="57778" hidden="1" x14ac:dyDescent="0.25"/>
    <row r="57779" hidden="1" x14ac:dyDescent="0.25"/>
    <row r="57780" hidden="1" x14ac:dyDescent="0.25"/>
    <row r="57781" hidden="1" x14ac:dyDescent="0.25"/>
    <row r="57782" hidden="1" x14ac:dyDescent="0.25"/>
    <row r="57783" hidden="1" x14ac:dyDescent="0.25"/>
    <row r="57784" hidden="1" x14ac:dyDescent="0.25"/>
    <row r="57785" hidden="1" x14ac:dyDescent="0.25"/>
    <row r="57786" hidden="1" x14ac:dyDescent="0.25"/>
    <row r="57787" hidden="1" x14ac:dyDescent="0.25"/>
    <row r="57788" hidden="1" x14ac:dyDescent="0.25"/>
    <row r="57789" hidden="1" x14ac:dyDescent="0.25"/>
    <row r="57790" hidden="1" x14ac:dyDescent="0.25"/>
    <row r="57791" hidden="1" x14ac:dyDescent="0.25"/>
    <row r="57792" hidden="1" x14ac:dyDescent="0.25"/>
    <row r="57793" hidden="1" x14ac:dyDescent="0.25"/>
    <row r="57794" hidden="1" x14ac:dyDescent="0.25"/>
    <row r="57795" hidden="1" x14ac:dyDescent="0.25"/>
    <row r="57796" hidden="1" x14ac:dyDescent="0.25"/>
    <row r="57797" hidden="1" x14ac:dyDescent="0.25"/>
    <row r="57798" hidden="1" x14ac:dyDescent="0.25"/>
    <row r="57799" hidden="1" x14ac:dyDescent="0.25"/>
    <row r="57800" hidden="1" x14ac:dyDescent="0.25"/>
    <row r="57801" hidden="1" x14ac:dyDescent="0.25"/>
    <row r="57802" hidden="1" x14ac:dyDescent="0.25"/>
    <row r="57803" hidden="1" x14ac:dyDescent="0.25"/>
    <row r="57804" hidden="1" x14ac:dyDescent="0.25"/>
    <row r="57805" hidden="1" x14ac:dyDescent="0.25"/>
    <row r="57806" hidden="1" x14ac:dyDescent="0.25"/>
    <row r="57807" hidden="1" x14ac:dyDescent="0.25"/>
    <row r="57808" hidden="1" x14ac:dyDescent="0.25"/>
    <row r="57809" hidden="1" x14ac:dyDescent="0.25"/>
    <row r="57810" hidden="1" x14ac:dyDescent="0.25"/>
    <row r="57811" hidden="1" x14ac:dyDescent="0.25"/>
    <row r="57812" hidden="1" x14ac:dyDescent="0.25"/>
    <row r="57813" hidden="1" x14ac:dyDescent="0.25"/>
    <row r="57814" hidden="1" x14ac:dyDescent="0.25"/>
    <row r="57815" hidden="1" x14ac:dyDescent="0.25"/>
    <row r="57816" hidden="1" x14ac:dyDescent="0.25"/>
    <row r="57817" hidden="1" x14ac:dyDescent="0.25"/>
    <row r="57818" hidden="1" x14ac:dyDescent="0.25"/>
    <row r="57819" hidden="1" x14ac:dyDescent="0.25"/>
    <row r="57820" hidden="1" x14ac:dyDescent="0.25"/>
    <row r="57821" hidden="1" x14ac:dyDescent="0.25"/>
    <row r="57822" hidden="1" x14ac:dyDescent="0.25"/>
    <row r="57823" hidden="1" x14ac:dyDescent="0.25"/>
    <row r="57824" hidden="1" x14ac:dyDescent="0.25"/>
    <row r="57825" hidden="1" x14ac:dyDescent="0.25"/>
    <row r="57826" hidden="1" x14ac:dyDescent="0.25"/>
    <row r="57827" hidden="1" x14ac:dyDescent="0.25"/>
    <row r="57828" hidden="1" x14ac:dyDescent="0.25"/>
    <row r="57829" hidden="1" x14ac:dyDescent="0.25"/>
    <row r="57830" hidden="1" x14ac:dyDescent="0.25"/>
    <row r="57831" hidden="1" x14ac:dyDescent="0.25"/>
    <row r="57832" hidden="1" x14ac:dyDescent="0.25"/>
    <row r="57833" hidden="1" x14ac:dyDescent="0.25"/>
    <row r="57834" hidden="1" x14ac:dyDescent="0.25"/>
    <row r="57835" hidden="1" x14ac:dyDescent="0.25"/>
    <row r="57836" hidden="1" x14ac:dyDescent="0.25"/>
    <row r="57837" hidden="1" x14ac:dyDescent="0.25"/>
    <row r="57838" hidden="1" x14ac:dyDescent="0.25"/>
    <row r="57839" hidden="1" x14ac:dyDescent="0.25"/>
    <row r="57840" hidden="1" x14ac:dyDescent="0.25"/>
    <row r="57841" hidden="1" x14ac:dyDescent="0.25"/>
    <row r="57842" hidden="1" x14ac:dyDescent="0.25"/>
    <row r="57843" hidden="1" x14ac:dyDescent="0.25"/>
    <row r="57844" hidden="1" x14ac:dyDescent="0.25"/>
    <row r="57845" hidden="1" x14ac:dyDescent="0.25"/>
    <row r="57846" hidden="1" x14ac:dyDescent="0.25"/>
    <row r="57847" hidden="1" x14ac:dyDescent="0.25"/>
    <row r="57848" hidden="1" x14ac:dyDescent="0.25"/>
    <row r="57849" hidden="1" x14ac:dyDescent="0.25"/>
    <row r="57850" hidden="1" x14ac:dyDescent="0.25"/>
    <row r="57851" hidden="1" x14ac:dyDescent="0.25"/>
    <row r="57852" hidden="1" x14ac:dyDescent="0.25"/>
    <row r="57853" hidden="1" x14ac:dyDescent="0.25"/>
    <row r="57854" hidden="1" x14ac:dyDescent="0.25"/>
    <row r="57855" hidden="1" x14ac:dyDescent="0.25"/>
    <row r="57856" hidden="1" x14ac:dyDescent="0.25"/>
    <row r="57857" hidden="1" x14ac:dyDescent="0.25"/>
    <row r="57858" hidden="1" x14ac:dyDescent="0.25"/>
    <row r="57859" hidden="1" x14ac:dyDescent="0.25"/>
    <row r="57860" hidden="1" x14ac:dyDescent="0.25"/>
    <row r="57861" hidden="1" x14ac:dyDescent="0.25"/>
    <row r="57862" hidden="1" x14ac:dyDescent="0.25"/>
    <row r="57863" hidden="1" x14ac:dyDescent="0.25"/>
    <row r="57864" hidden="1" x14ac:dyDescent="0.25"/>
    <row r="57865" hidden="1" x14ac:dyDescent="0.25"/>
    <row r="57866" hidden="1" x14ac:dyDescent="0.25"/>
    <row r="57867" hidden="1" x14ac:dyDescent="0.25"/>
    <row r="57868" hidden="1" x14ac:dyDescent="0.25"/>
    <row r="57869" hidden="1" x14ac:dyDescent="0.25"/>
    <row r="57870" hidden="1" x14ac:dyDescent="0.25"/>
    <row r="57871" hidden="1" x14ac:dyDescent="0.25"/>
    <row r="57872" hidden="1" x14ac:dyDescent="0.25"/>
    <row r="57873" hidden="1" x14ac:dyDescent="0.25"/>
    <row r="57874" hidden="1" x14ac:dyDescent="0.25"/>
    <row r="57875" hidden="1" x14ac:dyDescent="0.25"/>
    <row r="57876" hidden="1" x14ac:dyDescent="0.25"/>
    <row r="57877" hidden="1" x14ac:dyDescent="0.25"/>
    <row r="57878" hidden="1" x14ac:dyDescent="0.25"/>
    <row r="57879" hidden="1" x14ac:dyDescent="0.25"/>
    <row r="57880" hidden="1" x14ac:dyDescent="0.25"/>
    <row r="57881" hidden="1" x14ac:dyDescent="0.25"/>
    <row r="57882" hidden="1" x14ac:dyDescent="0.25"/>
    <row r="57883" hidden="1" x14ac:dyDescent="0.25"/>
    <row r="57884" hidden="1" x14ac:dyDescent="0.25"/>
    <row r="57885" hidden="1" x14ac:dyDescent="0.25"/>
    <row r="57886" hidden="1" x14ac:dyDescent="0.25"/>
    <row r="57887" hidden="1" x14ac:dyDescent="0.25"/>
    <row r="57888" hidden="1" x14ac:dyDescent="0.25"/>
    <row r="57889" hidden="1" x14ac:dyDescent="0.25"/>
    <row r="57890" hidden="1" x14ac:dyDescent="0.25"/>
    <row r="57891" hidden="1" x14ac:dyDescent="0.25"/>
    <row r="57892" hidden="1" x14ac:dyDescent="0.25"/>
    <row r="57893" hidden="1" x14ac:dyDescent="0.25"/>
    <row r="57894" hidden="1" x14ac:dyDescent="0.25"/>
    <row r="57895" hidden="1" x14ac:dyDescent="0.25"/>
    <row r="57896" hidden="1" x14ac:dyDescent="0.25"/>
    <row r="57897" hidden="1" x14ac:dyDescent="0.25"/>
    <row r="57898" hidden="1" x14ac:dyDescent="0.25"/>
    <row r="57899" hidden="1" x14ac:dyDescent="0.25"/>
    <row r="57900" hidden="1" x14ac:dyDescent="0.25"/>
    <row r="57901" hidden="1" x14ac:dyDescent="0.25"/>
    <row r="57902" hidden="1" x14ac:dyDescent="0.25"/>
    <row r="57903" hidden="1" x14ac:dyDescent="0.25"/>
    <row r="57904" hidden="1" x14ac:dyDescent="0.25"/>
    <row r="57905" hidden="1" x14ac:dyDescent="0.25"/>
    <row r="57906" hidden="1" x14ac:dyDescent="0.25"/>
    <row r="57907" hidden="1" x14ac:dyDescent="0.25"/>
    <row r="57908" hidden="1" x14ac:dyDescent="0.25"/>
    <row r="57909" hidden="1" x14ac:dyDescent="0.25"/>
    <row r="57910" hidden="1" x14ac:dyDescent="0.25"/>
    <row r="57911" hidden="1" x14ac:dyDescent="0.25"/>
    <row r="57912" hidden="1" x14ac:dyDescent="0.25"/>
    <row r="57913" hidden="1" x14ac:dyDescent="0.25"/>
    <row r="57914" hidden="1" x14ac:dyDescent="0.25"/>
    <row r="57915" hidden="1" x14ac:dyDescent="0.25"/>
    <row r="57916" hidden="1" x14ac:dyDescent="0.25"/>
    <row r="57917" hidden="1" x14ac:dyDescent="0.25"/>
    <row r="57918" hidden="1" x14ac:dyDescent="0.25"/>
    <row r="57919" hidden="1" x14ac:dyDescent="0.25"/>
    <row r="57920" hidden="1" x14ac:dyDescent="0.25"/>
    <row r="57921" hidden="1" x14ac:dyDescent="0.25"/>
    <row r="57922" hidden="1" x14ac:dyDescent="0.25"/>
    <row r="57923" hidden="1" x14ac:dyDescent="0.25"/>
    <row r="57924" hidden="1" x14ac:dyDescent="0.25"/>
    <row r="57925" hidden="1" x14ac:dyDescent="0.25"/>
    <row r="57926" hidden="1" x14ac:dyDescent="0.25"/>
    <row r="57927" hidden="1" x14ac:dyDescent="0.25"/>
    <row r="57928" hidden="1" x14ac:dyDescent="0.25"/>
    <row r="57929" hidden="1" x14ac:dyDescent="0.25"/>
    <row r="57930" hidden="1" x14ac:dyDescent="0.25"/>
    <row r="57931" hidden="1" x14ac:dyDescent="0.25"/>
    <row r="57932" hidden="1" x14ac:dyDescent="0.25"/>
    <row r="57933" hidden="1" x14ac:dyDescent="0.25"/>
    <row r="57934" hidden="1" x14ac:dyDescent="0.25"/>
    <row r="57935" hidden="1" x14ac:dyDescent="0.25"/>
    <row r="57936" hidden="1" x14ac:dyDescent="0.25"/>
    <row r="57937" hidden="1" x14ac:dyDescent="0.25"/>
    <row r="57938" hidden="1" x14ac:dyDescent="0.25"/>
    <row r="57939" hidden="1" x14ac:dyDescent="0.25"/>
    <row r="57940" hidden="1" x14ac:dyDescent="0.25"/>
    <row r="57941" hidden="1" x14ac:dyDescent="0.25"/>
    <row r="57942" hidden="1" x14ac:dyDescent="0.25"/>
    <row r="57943" hidden="1" x14ac:dyDescent="0.25"/>
    <row r="57944" hidden="1" x14ac:dyDescent="0.25"/>
    <row r="57945" hidden="1" x14ac:dyDescent="0.25"/>
    <row r="57946" hidden="1" x14ac:dyDescent="0.25"/>
    <row r="57947" hidden="1" x14ac:dyDescent="0.25"/>
    <row r="57948" hidden="1" x14ac:dyDescent="0.25"/>
    <row r="57949" hidden="1" x14ac:dyDescent="0.25"/>
    <row r="57950" hidden="1" x14ac:dyDescent="0.25"/>
    <row r="57951" hidden="1" x14ac:dyDescent="0.25"/>
    <row r="57952" hidden="1" x14ac:dyDescent="0.25"/>
    <row r="57953" hidden="1" x14ac:dyDescent="0.25"/>
    <row r="57954" hidden="1" x14ac:dyDescent="0.25"/>
    <row r="57955" hidden="1" x14ac:dyDescent="0.25"/>
    <row r="57956" hidden="1" x14ac:dyDescent="0.25"/>
    <row r="57957" hidden="1" x14ac:dyDescent="0.25"/>
    <row r="57958" hidden="1" x14ac:dyDescent="0.25"/>
    <row r="57959" hidden="1" x14ac:dyDescent="0.25"/>
    <row r="57960" hidden="1" x14ac:dyDescent="0.25"/>
    <row r="57961" hidden="1" x14ac:dyDescent="0.25"/>
    <row r="57962" hidden="1" x14ac:dyDescent="0.25"/>
    <row r="57963" hidden="1" x14ac:dyDescent="0.25"/>
    <row r="57964" hidden="1" x14ac:dyDescent="0.25"/>
    <row r="57965" hidden="1" x14ac:dyDescent="0.25"/>
    <row r="57966" hidden="1" x14ac:dyDescent="0.25"/>
    <row r="57967" hidden="1" x14ac:dyDescent="0.25"/>
    <row r="57968" hidden="1" x14ac:dyDescent="0.25"/>
    <row r="57969" hidden="1" x14ac:dyDescent="0.25"/>
    <row r="57970" hidden="1" x14ac:dyDescent="0.25"/>
    <row r="57971" hidden="1" x14ac:dyDescent="0.25"/>
    <row r="57972" hidden="1" x14ac:dyDescent="0.25"/>
    <row r="57973" hidden="1" x14ac:dyDescent="0.25"/>
    <row r="57974" hidden="1" x14ac:dyDescent="0.25"/>
    <row r="57975" hidden="1" x14ac:dyDescent="0.25"/>
    <row r="57976" hidden="1" x14ac:dyDescent="0.25"/>
    <row r="57977" hidden="1" x14ac:dyDescent="0.25"/>
    <row r="57978" hidden="1" x14ac:dyDescent="0.25"/>
    <row r="57979" hidden="1" x14ac:dyDescent="0.25"/>
    <row r="57980" hidden="1" x14ac:dyDescent="0.25"/>
    <row r="57981" hidden="1" x14ac:dyDescent="0.25"/>
    <row r="57982" hidden="1" x14ac:dyDescent="0.25"/>
    <row r="57983" hidden="1" x14ac:dyDescent="0.25"/>
    <row r="57984" hidden="1" x14ac:dyDescent="0.25"/>
    <row r="57985" hidden="1" x14ac:dyDescent="0.25"/>
    <row r="57986" hidden="1" x14ac:dyDescent="0.25"/>
    <row r="57987" hidden="1" x14ac:dyDescent="0.25"/>
    <row r="57988" hidden="1" x14ac:dyDescent="0.25"/>
    <row r="57989" hidden="1" x14ac:dyDescent="0.25"/>
    <row r="57990" hidden="1" x14ac:dyDescent="0.25"/>
    <row r="57991" hidden="1" x14ac:dyDescent="0.25"/>
    <row r="57992" hidden="1" x14ac:dyDescent="0.25"/>
    <row r="57993" hidden="1" x14ac:dyDescent="0.25"/>
    <row r="57994" hidden="1" x14ac:dyDescent="0.25"/>
    <row r="57995" hidden="1" x14ac:dyDescent="0.25"/>
    <row r="57996" hidden="1" x14ac:dyDescent="0.25"/>
    <row r="57997" hidden="1" x14ac:dyDescent="0.25"/>
    <row r="57998" hidden="1" x14ac:dyDescent="0.25"/>
    <row r="57999" hidden="1" x14ac:dyDescent="0.25"/>
    <row r="58000" hidden="1" x14ac:dyDescent="0.25"/>
    <row r="58001" hidden="1" x14ac:dyDescent="0.25"/>
    <row r="58002" hidden="1" x14ac:dyDescent="0.25"/>
    <row r="58003" hidden="1" x14ac:dyDescent="0.25"/>
    <row r="58004" hidden="1" x14ac:dyDescent="0.25"/>
    <row r="58005" hidden="1" x14ac:dyDescent="0.25"/>
    <row r="58006" hidden="1" x14ac:dyDescent="0.25"/>
    <row r="58007" hidden="1" x14ac:dyDescent="0.25"/>
    <row r="58008" hidden="1" x14ac:dyDescent="0.25"/>
    <row r="58009" hidden="1" x14ac:dyDescent="0.25"/>
    <row r="58010" hidden="1" x14ac:dyDescent="0.25"/>
    <row r="58011" hidden="1" x14ac:dyDescent="0.25"/>
    <row r="58012" hidden="1" x14ac:dyDescent="0.25"/>
    <row r="58013" hidden="1" x14ac:dyDescent="0.25"/>
    <row r="58014" hidden="1" x14ac:dyDescent="0.25"/>
    <row r="58015" hidden="1" x14ac:dyDescent="0.25"/>
    <row r="58016" hidden="1" x14ac:dyDescent="0.25"/>
    <row r="58017" hidden="1" x14ac:dyDescent="0.25"/>
    <row r="58018" hidden="1" x14ac:dyDescent="0.25"/>
    <row r="58019" hidden="1" x14ac:dyDescent="0.25"/>
    <row r="58020" hidden="1" x14ac:dyDescent="0.25"/>
    <row r="58021" hidden="1" x14ac:dyDescent="0.25"/>
    <row r="58022" hidden="1" x14ac:dyDescent="0.25"/>
    <row r="58023" hidden="1" x14ac:dyDescent="0.25"/>
    <row r="58024" hidden="1" x14ac:dyDescent="0.25"/>
    <row r="58025" hidden="1" x14ac:dyDescent="0.25"/>
    <row r="58026" hidden="1" x14ac:dyDescent="0.25"/>
    <row r="58027" hidden="1" x14ac:dyDescent="0.25"/>
    <row r="58028" hidden="1" x14ac:dyDescent="0.25"/>
    <row r="58029" hidden="1" x14ac:dyDescent="0.25"/>
    <row r="58030" hidden="1" x14ac:dyDescent="0.25"/>
    <row r="58031" hidden="1" x14ac:dyDescent="0.25"/>
    <row r="58032" hidden="1" x14ac:dyDescent="0.25"/>
    <row r="58033" hidden="1" x14ac:dyDescent="0.25"/>
    <row r="58034" hidden="1" x14ac:dyDescent="0.25"/>
    <row r="58035" hidden="1" x14ac:dyDescent="0.25"/>
    <row r="58036" hidden="1" x14ac:dyDescent="0.25"/>
    <row r="58037" hidden="1" x14ac:dyDescent="0.25"/>
    <row r="58038" hidden="1" x14ac:dyDescent="0.25"/>
    <row r="58039" hidden="1" x14ac:dyDescent="0.25"/>
    <row r="58040" hidden="1" x14ac:dyDescent="0.25"/>
    <row r="58041" hidden="1" x14ac:dyDescent="0.25"/>
    <row r="58042" hidden="1" x14ac:dyDescent="0.25"/>
    <row r="58043" hidden="1" x14ac:dyDescent="0.25"/>
    <row r="58044" hidden="1" x14ac:dyDescent="0.25"/>
    <row r="58045" hidden="1" x14ac:dyDescent="0.25"/>
    <row r="58046" hidden="1" x14ac:dyDescent="0.25"/>
    <row r="58047" hidden="1" x14ac:dyDescent="0.25"/>
    <row r="58048" hidden="1" x14ac:dyDescent="0.25"/>
    <row r="58049" hidden="1" x14ac:dyDescent="0.25"/>
    <row r="58050" hidden="1" x14ac:dyDescent="0.25"/>
    <row r="58051" hidden="1" x14ac:dyDescent="0.25"/>
    <row r="58052" hidden="1" x14ac:dyDescent="0.25"/>
    <row r="58053" hidden="1" x14ac:dyDescent="0.25"/>
    <row r="58054" hidden="1" x14ac:dyDescent="0.25"/>
    <row r="58055" hidden="1" x14ac:dyDescent="0.25"/>
    <row r="58056" hidden="1" x14ac:dyDescent="0.25"/>
    <row r="58057" hidden="1" x14ac:dyDescent="0.25"/>
    <row r="58058" hidden="1" x14ac:dyDescent="0.25"/>
    <row r="58059" hidden="1" x14ac:dyDescent="0.25"/>
    <row r="58060" hidden="1" x14ac:dyDescent="0.25"/>
    <row r="58061" hidden="1" x14ac:dyDescent="0.25"/>
    <row r="58062" hidden="1" x14ac:dyDescent="0.25"/>
    <row r="58063" hidden="1" x14ac:dyDescent="0.25"/>
    <row r="58064" hidden="1" x14ac:dyDescent="0.25"/>
    <row r="58065" hidden="1" x14ac:dyDescent="0.25"/>
    <row r="58066" hidden="1" x14ac:dyDescent="0.25"/>
    <row r="58067" hidden="1" x14ac:dyDescent="0.25"/>
    <row r="58068" hidden="1" x14ac:dyDescent="0.25"/>
    <row r="58069" hidden="1" x14ac:dyDescent="0.25"/>
    <row r="58070" hidden="1" x14ac:dyDescent="0.25"/>
    <row r="58071" hidden="1" x14ac:dyDescent="0.25"/>
    <row r="58072" hidden="1" x14ac:dyDescent="0.25"/>
    <row r="58073" hidden="1" x14ac:dyDescent="0.25"/>
    <row r="58074" hidden="1" x14ac:dyDescent="0.25"/>
    <row r="58075" hidden="1" x14ac:dyDescent="0.25"/>
    <row r="58076" hidden="1" x14ac:dyDescent="0.25"/>
    <row r="58077" hidden="1" x14ac:dyDescent="0.25"/>
    <row r="58078" hidden="1" x14ac:dyDescent="0.25"/>
    <row r="58079" hidden="1" x14ac:dyDescent="0.25"/>
    <row r="58080" hidden="1" x14ac:dyDescent="0.25"/>
    <row r="58081" hidden="1" x14ac:dyDescent="0.25"/>
    <row r="58082" hidden="1" x14ac:dyDescent="0.25"/>
    <row r="58083" hidden="1" x14ac:dyDescent="0.25"/>
    <row r="58084" hidden="1" x14ac:dyDescent="0.25"/>
    <row r="58085" hidden="1" x14ac:dyDescent="0.25"/>
    <row r="58086" hidden="1" x14ac:dyDescent="0.25"/>
    <row r="58087" hidden="1" x14ac:dyDescent="0.25"/>
    <row r="58088" hidden="1" x14ac:dyDescent="0.25"/>
    <row r="58089" hidden="1" x14ac:dyDescent="0.25"/>
    <row r="58090" hidden="1" x14ac:dyDescent="0.25"/>
    <row r="58091" hidden="1" x14ac:dyDescent="0.25"/>
    <row r="58092" hidden="1" x14ac:dyDescent="0.25"/>
    <row r="58093" hidden="1" x14ac:dyDescent="0.25"/>
    <row r="58094" hidden="1" x14ac:dyDescent="0.25"/>
    <row r="58095" hidden="1" x14ac:dyDescent="0.25"/>
    <row r="58096" hidden="1" x14ac:dyDescent="0.25"/>
    <row r="58097" hidden="1" x14ac:dyDescent="0.25"/>
    <row r="58098" hidden="1" x14ac:dyDescent="0.25"/>
    <row r="58099" hidden="1" x14ac:dyDescent="0.25"/>
    <row r="58100" hidden="1" x14ac:dyDescent="0.25"/>
    <row r="58101" hidden="1" x14ac:dyDescent="0.25"/>
    <row r="58102" hidden="1" x14ac:dyDescent="0.25"/>
    <row r="58103" hidden="1" x14ac:dyDescent="0.25"/>
    <row r="58104" hidden="1" x14ac:dyDescent="0.25"/>
    <row r="58105" hidden="1" x14ac:dyDescent="0.25"/>
    <row r="58106" hidden="1" x14ac:dyDescent="0.25"/>
    <row r="58107" hidden="1" x14ac:dyDescent="0.25"/>
    <row r="58108" hidden="1" x14ac:dyDescent="0.25"/>
    <row r="58109" hidden="1" x14ac:dyDescent="0.25"/>
    <row r="58110" hidden="1" x14ac:dyDescent="0.25"/>
    <row r="58111" hidden="1" x14ac:dyDescent="0.25"/>
    <row r="58112" hidden="1" x14ac:dyDescent="0.25"/>
    <row r="58113" hidden="1" x14ac:dyDescent="0.25"/>
    <row r="58114" hidden="1" x14ac:dyDescent="0.25"/>
    <row r="58115" hidden="1" x14ac:dyDescent="0.25"/>
    <row r="58116" hidden="1" x14ac:dyDescent="0.25"/>
    <row r="58117" hidden="1" x14ac:dyDescent="0.25"/>
    <row r="58118" hidden="1" x14ac:dyDescent="0.25"/>
    <row r="58119" hidden="1" x14ac:dyDescent="0.25"/>
    <row r="58120" hidden="1" x14ac:dyDescent="0.25"/>
    <row r="58121" hidden="1" x14ac:dyDescent="0.25"/>
    <row r="58122" hidden="1" x14ac:dyDescent="0.25"/>
    <row r="58123" hidden="1" x14ac:dyDescent="0.25"/>
    <row r="58124" hidden="1" x14ac:dyDescent="0.25"/>
    <row r="58125" hidden="1" x14ac:dyDescent="0.25"/>
    <row r="58126" hidden="1" x14ac:dyDescent="0.25"/>
    <row r="58127" hidden="1" x14ac:dyDescent="0.25"/>
    <row r="58128" hidden="1" x14ac:dyDescent="0.25"/>
    <row r="58129" hidden="1" x14ac:dyDescent="0.25"/>
    <row r="58130" hidden="1" x14ac:dyDescent="0.25"/>
    <row r="58131" hidden="1" x14ac:dyDescent="0.25"/>
    <row r="58132" hidden="1" x14ac:dyDescent="0.25"/>
    <row r="58133" hidden="1" x14ac:dyDescent="0.25"/>
    <row r="58134" hidden="1" x14ac:dyDescent="0.25"/>
    <row r="58135" hidden="1" x14ac:dyDescent="0.25"/>
    <row r="58136" hidden="1" x14ac:dyDescent="0.25"/>
    <row r="58137" hidden="1" x14ac:dyDescent="0.25"/>
    <row r="58138" hidden="1" x14ac:dyDescent="0.25"/>
    <row r="58139" hidden="1" x14ac:dyDescent="0.25"/>
    <row r="58140" hidden="1" x14ac:dyDescent="0.25"/>
    <row r="58141" hidden="1" x14ac:dyDescent="0.25"/>
    <row r="58142" hidden="1" x14ac:dyDescent="0.25"/>
    <row r="58143" hidden="1" x14ac:dyDescent="0.25"/>
    <row r="58144" hidden="1" x14ac:dyDescent="0.25"/>
    <row r="58145" hidden="1" x14ac:dyDescent="0.25"/>
    <row r="58146" hidden="1" x14ac:dyDescent="0.25"/>
    <row r="58147" hidden="1" x14ac:dyDescent="0.25"/>
    <row r="58148" hidden="1" x14ac:dyDescent="0.25"/>
    <row r="58149" hidden="1" x14ac:dyDescent="0.25"/>
    <row r="58150" hidden="1" x14ac:dyDescent="0.25"/>
    <row r="58151" hidden="1" x14ac:dyDescent="0.25"/>
    <row r="58152" hidden="1" x14ac:dyDescent="0.25"/>
    <row r="58153" hidden="1" x14ac:dyDescent="0.25"/>
    <row r="58154" hidden="1" x14ac:dyDescent="0.25"/>
    <row r="58155" hidden="1" x14ac:dyDescent="0.25"/>
    <row r="58156" hidden="1" x14ac:dyDescent="0.25"/>
    <row r="58157" hidden="1" x14ac:dyDescent="0.25"/>
    <row r="58158" hidden="1" x14ac:dyDescent="0.25"/>
    <row r="58159" hidden="1" x14ac:dyDescent="0.25"/>
    <row r="58160" hidden="1" x14ac:dyDescent="0.25"/>
    <row r="58161" hidden="1" x14ac:dyDescent="0.25"/>
    <row r="58162" hidden="1" x14ac:dyDescent="0.25"/>
    <row r="58163" hidden="1" x14ac:dyDescent="0.25"/>
    <row r="58164" hidden="1" x14ac:dyDescent="0.25"/>
    <row r="58165" hidden="1" x14ac:dyDescent="0.25"/>
    <row r="58166" hidden="1" x14ac:dyDescent="0.25"/>
    <row r="58167" hidden="1" x14ac:dyDescent="0.25"/>
    <row r="58168" hidden="1" x14ac:dyDescent="0.25"/>
    <row r="58169" hidden="1" x14ac:dyDescent="0.25"/>
    <row r="58170" hidden="1" x14ac:dyDescent="0.25"/>
    <row r="58171" hidden="1" x14ac:dyDescent="0.25"/>
    <row r="58172" hidden="1" x14ac:dyDescent="0.25"/>
    <row r="58173" hidden="1" x14ac:dyDescent="0.25"/>
    <row r="58174" hidden="1" x14ac:dyDescent="0.25"/>
    <row r="58175" hidden="1" x14ac:dyDescent="0.25"/>
    <row r="58176" hidden="1" x14ac:dyDescent="0.25"/>
    <row r="58177" hidden="1" x14ac:dyDescent="0.25"/>
    <row r="58178" hidden="1" x14ac:dyDescent="0.25"/>
    <row r="58179" hidden="1" x14ac:dyDescent="0.25"/>
    <row r="58180" hidden="1" x14ac:dyDescent="0.25"/>
    <row r="58181" hidden="1" x14ac:dyDescent="0.25"/>
    <row r="58182" hidden="1" x14ac:dyDescent="0.25"/>
    <row r="58183" hidden="1" x14ac:dyDescent="0.25"/>
    <row r="58184" hidden="1" x14ac:dyDescent="0.25"/>
    <row r="58185" hidden="1" x14ac:dyDescent="0.25"/>
    <row r="58186" hidden="1" x14ac:dyDescent="0.25"/>
    <row r="58187" hidden="1" x14ac:dyDescent="0.25"/>
    <row r="58188" hidden="1" x14ac:dyDescent="0.25"/>
    <row r="58189" hidden="1" x14ac:dyDescent="0.25"/>
    <row r="58190" hidden="1" x14ac:dyDescent="0.25"/>
    <row r="58191" hidden="1" x14ac:dyDescent="0.25"/>
    <row r="58192" hidden="1" x14ac:dyDescent="0.25"/>
    <row r="58193" hidden="1" x14ac:dyDescent="0.25"/>
    <row r="58194" hidden="1" x14ac:dyDescent="0.25"/>
    <row r="58195" hidden="1" x14ac:dyDescent="0.25"/>
    <row r="58196" hidden="1" x14ac:dyDescent="0.25"/>
    <row r="58197" hidden="1" x14ac:dyDescent="0.25"/>
    <row r="58198" hidden="1" x14ac:dyDescent="0.25"/>
    <row r="58199" hidden="1" x14ac:dyDescent="0.25"/>
    <row r="58200" hidden="1" x14ac:dyDescent="0.25"/>
    <row r="58201" hidden="1" x14ac:dyDescent="0.25"/>
    <row r="58202" hidden="1" x14ac:dyDescent="0.25"/>
    <row r="58203" hidden="1" x14ac:dyDescent="0.25"/>
    <row r="58204" hidden="1" x14ac:dyDescent="0.25"/>
    <row r="58205" hidden="1" x14ac:dyDescent="0.25"/>
    <row r="58206" hidden="1" x14ac:dyDescent="0.25"/>
    <row r="58207" hidden="1" x14ac:dyDescent="0.25"/>
    <row r="58208" hidden="1" x14ac:dyDescent="0.25"/>
    <row r="58209" hidden="1" x14ac:dyDescent="0.25"/>
    <row r="58210" hidden="1" x14ac:dyDescent="0.25"/>
    <row r="58211" hidden="1" x14ac:dyDescent="0.25"/>
    <row r="58212" hidden="1" x14ac:dyDescent="0.25"/>
    <row r="58213" hidden="1" x14ac:dyDescent="0.25"/>
    <row r="58214" hidden="1" x14ac:dyDescent="0.25"/>
    <row r="58215" hidden="1" x14ac:dyDescent="0.25"/>
    <row r="58216" hidden="1" x14ac:dyDescent="0.25"/>
    <row r="58217" hidden="1" x14ac:dyDescent="0.25"/>
    <row r="58218" hidden="1" x14ac:dyDescent="0.25"/>
    <row r="58219" hidden="1" x14ac:dyDescent="0.25"/>
    <row r="58220" hidden="1" x14ac:dyDescent="0.25"/>
    <row r="58221" hidden="1" x14ac:dyDescent="0.25"/>
    <row r="58222" hidden="1" x14ac:dyDescent="0.25"/>
    <row r="58223" hidden="1" x14ac:dyDescent="0.25"/>
    <row r="58224" hidden="1" x14ac:dyDescent="0.25"/>
    <row r="58225" hidden="1" x14ac:dyDescent="0.25"/>
    <row r="58226" hidden="1" x14ac:dyDescent="0.25"/>
    <row r="58227" hidden="1" x14ac:dyDescent="0.25"/>
    <row r="58228" hidden="1" x14ac:dyDescent="0.25"/>
    <row r="58229" hidden="1" x14ac:dyDescent="0.25"/>
    <row r="58230" hidden="1" x14ac:dyDescent="0.25"/>
    <row r="58231" hidden="1" x14ac:dyDescent="0.25"/>
    <row r="58232" hidden="1" x14ac:dyDescent="0.25"/>
    <row r="58233" hidden="1" x14ac:dyDescent="0.25"/>
    <row r="58234" hidden="1" x14ac:dyDescent="0.25"/>
    <row r="58235" hidden="1" x14ac:dyDescent="0.25"/>
    <row r="58236" hidden="1" x14ac:dyDescent="0.25"/>
    <row r="58237" hidden="1" x14ac:dyDescent="0.25"/>
    <row r="58238" hidden="1" x14ac:dyDescent="0.25"/>
    <row r="58239" hidden="1" x14ac:dyDescent="0.25"/>
    <row r="58240" hidden="1" x14ac:dyDescent="0.25"/>
    <row r="58241" hidden="1" x14ac:dyDescent="0.25"/>
    <row r="58242" hidden="1" x14ac:dyDescent="0.25"/>
    <row r="58243" hidden="1" x14ac:dyDescent="0.25"/>
    <row r="58244" hidden="1" x14ac:dyDescent="0.25"/>
    <row r="58245" hidden="1" x14ac:dyDescent="0.25"/>
    <row r="58246" hidden="1" x14ac:dyDescent="0.25"/>
    <row r="58247" hidden="1" x14ac:dyDescent="0.25"/>
    <row r="58248" hidden="1" x14ac:dyDescent="0.25"/>
    <row r="58249" hidden="1" x14ac:dyDescent="0.25"/>
    <row r="58250" hidden="1" x14ac:dyDescent="0.25"/>
    <row r="58251" hidden="1" x14ac:dyDescent="0.25"/>
    <row r="58252" hidden="1" x14ac:dyDescent="0.25"/>
    <row r="58253" hidden="1" x14ac:dyDescent="0.25"/>
    <row r="58254" hidden="1" x14ac:dyDescent="0.25"/>
    <row r="58255" hidden="1" x14ac:dyDescent="0.25"/>
    <row r="58256" hidden="1" x14ac:dyDescent="0.25"/>
    <row r="58257" hidden="1" x14ac:dyDescent="0.25"/>
    <row r="58258" hidden="1" x14ac:dyDescent="0.25"/>
    <row r="58259" hidden="1" x14ac:dyDescent="0.25"/>
    <row r="58260" hidden="1" x14ac:dyDescent="0.25"/>
    <row r="58261" hidden="1" x14ac:dyDescent="0.25"/>
    <row r="58262" hidden="1" x14ac:dyDescent="0.25"/>
    <row r="58263" hidden="1" x14ac:dyDescent="0.25"/>
    <row r="58264" hidden="1" x14ac:dyDescent="0.25"/>
    <row r="58265" hidden="1" x14ac:dyDescent="0.25"/>
    <row r="58266" hidden="1" x14ac:dyDescent="0.25"/>
    <row r="58267" hidden="1" x14ac:dyDescent="0.25"/>
    <row r="58268" hidden="1" x14ac:dyDescent="0.25"/>
    <row r="58269" hidden="1" x14ac:dyDescent="0.25"/>
    <row r="58270" hidden="1" x14ac:dyDescent="0.25"/>
    <row r="58271" hidden="1" x14ac:dyDescent="0.25"/>
    <row r="58272" hidden="1" x14ac:dyDescent="0.25"/>
    <row r="58273" hidden="1" x14ac:dyDescent="0.25"/>
    <row r="58274" hidden="1" x14ac:dyDescent="0.25"/>
    <row r="58275" hidden="1" x14ac:dyDescent="0.25"/>
    <row r="58276" hidden="1" x14ac:dyDescent="0.25"/>
    <row r="58277" hidden="1" x14ac:dyDescent="0.25"/>
    <row r="58278" hidden="1" x14ac:dyDescent="0.25"/>
    <row r="58279" hidden="1" x14ac:dyDescent="0.25"/>
    <row r="58280" hidden="1" x14ac:dyDescent="0.25"/>
    <row r="58281" hidden="1" x14ac:dyDescent="0.25"/>
    <row r="58282" hidden="1" x14ac:dyDescent="0.25"/>
    <row r="58283" hidden="1" x14ac:dyDescent="0.25"/>
    <row r="58284" hidden="1" x14ac:dyDescent="0.25"/>
    <row r="58285" hidden="1" x14ac:dyDescent="0.25"/>
    <row r="58286" hidden="1" x14ac:dyDescent="0.25"/>
    <row r="58287" hidden="1" x14ac:dyDescent="0.25"/>
    <row r="58288" hidden="1" x14ac:dyDescent="0.25"/>
    <row r="58289" hidden="1" x14ac:dyDescent="0.25"/>
    <row r="58290" hidden="1" x14ac:dyDescent="0.25"/>
    <row r="58291" hidden="1" x14ac:dyDescent="0.25"/>
    <row r="58292" hidden="1" x14ac:dyDescent="0.25"/>
    <row r="58293" hidden="1" x14ac:dyDescent="0.25"/>
    <row r="58294" hidden="1" x14ac:dyDescent="0.25"/>
    <row r="58295" hidden="1" x14ac:dyDescent="0.25"/>
    <row r="58296" hidden="1" x14ac:dyDescent="0.25"/>
    <row r="58297" hidden="1" x14ac:dyDescent="0.25"/>
    <row r="58298" hidden="1" x14ac:dyDescent="0.25"/>
    <row r="58299" hidden="1" x14ac:dyDescent="0.25"/>
    <row r="58300" hidden="1" x14ac:dyDescent="0.25"/>
    <row r="58301" hidden="1" x14ac:dyDescent="0.25"/>
    <row r="58302" hidden="1" x14ac:dyDescent="0.25"/>
    <row r="58303" hidden="1" x14ac:dyDescent="0.25"/>
    <row r="58304" hidden="1" x14ac:dyDescent="0.25"/>
    <row r="58305" hidden="1" x14ac:dyDescent="0.25"/>
    <row r="58306" hidden="1" x14ac:dyDescent="0.25"/>
    <row r="58307" hidden="1" x14ac:dyDescent="0.25"/>
    <row r="58308" hidden="1" x14ac:dyDescent="0.25"/>
    <row r="58309" hidden="1" x14ac:dyDescent="0.25"/>
    <row r="58310" hidden="1" x14ac:dyDescent="0.25"/>
    <row r="58311" hidden="1" x14ac:dyDescent="0.25"/>
    <row r="58312" hidden="1" x14ac:dyDescent="0.25"/>
    <row r="58313" hidden="1" x14ac:dyDescent="0.25"/>
    <row r="58314" hidden="1" x14ac:dyDescent="0.25"/>
    <row r="58315" hidden="1" x14ac:dyDescent="0.25"/>
    <row r="58316" hidden="1" x14ac:dyDescent="0.25"/>
    <row r="58317" hidden="1" x14ac:dyDescent="0.25"/>
    <row r="58318" hidden="1" x14ac:dyDescent="0.25"/>
    <row r="58319" hidden="1" x14ac:dyDescent="0.25"/>
    <row r="58320" hidden="1" x14ac:dyDescent="0.25"/>
    <row r="58321" hidden="1" x14ac:dyDescent="0.25"/>
    <row r="58322" hidden="1" x14ac:dyDescent="0.25"/>
    <row r="58323" hidden="1" x14ac:dyDescent="0.25"/>
    <row r="58324" hidden="1" x14ac:dyDescent="0.25"/>
    <row r="58325" hidden="1" x14ac:dyDescent="0.25"/>
    <row r="58326" hidden="1" x14ac:dyDescent="0.25"/>
    <row r="58327" hidden="1" x14ac:dyDescent="0.25"/>
    <row r="58328" hidden="1" x14ac:dyDescent="0.25"/>
    <row r="58329" hidden="1" x14ac:dyDescent="0.25"/>
    <row r="58330" hidden="1" x14ac:dyDescent="0.25"/>
    <row r="58331" hidden="1" x14ac:dyDescent="0.25"/>
    <row r="58332" hidden="1" x14ac:dyDescent="0.25"/>
    <row r="58333" hidden="1" x14ac:dyDescent="0.25"/>
    <row r="58334" hidden="1" x14ac:dyDescent="0.25"/>
    <row r="58335" hidden="1" x14ac:dyDescent="0.25"/>
    <row r="58336" hidden="1" x14ac:dyDescent="0.25"/>
    <row r="58337" hidden="1" x14ac:dyDescent="0.25"/>
    <row r="58338" hidden="1" x14ac:dyDescent="0.25"/>
    <row r="58339" hidden="1" x14ac:dyDescent="0.25"/>
    <row r="58340" hidden="1" x14ac:dyDescent="0.25"/>
    <row r="58341" hidden="1" x14ac:dyDescent="0.25"/>
    <row r="58342" hidden="1" x14ac:dyDescent="0.25"/>
    <row r="58343" hidden="1" x14ac:dyDescent="0.25"/>
    <row r="58344" hidden="1" x14ac:dyDescent="0.25"/>
    <row r="58345" hidden="1" x14ac:dyDescent="0.25"/>
    <row r="58346" hidden="1" x14ac:dyDescent="0.25"/>
    <row r="58347" hidden="1" x14ac:dyDescent="0.25"/>
    <row r="58348" hidden="1" x14ac:dyDescent="0.25"/>
    <row r="58349" hidden="1" x14ac:dyDescent="0.25"/>
    <row r="58350" hidden="1" x14ac:dyDescent="0.25"/>
    <row r="58351" hidden="1" x14ac:dyDescent="0.25"/>
    <row r="58352" hidden="1" x14ac:dyDescent="0.25"/>
    <row r="58353" hidden="1" x14ac:dyDescent="0.25"/>
    <row r="58354" hidden="1" x14ac:dyDescent="0.25"/>
    <row r="58355" hidden="1" x14ac:dyDescent="0.25"/>
    <row r="58356" hidden="1" x14ac:dyDescent="0.25"/>
    <row r="58357" hidden="1" x14ac:dyDescent="0.25"/>
    <row r="58358" hidden="1" x14ac:dyDescent="0.25"/>
    <row r="58359" hidden="1" x14ac:dyDescent="0.25"/>
    <row r="58360" hidden="1" x14ac:dyDescent="0.25"/>
    <row r="58361" hidden="1" x14ac:dyDescent="0.25"/>
    <row r="58362" hidden="1" x14ac:dyDescent="0.25"/>
    <row r="58363" hidden="1" x14ac:dyDescent="0.25"/>
    <row r="58364" hidden="1" x14ac:dyDescent="0.25"/>
    <row r="58365" hidden="1" x14ac:dyDescent="0.25"/>
    <row r="58366" hidden="1" x14ac:dyDescent="0.25"/>
    <row r="58367" hidden="1" x14ac:dyDescent="0.25"/>
    <row r="58368" hidden="1" x14ac:dyDescent="0.25"/>
    <row r="58369" hidden="1" x14ac:dyDescent="0.25"/>
    <row r="58370" hidden="1" x14ac:dyDescent="0.25"/>
    <row r="58371" hidden="1" x14ac:dyDescent="0.25"/>
    <row r="58372" hidden="1" x14ac:dyDescent="0.25"/>
    <row r="58373" hidden="1" x14ac:dyDescent="0.25"/>
    <row r="58374" hidden="1" x14ac:dyDescent="0.25"/>
    <row r="58375" hidden="1" x14ac:dyDescent="0.25"/>
    <row r="58376" hidden="1" x14ac:dyDescent="0.25"/>
    <row r="58377" hidden="1" x14ac:dyDescent="0.25"/>
    <row r="58378" hidden="1" x14ac:dyDescent="0.25"/>
    <row r="58379" hidden="1" x14ac:dyDescent="0.25"/>
    <row r="58380" hidden="1" x14ac:dyDescent="0.25"/>
    <row r="58381" hidden="1" x14ac:dyDescent="0.25"/>
    <row r="58382" hidden="1" x14ac:dyDescent="0.25"/>
    <row r="58383" hidden="1" x14ac:dyDescent="0.25"/>
    <row r="58384" hidden="1" x14ac:dyDescent="0.25"/>
    <row r="58385" hidden="1" x14ac:dyDescent="0.25"/>
    <row r="58386" hidden="1" x14ac:dyDescent="0.25"/>
    <row r="58387" hidden="1" x14ac:dyDescent="0.25"/>
    <row r="58388" hidden="1" x14ac:dyDescent="0.25"/>
    <row r="58389" hidden="1" x14ac:dyDescent="0.25"/>
    <row r="58390" hidden="1" x14ac:dyDescent="0.25"/>
    <row r="58391" hidden="1" x14ac:dyDescent="0.25"/>
    <row r="58392" hidden="1" x14ac:dyDescent="0.25"/>
    <row r="58393" hidden="1" x14ac:dyDescent="0.25"/>
    <row r="58394" hidden="1" x14ac:dyDescent="0.25"/>
    <row r="58395" hidden="1" x14ac:dyDescent="0.25"/>
    <row r="58396" hidden="1" x14ac:dyDescent="0.25"/>
    <row r="58397" hidden="1" x14ac:dyDescent="0.25"/>
    <row r="58398" hidden="1" x14ac:dyDescent="0.25"/>
    <row r="58399" hidden="1" x14ac:dyDescent="0.25"/>
    <row r="58400" hidden="1" x14ac:dyDescent="0.25"/>
    <row r="58401" hidden="1" x14ac:dyDescent="0.25"/>
    <row r="58402" hidden="1" x14ac:dyDescent="0.25"/>
    <row r="58403" hidden="1" x14ac:dyDescent="0.25"/>
    <row r="58404" hidden="1" x14ac:dyDescent="0.25"/>
    <row r="58405" hidden="1" x14ac:dyDescent="0.25"/>
    <row r="58406" hidden="1" x14ac:dyDescent="0.25"/>
    <row r="58407" hidden="1" x14ac:dyDescent="0.25"/>
    <row r="58408" hidden="1" x14ac:dyDescent="0.25"/>
    <row r="58409" hidden="1" x14ac:dyDescent="0.25"/>
    <row r="58410" hidden="1" x14ac:dyDescent="0.25"/>
    <row r="58411" hidden="1" x14ac:dyDescent="0.25"/>
    <row r="58412" hidden="1" x14ac:dyDescent="0.25"/>
    <row r="58413" hidden="1" x14ac:dyDescent="0.25"/>
    <row r="58414" hidden="1" x14ac:dyDescent="0.25"/>
    <row r="58415" hidden="1" x14ac:dyDescent="0.25"/>
    <row r="58416" hidden="1" x14ac:dyDescent="0.25"/>
    <row r="58417" hidden="1" x14ac:dyDescent="0.25"/>
    <row r="58418" hidden="1" x14ac:dyDescent="0.25"/>
    <row r="58419" hidden="1" x14ac:dyDescent="0.25"/>
    <row r="58420" hidden="1" x14ac:dyDescent="0.25"/>
    <row r="58421" hidden="1" x14ac:dyDescent="0.25"/>
    <row r="58422" hidden="1" x14ac:dyDescent="0.25"/>
    <row r="58423" hidden="1" x14ac:dyDescent="0.25"/>
    <row r="58424" hidden="1" x14ac:dyDescent="0.25"/>
    <row r="58425" hidden="1" x14ac:dyDescent="0.25"/>
    <row r="58426" hidden="1" x14ac:dyDescent="0.25"/>
    <row r="58427" hidden="1" x14ac:dyDescent="0.25"/>
    <row r="58428" hidden="1" x14ac:dyDescent="0.25"/>
    <row r="58429" hidden="1" x14ac:dyDescent="0.25"/>
    <row r="58430" hidden="1" x14ac:dyDescent="0.25"/>
    <row r="58431" hidden="1" x14ac:dyDescent="0.25"/>
    <row r="58432" hidden="1" x14ac:dyDescent="0.25"/>
    <row r="58433" hidden="1" x14ac:dyDescent="0.25"/>
    <row r="58434" hidden="1" x14ac:dyDescent="0.25"/>
    <row r="58435" hidden="1" x14ac:dyDescent="0.25"/>
    <row r="58436" hidden="1" x14ac:dyDescent="0.25"/>
    <row r="58437" hidden="1" x14ac:dyDescent="0.25"/>
    <row r="58438" hidden="1" x14ac:dyDescent="0.25"/>
    <row r="58439" hidden="1" x14ac:dyDescent="0.25"/>
    <row r="58440" hidden="1" x14ac:dyDescent="0.25"/>
    <row r="58441" hidden="1" x14ac:dyDescent="0.25"/>
    <row r="58442" hidden="1" x14ac:dyDescent="0.25"/>
    <row r="58443" hidden="1" x14ac:dyDescent="0.25"/>
    <row r="58444" hidden="1" x14ac:dyDescent="0.25"/>
    <row r="58445" hidden="1" x14ac:dyDescent="0.25"/>
    <row r="58446" hidden="1" x14ac:dyDescent="0.25"/>
    <row r="58447" hidden="1" x14ac:dyDescent="0.25"/>
    <row r="58448" hidden="1" x14ac:dyDescent="0.25"/>
    <row r="58449" hidden="1" x14ac:dyDescent="0.25"/>
    <row r="58450" hidden="1" x14ac:dyDescent="0.25"/>
    <row r="58451" hidden="1" x14ac:dyDescent="0.25"/>
    <row r="58452" hidden="1" x14ac:dyDescent="0.25"/>
    <row r="58453" hidden="1" x14ac:dyDescent="0.25"/>
    <row r="58454" hidden="1" x14ac:dyDescent="0.25"/>
    <row r="58455" hidden="1" x14ac:dyDescent="0.25"/>
    <row r="58456" hidden="1" x14ac:dyDescent="0.25"/>
    <row r="58457" hidden="1" x14ac:dyDescent="0.25"/>
    <row r="58458" hidden="1" x14ac:dyDescent="0.25"/>
    <row r="58459" hidden="1" x14ac:dyDescent="0.25"/>
    <row r="58460" hidden="1" x14ac:dyDescent="0.25"/>
    <row r="58461" hidden="1" x14ac:dyDescent="0.25"/>
    <row r="58462" hidden="1" x14ac:dyDescent="0.25"/>
    <row r="58463" hidden="1" x14ac:dyDescent="0.25"/>
    <row r="58464" hidden="1" x14ac:dyDescent="0.25"/>
    <row r="58465" hidden="1" x14ac:dyDescent="0.25"/>
    <row r="58466" hidden="1" x14ac:dyDescent="0.25"/>
    <row r="58467" hidden="1" x14ac:dyDescent="0.25"/>
    <row r="58468" hidden="1" x14ac:dyDescent="0.25"/>
    <row r="58469" hidden="1" x14ac:dyDescent="0.25"/>
    <row r="58470" hidden="1" x14ac:dyDescent="0.25"/>
    <row r="58471" hidden="1" x14ac:dyDescent="0.25"/>
    <row r="58472" hidden="1" x14ac:dyDescent="0.25"/>
    <row r="58473" hidden="1" x14ac:dyDescent="0.25"/>
    <row r="58474" hidden="1" x14ac:dyDescent="0.25"/>
    <row r="58475" hidden="1" x14ac:dyDescent="0.25"/>
    <row r="58476" hidden="1" x14ac:dyDescent="0.25"/>
    <row r="58477" hidden="1" x14ac:dyDescent="0.25"/>
    <row r="58478" hidden="1" x14ac:dyDescent="0.25"/>
    <row r="58479" hidden="1" x14ac:dyDescent="0.25"/>
    <row r="58480" hidden="1" x14ac:dyDescent="0.25"/>
    <row r="58481" hidden="1" x14ac:dyDescent="0.25"/>
    <row r="58482" hidden="1" x14ac:dyDescent="0.25"/>
    <row r="58483" hidden="1" x14ac:dyDescent="0.25"/>
    <row r="58484" hidden="1" x14ac:dyDescent="0.25"/>
    <row r="58485" hidden="1" x14ac:dyDescent="0.25"/>
    <row r="58486" hidden="1" x14ac:dyDescent="0.25"/>
    <row r="58487" hidden="1" x14ac:dyDescent="0.25"/>
    <row r="58488" hidden="1" x14ac:dyDescent="0.25"/>
    <row r="58489" hidden="1" x14ac:dyDescent="0.25"/>
    <row r="58490" hidden="1" x14ac:dyDescent="0.25"/>
    <row r="58491" hidden="1" x14ac:dyDescent="0.25"/>
    <row r="58492" hidden="1" x14ac:dyDescent="0.25"/>
    <row r="58493" hidden="1" x14ac:dyDescent="0.25"/>
    <row r="58494" hidden="1" x14ac:dyDescent="0.25"/>
    <row r="58495" hidden="1" x14ac:dyDescent="0.25"/>
    <row r="58496" hidden="1" x14ac:dyDescent="0.25"/>
    <row r="58497" hidden="1" x14ac:dyDescent="0.25"/>
    <row r="58498" hidden="1" x14ac:dyDescent="0.25"/>
    <row r="58499" hidden="1" x14ac:dyDescent="0.25"/>
    <row r="58500" hidden="1" x14ac:dyDescent="0.25"/>
    <row r="58501" hidden="1" x14ac:dyDescent="0.25"/>
    <row r="58502" hidden="1" x14ac:dyDescent="0.25"/>
    <row r="58503" hidden="1" x14ac:dyDescent="0.25"/>
    <row r="58504" hidden="1" x14ac:dyDescent="0.25"/>
    <row r="58505" hidden="1" x14ac:dyDescent="0.25"/>
    <row r="58506" hidden="1" x14ac:dyDescent="0.25"/>
    <row r="58507" hidden="1" x14ac:dyDescent="0.25"/>
    <row r="58508" hidden="1" x14ac:dyDescent="0.25"/>
    <row r="58509" hidden="1" x14ac:dyDescent="0.25"/>
    <row r="58510" hidden="1" x14ac:dyDescent="0.25"/>
    <row r="58511" hidden="1" x14ac:dyDescent="0.25"/>
    <row r="58512" hidden="1" x14ac:dyDescent="0.25"/>
    <row r="58513" hidden="1" x14ac:dyDescent="0.25"/>
    <row r="58514" hidden="1" x14ac:dyDescent="0.25"/>
    <row r="58515" hidden="1" x14ac:dyDescent="0.25"/>
    <row r="58516" hidden="1" x14ac:dyDescent="0.25"/>
    <row r="58517" hidden="1" x14ac:dyDescent="0.25"/>
    <row r="58518" hidden="1" x14ac:dyDescent="0.25"/>
    <row r="58519" hidden="1" x14ac:dyDescent="0.25"/>
    <row r="58520" hidden="1" x14ac:dyDescent="0.25"/>
    <row r="58521" hidden="1" x14ac:dyDescent="0.25"/>
    <row r="58522" hidden="1" x14ac:dyDescent="0.25"/>
    <row r="58523" hidden="1" x14ac:dyDescent="0.25"/>
    <row r="58524" hidden="1" x14ac:dyDescent="0.25"/>
    <row r="58525" hidden="1" x14ac:dyDescent="0.25"/>
    <row r="58526" hidden="1" x14ac:dyDescent="0.25"/>
    <row r="58527" hidden="1" x14ac:dyDescent="0.25"/>
    <row r="58528" hidden="1" x14ac:dyDescent="0.25"/>
    <row r="58529" hidden="1" x14ac:dyDescent="0.25"/>
    <row r="58530" hidden="1" x14ac:dyDescent="0.25"/>
    <row r="58531" hidden="1" x14ac:dyDescent="0.25"/>
    <row r="58532" hidden="1" x14ac:dyDescent="0.25"/>
    <row r="58533" hidden="1" x14ac:dyDescent="0.25"/>
    <row r="58534" hidden="1" x14ac:dyDescent="0.25"/>
    <row r="58535" hidden="1" x14ac:dyDescent="0.25"/>
    <row r="58536" hidden="1" x14ac:dyDescent="0.25"/>
    <row r="58537" hidden="1" x14ac:dyDescent="0.25"/>
    <row r="58538" hidden="1" x14ac:dyDescent="0.25"/>
    <row r="58539" hidden="1" x14ac:dyDescent="0.25"/>
    <row r="58540" hidden="1" x14ac:dyDescent="0.25"/>
    <row r="58541" hidden="1" x14ac:dyDescent="0.25"/>
    <row r="58542" hidden="1" x14ac:dyDescent="0.25"/>
    <row r="58543" hidden="1" x14ac:dyDescent="0.25"/>
    <row r="58544" hidden="1" x14ac:dyDescent="0.25"/>
    <row r="58545" hidden="1" x14ac:dyDescent="0.25"/>
    <row r="58546" hidden="1" x14ac:dyDescent="0.25"/>
    <row r="58547" hidden="1" x14ac:dyDescent="0.25"/>
    <row r="58548" hidden="1" x14ac:dyDescent="0.25"/>
    <row r="58549" hidden="1" x14ac:dyDescent="0.25"/>
    <row r="58550" hidden="1" x14ac:dyDescent="0.25"/>
    <row r="58551" hidden="1" x14ac:dyDescent="0.25"/>
    <row r="58552" hidden="1" x14ac:dyDescent="0.25"/>
    <row r="58553" hidden="1" x14ac:dyDescent="0.25"/>
    <row r="58554" hidden="1" x14ac:dyDescent="0.25"/>
    <row r="58555" hidden="1" x14ac:dyDescent="0.25"/>
    <row r="58556" hidden="1" x14ac:dyDescent="0.25"/>
    <row r="58557" hidden="1" x14ac:dyDescent="0.25"/>
    <row r="58558" hidden="1" x14ac:dyDescent="0.25"/>
    <row r="58559" hidden="1" x14ac:dyDescent="0.25"/>
    <row r="58560" hidden="1" x14ac:dyDescent="0.25"/>
    <row r="58561" hidden="1" x14ac:dyDescent="0.25"/>
    <row r="58562" hidden="1" x14ac:dyDescent="0.25"/>
    <row r="58563" hidden="1" x14ac:dyDescent="0.25"/>
    <row r="58564" hidden="1" x14ac:dyDescent="0.25"/>
    <row r="58565" hidden="1" x14ac:dyDescent="0.25"/>
    <row r="58566" hidden="1" x14ac:dyDescent="0.25"/>
    <row r="58567" hidden="1" x14ac:dyDescent="0.25"/>
    <row r="58568" hidden="1" x14ac:dyDescent="0.25"/>
    <row r="58569" hidden="1" x14ac:dyDescent="0.25"/>
    <row r="58570" hidden="1" x14ac:dyDescent="0.25"/>
    <row r="58571" hidden="1" x14ac:dyDescent="0.25"/>
    <row r="58572" hidden="1" x14ac:dyDescent="0.25"/>
    <row r="58573" hidden="1" x14ac:dyDescent="0.25"/>
    <row r="58574" hidden="1" x14ac:dyDescent="0.25"/>
    <row r="58575" hidden="1" x14ac:dyDescent="0.25"/>
    <row r="58576" hidden="1" x14ac:dyDescent="0.25"/>
    <row r="58577" hidden="1" x14ac:dyDescent="0.25"/>
    <row r="58578" hidden="1" x14ac:dyDescent="0.25"/>
    <row r="58579" hidden="1" x14ac:dyDescent="0.25"/>
    <row r="58580" hidden="1" x14ac:dyDescent="0.25"/>
    <row r="58581" hidden="1" x14ac:dyDescent="0.25"/>
    <row r="58582" hidden="1" x14ac:dyDescent="0.25"/>
    <row r="58583" hidden="1" x14ac:dyDescent="0.25"/>
    <row r="58584" hidden="1" x14ac:dyDescent="0.25"/>
    <row r="58585" hidden="1" x14ac:dyDescent="0.25"/>
    <row r="58586" hidden="1" x14ac:dyDescent="0.25"/>
    <row r="58587" hidden="1" x14ac:dyDescent="0.25"/>
    <row r="58588" hidden="1" x14ac:dyDescent="0.25"/>
    <row r="58589" hidden="1" x14ac:dyDescent="0.25"/>
    <row r="58590" hidden="1" x14ac:dyDescent="0.25"/>
    <row r="58591" hidden="1" x14ac:dyDescent="0.25"/>
    <row r="58592" hidden="1" x14ac:dyDescent="0.25"/>
    <row r="58593" hidden="1" x14ac:dyDescent="0.25"/>
    <row r="58594" hidden="1" x14ac:dyDescent="0.25"/>
    <row r="58595" hidden="1" x14ac:dyDescent="0.25"/>
    <row r="58596" hidden="1" x14ac:dyDescent="0.25"/>
    <row r="58597" hidden="1" x14ac:dyDescent="0.25"/>
    <row r="58598" hidden="1" x14ac:dyDescent="0.25"/>
    <row r="58599" hidden="1" x14ac:dyDescent="0.25"/>
    <row r="58600" hidden="1" x14ac:dyDescent="0.25"/>
    <row r="58601" hidden="1" x14ac:dyDescent="0.25"/>
    <row r="58602" hidden="1" x14ac:dyDescent="0.25"/>
    <row r="58603" hidden="1" x14ac:dyDescent="0.25"/>
    <row r="58604" hidden="1" x14ac:dyDescent="0.25"/>
    <row r="58605" hidden="1" x14ac:dyDescent="0.25"/>
    <row r="58606" hidden="1" x14ac:dyDescent="0.25"/>
    <row r="58607" hidden="1" x14ac:dyDescent="0.25"/>
    <row r="58608" hidden="1" x14ac:dyDescent="0.25"/>
    <row r="58609" hidden="1" x14ac:dyDescent="0.25"/>
    <row r="58610" hidden="1" x14ac:dyDescent="0.25"/>
    <row r="58611" hidden="1" x14ac:dyDescent="0.25"/>
    <row r="58612" hidden="1" x14ac:dyDescent="0.25"/>
    <row r="58613" hidden="1" x14ac:dyDescent="0.25"/>
    <row r="58614" hidden="1" x14ac:dyDescent="0.25"/>
    <row r="58615" hidden="1" x14ac:dyDescent="0.25"/>
    <row r="58616" hidden="1" x14ac:dyDescent="0.25"/>
    <row r="58617" hidden="1" x14ac:dyDescent="0.25"/>
    <row r="58618" hidden="1" x14ac:dyDescent="0.25"/>
    <row r="58619" hidden="1" x14ac:dyDescent="0.25"/>
    <row r="58620" hidden="1" x14ac:dyDescent="0.25"/>
    <row r="58621" hidden="1" x14ac:dyDescent="0.25"/>
    <row r="58622" hidden="1" x14ac:dyDescent="0.25"/>
    <row r="58623" hidden="1" x14ac:dyDescent="0.25"/>
    <row r="58624" hidden="1" x14ac:dyDescent="0.25"/>
    <row r="58625" hidden="1" x14ac:dyDescent="0.25"/>
    <row r="58626" hidden="1" x14ac:dyDescent="0.25"/>
    <row r="58627" hidden="1" x14ac:dyDescent="0.25"/>
    <row r="58628" hidden="1" x14ac:dyDescent="0.25"/>
    <row r="58629" hidden="1" x14ac:dyDescent="0.25"/>
    <row r="58630" hidden="1" x14ac:dyDescent="0.25"/>
    <row r="58631" hidden="1" x14ac:dyDescent="0.25"/>
    <row r="58632" hidden="1" x14ac:dyDescent="0.25"/>
    <row r="58633" hidden="1" x14ac:dyDescent="0.25"/>
    <row r="58634" hidden="1" x14ac:dyDescent="0.25"/>
    <row r="58635" hidden="1" x14ac:dyDescent="0.25"/>
    <row r="58636" hidden="1" x14ac:dyDescent="0.25"/>
    <row r="58637" hidden="1" x14ac:dyDescent="0.25"/>
    <row r="58638" hidden="1" x14ac:dyDescent="0.25"/>
    <row r="58639" hidden="1" x14ac:dyDescent="0.25"/>
    <row r="58640" hidden="1" x14ac:dyDescent="0.25"/>
    <row r="58641" hidden="1" x14ac:dyDescent="0.25"/>
    <row r="58642" hidden="1" x14ac:dyDescent="0.25"/>
    <row r="58643" hidden="1" x14ac:dyDescent="0.25"/>
    <row r="58644" hidden="1" x14ac:dyDescent="0.25"/>
    <row r="58645" hidden="1" x14ac:dyDescent="0.25"/>
    <row r="58646" hidden="1" x14ac:dyDescent="0.25"/>
    <row r="58647" hidden="1" x14ac:dyDescent="0.25"/>
    <row r="58648" hidden="1" x14ac:dyDescent="0.25"/>
    <row r="58649" hidden="1" x14ac:dyDescent="0.25"/>
    <row r="58650" hidden="1" x14ac:dyDescent="0.25"/>
    <row r="58651" hidden="1" x14ac:dyDescent="0.25"/>
    <row r="58652" hidden="1" x14ac:dyDescent="0.25"/>
    <row r="58653" hidden="1" x14ac:dyDescent="0.25"/>
    <row r="58654" hidden="1" x14ac:dyDescent="0.25"/>
    <row r="58655" hidden="1" x14ac:dyDescent="0.25"/>
    <row r="58656" hidden="1" x14ac:dyDescent="0.25"/>
    <row r="58657" hidden="1" x14ac:dyDescent="0.25"/>
    <row r="58658" hidden="1" x14ac:dyDescent="0.25"/>
    <row r="58659" hidden="1" x14ac:dyDescent="0.25"/>
    <row r="58660" hidden="1" x14ac:dyDescent="0.25"/>
    <row r="58661" hidden="1" x14ac:dyDescent="0.25"/>
    <row r="58662" hidden="1" x14ac:dyDescent="0.25"/>
    <row r="58663" hidden="1" x14ac:dyDescent="0.25"/>
    <row r="58664" hidden="1" x14ac:dyDescent="0.25"/>
    <row r="58665" hidden="1" x14ac:dyDescent="0.25"/>
    <row r="58666" hidden="1" x14ac:dyDescent="0.25"/>
    <row r="58667" hidden="1" x14ac:dyDescent="0.25"/>
    <row r="58668" hidden="1" x14ac:dyDescent="0.25"/>
    <row r="58669" hidden="1" x14ac:dyDescent="0.25"/>
    <row r="58670" hidden="1" x14ac:dyDescent="0.25"/>
    <row r="58671" hidden="1" x14ac:dyDescent="0.25"/>
    <row r="58672" hidden="1" x14ac:dyDescent="0.25"/>
    <row r="58673" hidden="1" x14ac:dyDescent="0.25"/>
    <row r="58674" hidden="1" x14ac:dyDescent="0.25"/>
    <row r="58675" hidden="1" x14ac:dyDescent="0.25"/>
    <row r="58676" hidden="1" x14ac:dyDescent="0.25"/>
    <row r="58677" hidden="1" x14ac:dyDescent="0.25"/>
    <row r="58678" hidden="1" x14ac:dyDescent="0.25"/>
    <row r="58679" hidden="1" x14ac:dyDescent="0.25"/>
    <row r="58680" hidden="1" x14ac:dyDescent="0.25"/>
    <row r="58681" hidden="1" x14ac:dyDescent="0.25"/>
    <row r="58682" hidden="1" x14ac:dyDescent="0.25"/>
    <row r="58683" hidden="1" x14ac:dyDescent="0.25"/>
    <row r="58684" hidden="1" x14ac:dyDescent="0.25"/>
    <row r="58685" hidden="1" x14ac:dyDescent="0.25"/>
    <row r="58686" hidden="1" x14ac:dyDescent="0.25"/>
    <row r="58687" hidden="1" x14ac:dyDescent="0.25"/>
    <row r="58688" hidden="1" x14ac:dyDescent="0.25"/>
    <row r="58689" hidden="1" x14ac:dyDescent="0.25"/>
    <row r="58690" hidden="1" x14ac:dyDescent="0.25"/>
    <row r="58691" hidden="1" x14ac:dyDescent="0.25"/>
    <row r="58692" hidden="1" x14ac:dyDescent="0.25"/>
    <row r="58693" hidden="1" x14ac:dyDescent="0.25"/>
    <row r="58694" hidden="1" x14ac:dyDescent="0.25"/>
    <row r="58695" hidden="1" x14ac:dyDescent="0.25"/>
    <row r="58696" hidden="1" x14ac:dyDescent="0.25"/>
    <row r="58697" hidden="1" x14ac:dyDescent="0.25"/>
    <row r="58698" hidden="1" x14ac:dyDescent="0.25"/>
    <row r="58699" hidden="1" x14ac:dyDescent="0.25"/>
    <row r="58700" hidden="1" x14ac:dyDescent="0.25"/>
    <row r="58701" hidden="1" x14ac:dyDescent="0.25"/>
    <row r="58702" hidden="1" x14ac:dyDescent="0.25"/>
    <row r="58703" hidden="1" x14ac:dyDescent="0.25"/>
    <row r="58704" hidden="1" x14ac:dyDescent="0.25"/>
    <row r="58705" hidden="1" x14ac:dyDescent="0.25"/>
    <row r="58706" hidden="1" x14ac:dyDescent="0.25"/>
    <row r="58707" hidden="1" x14ac:dyDescent="0.25"/>
    <row r="58708" hidden="1" x14ac:dyDescent="0.25"/>
    <row r="58709" hidden="1" x14ac:dyDescent="0.25"/>
    <row r="58710" hidden="1" x14ac:dyDescent="0.25"/>
    <row r="58711" hidden="1" x14ac:dyDescent="0.25"/>
    <row r="58712" hidden="1" x14ac:dyDescent="0.25"/>
    <row r="58713" hidden="1" x14ac:dyDescent="0.25"/>
    <row r="58714" hidden="1" x14ac:dyDescent="0.25"/>
    <row r="58715" hidden="1" x14ac:dyDescent="0.25"/>
    <row r="58716" hidden="1" x14ac:dyDescent="0.25"/>
    <row r="58717" hidden="1" x14ac:dyDescent="0.25"/>
    <row r="58718" hidden="1" x14ac:dyDescent="0.25"/>
    <row r="58719" hidden="1" x14ac:dyDescent="0.25"/>
    <row r="58720" hidden="1" x14ac:dyDescent="0.25"/>
    <row r="58721" hidden="1" x14ac:dyDescent="0.25"/>
    <row r="58722" hidden="1" x14ac:dyDescent="0.25"/>
    <row r="58723" hidden="1" x14ac:dyDescent="0.25"/>
    <row r="58724" hidden="1" x14ac:dyDescent="0.25"/>
    <row r="58725" hidden="1" x14ac:dyDescent="0.25"/>
    <row r="58726" hidden="1" x14ac:dyDescent="0.25"/>
    <row r="58727" hidden="1" x14ac:dyDescent="0.25"/>
    <row r="58728" hidden="1" x14ac:dyDescent="0.25"/>
    <row r="58729" hidden="1" x14ac:dyDescent="0.25"/>
    <row r="58730" hidden="1" x14ac:dyDescent="0.25"/>
    <row r="58731" hidden="1" x14ac:dyDescent="0.25"/>
    <row r="58732" hidden="1" x14ac:dyDescent="0.25"/>
    <row r="58733" hidden="1" x14ac:dyDescent="0.25"/>
    <row r="58734" hidden="1" x14ac:dyDescent="0.25"/>
    <row r="58735" hidden="1" x14ac:dyDescent="0.25"/>
    <row r="58736" hidden="1" x14ac:dyDescent="0.25"/>
    <row r="58737" hidden="1" x14ac:dyDescent="0.25"/>
    <row r="58738" hidden="1" x14ac:dyDescent="0.25"/>
    <row r="58739" hidden="1" x14ac:dyDescent="0.25"/>
    <row r="58740" hidden="1" x14ac:dyDescent="0.25"/>
    <row r="58741" hidden="1" x14ac:dyDescent="0.25"/>
    <row r="58742" hidden="1" x14ac:dyDescent="0.25"/>
    <row r="58743" hidden="1" x14ac:dyDescent="0.25"/>
    <row r="58744" hidden="1" x14ac:dyDescent="0.25"/>
    <row r="58745" hidden="1" x14ac:dyDescent="0.25"/>
    <row r="58746" hidden="1" x14ac:dyDescent="0.25"/>
    <row r="58747" hidden="1" x14ac:dyDescent="0.25"/>
    <row r="58748" hidden="1" x14ac:dyDescent="0.25"/>
    <row r="58749" hidden="1" x14ac:dyDescent="0.25"/>
    <row r="58750" hidden="1" x14ac:dyDescent="0.25"/>
    <row r="58751" hidden="1" x14ac:dyDescent="0.25"/>
    <row r="58752" hidden="1" x14ac:dyDescent="0.25"/>
    <row r="58753" hidden="1" x14ac:dyDescent="0.25"/>
    <row r="58754" hidden="1" x14ac:dyDescent="0.25"/>
    <row r="58755" hidden="1" x14ac:dyDescent="0.25"/>
    <row r="58756" hidden="1" x14ac:dyDescent="0.25"/>
    <row r="58757" hidden="1" x14ac:dyDescent="0.25"/>
    <row r="58758" hidden="1" x14ac:dyDescent="0.25"/>
    <row r="58759" hidden="1" x14ac:dyDescent="0.25"/>
    <row r="58760" hidden="1" x14ac:dyDescent="0.25"/>
    <row r="58761" hidden="1" x14ac:dyDescent="0.25"/>
    <row r="58762" hidden="1" x14ac:dyDescent="0.25"/>
    <row r="58763" hidden="1" x14ac:dyDescent="0.25"/>
    <row r="58764" hidden="1" x14ac:dyDescent="0.25"/>
    <row r="58765" hidden="1" x14ac:dyDescent="0.25"/>
    <row r="58766" hidden="1" x14ac:dyDescent="0.25"/>
    <row r="58767" hidden="1" x14ac:dyDescent="0.25"/>
    <row r="58768" hidden="1" x14ac:dyDescent="0.25"/>
    <row r="58769" hidden="1" x14ac:dyDescent="0.25"/>
    <row r="58770" hidden="1" x14ac:dyDescent="0.25"/>
    <row r="58771" hidden="1" x14ac:dyDescent="0.25"/>
    <row r="58772" hidden="1" x14ac:dyDescent="0.25"/>
    <row r="58773" hidden="1" x14ac:dyDescent="0.25"/>
    <row r="58774" hidden="1" x14ac:dyDescent="0.25"/>
    <row r="58775" hidden="1" x14ac:dyDescent="0.25"/>
    <row r="58776" hidden="1" x14ac:dyDescent="0.25"/>
    <row r="58777" hidden="1" x14ac:dyDescent="0.25"/>
    <row r="58778" hidden="1" x14ac:dyDescent="0.25"/>
    <row r="58779" hidden="1" x14ac:dyDescent="0.25"/>
    <row r="58780" hidden="1" x14ac:dyDescent="0.25"/>
    <row r="58781" hidden="1" x14ac:dyDescent="0.25"/>
    <row r="58782" hidden="1" x14ac:dyDescent="0.25"/>
    <row r="58783" hidden="1" x14ac:dyDescent="0.25"/>
    <row r="58784" hidden="1" x14ac:dyDescent="0.25"/>
    <row r="58785" hidden="1" x14ac:dyDescent="0.25"/>
    <row r="58786" hidden="1" x14ac:dyDescent="0.25"/>
    <row r="58787" hidden="1" x14ac:dyDescent="0.25"/>
    <row r="58788" hidden="1" x14ac:dyDescent="0.25"/>
    <row r="58789" hidden="1" x14ac:dyDescent="0.25"/>
    <row r="58790" hidden="1" x14ac:dyDescent="0.25"/>
    <row r="58791" hidden="1" x14ac:dyDescent="0.25"/>
    <row r="58792" hidden="1" x14ac:dyDescent="0.25"/>
    <row r="58793" hidden="1" x14ac:dyDescent="0.25"/>
    <row r="58794" hidden="1" x14ac:dyDescent="0.25"/>
    <row r="58795" hidden="1" x14ac:dyDescent="0.25"/>
    <row r="58796" hidden="1" x14ac:dyDescent="0.25"/>
    <row r="58797" hidden="1" x14ac:dyDescent="0.25"/>
    <row r="58798" hidden="1" x14ac:dyDescent="0.25"/>
    <row r="58799" hidden="1" x14ac:dyDescent="0.25"/>
    <row r="58800" hidden="1" x14ac:dyDescent="0.25"/>
    <row r="58801" hidden="1" x14ac:dyDescent="0.25"/>
    <row r="58802" hidden="1" x14ac:dyDescent="0.25"/>
    <row r="58803" hidden="1" x14ac:dyDescent="0.25"/>
    <row r="58804" hidden="1" x14ac:dyDescent="0.25"/>
    <row r="58805" hidden="1" x14ac:dyDescent="0.25"/>
    <row r="58806" hidden="1" x14ac:dyDescent="0.25"/>
    <row r="58807" hidden="1" x14ac:dyDescent="0.25"/>
    <row r="58808" hidden="1" x14ac:dyDescent="0.25"/>
    <row r="58809" hidden="1" x14ac:dyDescent="0.25"/>
    <row r="58810" hidden="1" x14ac:dyDescent="0.25"/>
    <row r="58811" hidden="1" x14ac:dyDescent="0.25"/>
    <row r="58812" hidden="1" x14ac:dyDescent="0.25"/>
    <row r="58813" hidden="1" x14ac:dyDescent="0.25"/>
    <row r="58814" hidden="1" x14ac:dyDescent="0.25"/>
    <row r="58815" hidden="1" x14ac:dyDescent="0.25"/>
    <row r="58816" hidden="1" x14ac:dyDescent="0.25"/>
    <row r="58817" hidden="1" x14ac:dyDescent="0.25"/>
    <row r="58818" hidden="1" x14ac:dyDescent="0.25"/>
    <row r="58819" hidden="1" x14ac:dyDescent="0.25"/>
    <row r="58820" hidden="1" x14ac:dyDescent="0.25"/>
    <row r="58821" hidden="1" x14ac:dyDescent="0.25"/>
    <row r="58822" hidden="1" x14ac:dyDescent="0.25"/>
    <row r="58823" hidden="1" x14ac:dyDescent="0.25"/>
    <row r="58824" hidden="1" x14ac:dyDescent="0.25"/>
    <row r="58825" hidden="1" x14ac:dyDescent="0.25"/>
    <row r="58826" hidden="1" x14ac:dyDescent="0.25"/>
    <row r="58827" hidden="1" x14ac:dyDescent="0.25"/>
    <row r="58828" hidden="1" x14ac:dyDescent="0.25"/>
    <row r="58829" hidden="1" x14ac:dyDescent="0.25"/>
    <row r="58830" hidden="1" x14ac:dyDescent="0.25"/>
    <row r="58831" hidden="1" x14ac:dyDescent="0.25"/>
    <row r="58832" hidden="1" x14ac:dyDescent="0.25"/>
    <row r="58833" hidden="1" x14ac:dyDescent="0.25"/>
    <row r="58834" hidden="1" x14ac:dyDescent="0.25"/>
    <row r="58835" hidden="1" x14ac:dyDescent="0.25"/>
    <row r="58836" hidden="1" x14ac:dyDescent="0.25"/>
    <row r="58837" hidden="1" x14ac:dyDescent="0.25"/>
    <row r="58838" hidden="1" x14ac:dyDescent="0.25"/>
    <row r="58839" hidden="1" x14ac:dyDescent="0.25"/>
    <row r="58840" hidden="1" x14ac:dyDescent="0.25"/>
    <row r="58841" hidden="1" x14ac:dyDescent="0.25"/>
    <row r="58842" hidden="1" x14ac:dyDescent="0.25"/>
    <row r="58843" hidden="1" x14ac:dyDescent="0.25"/>
    <row r="58844" hidden="1" x14ac:dyDescent="0.25"/>
    <row r="58845" hidden="1" x14ac:dyDescent="0.25"/>
    <row r="58846" hidden="1" x14ac:dyDescent="0.25"/>
    <row r="58847" hidden="1" x14ac:dyDescent="0.25"/>
    <row r="58848" hidden="1" x14ac:dyDescent="0.25"/>
    <row r="58849" hidden="1" x14ac:dyDescent="0.25"/>
    <row r="58850" hidden="1" x14ac:dyDescent="0.25"/>
    <row r="58851" hidden="1" x14ac:dyDescent="0.25"/>
    <row r="58852" hidden="1" x14ac:dyDescent="0.25"/>
    <row r="58853" hidden="1" x14ac:dyDescent="0.25"/>
    <row r="58854" hidden="1" x14ac:dyDescent="0.25"/>
    <row r="58855" hidden="1" x14ac:dyDescent="0.25"/>
    <row r="58856" hidden="1" x14ac:dyDescent="0.25"/>
    <row r="58857" hidden="1" x14ac:dyDescent="0.25"/>
    <row r="58858" hidden="1" x14ac:dyDescent="0.25"/>
    <row r="58859" hidden="1" x14ac:dyDescent="0.25"/>
    <row r="58860" hidden="1" x14ac:dyDescent="0.25"/>
    <row r="58861" hidden="1" x14ac:dyDescent="0.25"/>
    <row r="58862" hidden="1" x14ac:dyDescent="0.25"/>
    <row r="58863" hidden="1" x14ac:dyDescent="0.25"/>
    <row r="58864" hidden="1" x14ac:dyDescent="0.25"/>
    <row r="58865" hidden="1" x14ac:dyDescent="0.25"/>
    <row r="58866" hidden="1" x14ac:dyDescent="0.25"/>
    <row r="58867" hidden="1" x14ac:dyDescent="0.25"/>
    <row r="58868" hidden="1" x14ac:dyDescent="0.25"/>
    <row r="58869" hidden="1" x14ac:dyDescent="0.25"/>
    <row r="58870" hidden="1" x14ac:dyDescent="0.25"/>
    <row r="58871" hidden="1" x14ac:dyDescent="0.25"/>
    <row r="58872" hidden="1" x14ac:dyDescent="0.25"/>
    <row r="58873" hidden="1" x14ac:dyDescent="0.25"/>
    <row r="58874" hidden="1" x14ac:dyDescent="0.25"/>
    <row r="58875" hidden="1" x14ac:dyDescent="0.25"/>
    <row r="58876" hidden="1" x14ac:dyDescent="0.25"/>
    <row r="58877" hidden="1" x14ac:dyDescent="0.25"/>
    <row r="58878" hidden="1" x14ac:dyDescent="0.25"/>
    <row r="58879" hidden="1" x14ac:dyDescent="0.25"/>
    <row r="58880" hidden="1" x14ac:dyDescent="0.25"/>
    <row r="58881" hidden="1" x14ac:dyDescent="0.25"/>
    <row r="58882" hidden="1" x14ac:dyDescent="0.25"/>
    <row r="58883" hidden="1" x14ac:dyDescent="0.25"/>
    <row r="58884" hidden="1" x14ac:dyDescent="0.25"/>
    <row r="58885" hidden="1" x14ac:dyDescent="0.25"/>
    <row r="58886" hidden="1" x14ac:dyDescent="0.25"/>
    <row r="58887" hidden="1" x14ac:dyDescent="0.25"/>
    <row r="58888" hidden="1" x14ac:dyDescent="0.25"/>
    <row r="58889" hidden="1" x14ac:dyDescent="0.25"/>
    <row r="58890" hidden="1" x14ac:dyDescent="0.25"/>
    <row r="58891" hidden="1" x14ac:dyDescent="0.25"/>
    <row r="58892" hidden="1" x14ac:dyDescent="0.25"/>
    <row r="58893" hidden="1" x14ac:dyDescent="0.25"/>
    <row r="58894" hidden="1" x14ac:dyDescent="0.25"/>
    <row r="58895" hidden="1" x14ac:dyDescent="0.25"/>
    <row r="58896" hidden="1" x14ac:dyDescent="0.25"/>
    <row r="58897" hidden="1" x14ac:dyDescent="0.25"/>
    <row r="58898" hidden="1" x14ac:dyDescent="0.25"/>
    <row r="58899" hidden="1" x14ac:dyDescent="0.25"/>
    <row r="58900" hidden="1" x14ac:dyDescent="0.25"/>
    <row r="58901" hidden="1" x14ac:dyDescent="0.25"/>
    <row r="58902" hidden="1" x14ac:dyDescent="0.25"/>
    <row r="58903" hidden="1" x14ac:dyDescent="0.25"/>
    <row r="58904" hidden="1" x14ac:dyDescent="0.25"/>
    <row r="58905" hidden="1" x14ac:dyDescent="0.25"/>
    <row r="58906" hidden="1" x14ac:dyDescent="0.25"/>
    <row r="58907" hidden="1" x14ac:dyDescent="0.25"/>
    <row r="58908" hidden="1" x14ac:dyDescent="0.25"/>
    <row r="58909" hidden="1" x14ac:dyDescent="0.25"/>
    <row r="58910" hidden="1" x14ac:dyDescent="0.25"/>
    <row r="58911" hidden="1" x14ac:dyDescent="0.25"/>
    <row r="58912" hidden="1" x14ac:dyDescent="0.25"/>
    <row r="58913" hidden="1" x14ac:dyDescent="0.25"/>
    <row r="58914" hidden="1" x14ac:dyDescent="0.25"/>
    <row r="58915" hidden="1" x14ac:dyDescent="0.25"/>
    <row r="58916" hidden="1" x14ac:dyDescent="0.25"/>
    <row r="58917" hidden="1" x14ac:dyDescent="0.25"/>
    <row r="58918" hidden="1" x14ac:dyDescent="0.25"/>
    <row r="58919" hidden="1" x14ac:dyDescent="0.25"/>
    <row r="58920" hidden="1" x14ac:dyDescent="0.25"/>
    <row r="58921" hidden="1" x14ac:dyDescent="0.25"/>
    <row r="58922" hidden="1" x14ac:dyDescent="0.25"/>
    <row r="58923" hidden="1" x14ac:dyDescent="0.25"/>
    <row r="58924" hidden="1" x14ac:dyDescent="0.25"/>
    <row r="58925" hidden="1" x14ac:dyDescent="0.25"/>
    <row r="58926" hidden="1" x14ac:dyDescent="0.25"/>
    <row r="58927" hidden="1" x14ac:dyDescent="0.25"/>
    <row r="58928" hidden="1" x14ac:dyDescent="0.25"/>
    <row r="58929" hidden="1" x14ac:dyDescent="0.25"/>
    <row r="58930" hidden="1" x14ac:dyDescent="0.25"/>
    <row r="58931" hidden="1" x14ac:dyDescent="0.25"/>
    <row r="58932" hidden="1" x14ac:dyDescent="0.25"/>
    <row r="58933" hidden="1" x14ac:dyDescent="0.25"/>
    <row r="58934" hidden="1" x14ac:dyDescent="0.25"/>
    <row r="58935" hidden="1" x14ac:dyDescent="0.25"/>
    <row r="58936" hidden="1" x14ac:dyDescent="0.25"/>
    <row r="58937" hidden="1" x14ac:dyDescent="0.25"/>
    <row r="58938" hidden="1" x14ac:dyDescent="0.25"/>
    <row r="58939" hidden="1" x14ac:dyDescent="0.25"/>
    <row r="58940" hidden="1" x14ac:dyDescent="0.25"/>
    <row r="58941" hidden="1" x14ac:dyDescent="0.25"/>
    <row r="58942" hidden="1" x14ac:dyDescent="0.25"/>
    <row r="58943" hidden="1" x14ac:dyDescent="0.25"/>
    <row r="58944" hidden="1" x14ac:dyDescent="0.25"/>
    <row r="58945" hidden="1" x14ac:dyDescent="0.25"/>
    <row r="58946" hidden="1" x14ac:dyDescent="0.25"/>
    <row r="58947" hidden="1" x14ac:dyDescent="0.25"/>
    <row r="58948" hidden="1" x14ac:dyDescent="0.25"/>
    <row r="58949" hidden="1" x14ac:dyDescent="0.25"/>
    <row r="58950" hidden="1" x14ac:dyDescent="0.25"/>
    <row r="58951" hidden="1" x14ac:dyDescent="0.25"/>
    <row r="58952" hidden="1" x14ac:dyDescent="0.25"/>
    <row r="58953" hidden="1" x14ac:dyDescent="0.25"/>
    <row r="58954" hidden="1" x14ac:dyDescent="0.25"/>
    <row r="58955" hidden="1" x14ac:dyDescent="0.25"/>
    <row r="58956" hidden="1" x14ac:dyDescent="0.25"/>
    <row r="58957" hidden="1" x14ac:dyDescent="0.25"/>
    <row r="58958" hidden="1" x14ac:dyDescent="0.25"/>
    <row r="58959" hidden="1" x14ac:dyDescent="0.25"/>
    <row r="58960" hidden="1" x14ac:dyDescent="0.25"/>
    <row r="58961" hidden="1" x14ac:dyDescent="0.25"/>
    <row r="58962" hidden="1" x14ac:dyDescent="0.25"/>
    <row r="58963" hidden="1" x14ac:dyDescent="0.25"/>
    <row r="58964" hidden="1" x14ac:dyDescent="0.25"/>
    <row r="58965" hidden="1" x14ac:dyDescent="0.25"/>
    <row r="58966" hidden="1" x14ac:dyDescent="0.25"/>
    <row r="58967" hidden="1" x14ac:dyDescent="0.25"/>
    <row r="58968" hidden="1" x14ac:dyDescent="0.25"/>
    <row r="58969" hidden="1" x14ac:dyDescent="0.25"/>
    <row r="58970" hidden="1" x14ac:dyDescent="0.25"/>
    <row r="58971" hidden="1" x14ac:dyDescent="0.25"/>
    <row r="58972" hidden="1" x14ac:dyDescent="0.25"/>
    <row r="58973" hidden="1" x14ac:dyDescent="0.25"/>
    <row r="58974" hidden="1" x14ac:dyDescent="0.25"/>
    <row r="58975" hidden="1" x14ac:dyDescent="0.25"/>
    <row r="58976" hidden="1" x14ac:dyDescent="0.25"/>
    <row r="58977" hidden="1" x14ac:dyDescent="0.25"/>
    <row r="58978" hidden="1" x14ac:dyDescent="0.25"/>
    <row r="58979" hidden="1" x14ac:dyDescent="0.25"/>
    <row r="58980" hidden="1" x14ac:dyDescent="0.25"/>
    <row r="58981" hidden="1" x14ac:dyDescent="0.25"/>
    <row r="58982" hidden="1" x14ac:dyDescent="0.25"/>
    <row r="58983" hidden="1" x14ac:dyDescent="0.25"/>
    <row r="58984" hidden="1" x14ac:dyDescent="0.25"/>
    <row r="58985" hidden="1" x14ac:dyDescent="0.25"/>
    <row r="58986" hidden="1" x14ac:dyDescent="0.25"/>
    <row r="58987" hidden="1" x14ac:dyDescent="0.25"/>
    <row r="58988" hidden="1" x14ac:dyDescent="0.25"/>
    <row r="58989" hidden="1" x14ac:dyDescent="0.25"/>
    <row r="58990" hidden="1" x14ac:dyDescent="0.25"/>
    <row r="58991" hidden="1" x14ac:dyDescent="0.25"/>
    <row r="58992" hidden="1" x14ac:dyDescent="0.25"/>
    <row r="58993" hidden="1" x14ac:dyDescent="0.25"/>
    <row r="58994" hidden="1" x14ac:dyDescent="0.25"/>
    <row r="58995" hidden="1" x14ac:dyDescent="0.25"/>
    <row r="58996" hidden="1" x14ac:dyDescent="0.25"/>
    <row r="58997" hidden="1" x14ac:dyDescent="0.25"/>
    <row r="58998" hidden="1" x14ac:dyDescent="0.25"/>
    <row r="58999" hidden="1" x14ac:dyDescent="0.25"/>
    <row r="59000" hidden="1" x14ac:dyDescent="0.25"/>
    <row r="59001" hidden="1" x14ac:dyDescent="0.25"/>
    <row r="59002" hidden="1" x14ac:dyDescent="0.25"/>
    <row r="59003" hidden="1" x14ac:dyDescent="0.25"/>
    <row r="59004" hidden="1" x14ac:dyDescent="0.25"/>
    <row r="59005" hidden="1" x14ac:dyDescent="0.25"/>
    <row r="59006" hidden="1" x14ac:dyDescent="0.25"/>
    <row r="59007" hidden="1" x14ac:dyDescent="0.25"/>
    <row r="59008" hidden="1" x14ac:dyDescent="0.25"/>
    <row r="59009" hidden="1" x14ac:dyDescent="0.25"/>
    <row r="59010" hidden="1" x14ac:dyDescent="0.25"/>
    <row r="59011" hidden="1" x14ac:dyDescent="0.25"/>
    <row r="59012" hidden="1" x14ac:dyDescent="0.25"/>
    <row r="59013" hidden="1" x14ac:dyDescent="0.25"/>
    <row r="59014" hidden="1" x14ac:dyDescent="0.25"/>
    <row r="59015" hidden="1" x14ac:dyDescent="0.25"/>
    <row r="59016" hidden="1" x14ac:dyDescent="0.25"/>
    <row r="59017" hidden="1" x14ac:dyDescent="0.25"/>
    <row r="59018" hidden="1" x14ac:dyDescent="0.25"/>
    <row r="59019" hidden="1" x14ac:dyDescent="0.25"/>
    <row r="59020" hidden="1" x14ac:dyDescent="0.25"/>
    <row r="59021" hidden="1" x14ac:dyDescent="0.25"/>
    <row r="59022" hidden="1" x14ac:dyDescent="0.25"/>
    <row r="59023" hidden="1" x14ac:dyDescent="0.25"/>
    <row r="59024" hidden="1" x14ac:dyDescent="0.25"/>
    <row r="59025" hidden="1" x14ac:dyDescent="0.25"/>
    <row r="59026" hidden="1" x14ac:dyDescent="0.25"/>
    <row r="59027" hidden="1" x14ac:dyDescent="0.25"/>
    <row r="59028" hidden="1" x14ac:dyDescent="0.25"/>
    <row r="59029" hidden="1" x14ac:dyDescent="0.25"/>
    <row r="59030" hidden="1" x14ac:dyDescent="0.25"/>
    <row r="59031" hidden="1" x14ac:dyDescent="0.25"/>
    <row r="59032" hidden="1" x14ac:dyDescent="0.25"/>
    <row r="59033" hidden="1" x14ac:dyDescent="0.25"/>
    <row r="59034" hidden="1" x14ac:dyDescent="0.25"/>
    <row r="59035" hidden="1" x14ac:dyDescent="0.25"/>
    <row r="59036" hidden="1" x14ac:dyDescent="0.25"/>
    <row r="59037" hidden="1" x14ac:dyDescent="0.25"/>
    <row r="59038" hidden="1" x14ac:dyDescent="0.25"/>
    <row r="59039" hidden="1" x14ac:dyDescent="0.25"/>
    <row r="59040" hidden="1" x14ac:dyDescent="0.25"/>
    <row r="59041" hidden="1" x14ac:dyDescent="0.25"/>
    <row r="59042" hidden="1" x14ac:dyDescent="0.25"/>
    <row r="59043" hidden="1" x14ac:dyDescent="0.25"/>
    <row r="59044" hidden="1" x14ac:dyDescent="0.25"/>
    <row r="59045" hidden="1" x14ac:dyDescent="0.25"/>
    <row r="59046" hidden="1" x14ac:dyDescent="0.25"/>
    <row r="59047" hidden="1" x14ac:dyDescent="0.25"/>
    <row r="59048" hidden="1" x14ac:dyDescent="0.25"/>
    <row r="59049" hidden="1" x14ac:dyDescent="0.25"/>
    <row r="59050" hidden="1" x14ac:dyDescent="0.25"/>
    <row r="59051" hidden="1" x14ac:dyDescent="0.25"/>
    <row r="59052" hidden="1" x14ac:dyDescent="0.25"/>
    <row r="59053" hidden="1" x14ac:dyDescent="0.25"/>
    <row r="59054" hidden="1" x14ac:dyDescent="0.25"/>
    <row r="59055" hidden="1" x14ac:dyDescent="0.25"/>
    <row r="59056" hidden="1" x14ac:dyDescent="0.25"/>
    <row r="59057" hidden="1" x14ac:dyDescent="0.25"/>
    <row r="59058" hidden="1" x14ac:dyDescent="0.25"/>
    <row r="59059" hidden="1" x14ac:dyDescent="0.25"/>
    <row r="59060" hidden="1" x14ac:dyDescent="0.25"/>
    <row r="59061" hidden="1" x14ac:dyDescent="0.25"/>
    <row r="59062" hidden="1" x14ac:dyDescent="0.25"/>
    <row r="59063" hidden="1" x14ac:dyDescent="0.25"/>
    <row r="59064" hidden="1" x14ac:dyDescent="0.25"/>
    <row r="59065" hidden="1" x14ac:dyDescent="0.25"/>
    <row r="59066" hidden="1" x14ac:dyDescent="0.25"/>
    <row r="59067" hidden="1" x14ac:dyDescent="0.25"/>
    <row r="59068" hidden="1" x14ac:dyDescent="0.25"/>
    <row r="59069" hidden="1" x14ac:dyDescent="0.25"/>
    <row r="59070" hidden="1" x14ac:dyDescent="0.25"/>
    <row r="59071" hidden="1" x14ac:dyDescent="0.25"/>
    <row r="59072" hidden="1" x14ac:dyDescent="0.25"/>
    <row r="59073" hidden="1" x14ac:dyDescent="0.25"/>
    <row r="59074" hidden="1" x14ac:dyDescent="0.25"/>
    <row r="59075" hidden="1" x14ac:dyDescent="0.25"/>
    <row r="59076" hidden="1" x14ac:dyDescent="0.25"/>
    <row r="59077" hidden="1" x14ac:dyDescent="0.25"/>
    <row r="59078" hidden="1" x14ac:dyDescent="0.25"/>
    <row r="59079" hidden="1" x14ac:dyDescent="0.25"/>
    <row r="59080" hidden="1" x14ac:dyDescent="0.25"/>
    <row r="59081" hidden="1" x14ac:dyDescent="0.25"/>
    <row r="59082" hidden="1" x14ac:dyDescent="0.25"/>
    <row r="59083" hidden="1" x14ac:dyDescent="0.25"/>
    <row r="59084" hidden="1" x14ac:dyDescent="0.25"/>
    <row r="59085" hidden="1" x14ac:dyDescent="0.25"/>
    <row r="59086" hidden="1" x14ac:dyDescent="0.25"/>
    <row r="59087" hidden="1" x14ac:dyDescent="0.25"/>
    <row r="59088" hidden="1" x14ac:dyDescent="0.25"/>
    <row r="59089" hidden="1" x14ac:dyDescent="0.25"/>
    <row r="59090" hidden="1" x14ac:dyDescent="0.25"/>
    <row r="59091" hidden="1" x14ac:dyDescent="0.25"/>
    <row r="59092" hidden="1" x14ac:dyDescent="0.25"/>
    <row r="59093" hidden="1" x14ac:dyDescent="0.25"/>
    <row r="59094" hidden="1" x14ac:dyDescent="0.25"/>
    <row r="59095" hidden="1" x14ac:dyDescent="0.25"/>
    <row r="59096" hidden="1" x14ac:dyDescent="0.25"/>
    <row r="59097" hidden="1" x14ac:dyDescent="0.25"/>
    <row r="59098" hidden="1" x14ac:dyDescent="0.25"/>
    <row r="59099" hidden="1" x14ac:dyDescent="0.25"/>
    <row r="59100" hidden="1" x14ac:dyDescent="0.25"/>
    <row r="59101" hidden="1" x14ac:dyDescent="0.25"/>
    <row r="59102" hidden="1" x14ac:dyDescent="0.25"/>
    <row r="59103" hidden="1" x14ac:dyDescent="0.25"/>
    <row r="59104" hidden="1" x14ac:dyDescent="0.25"/>
    <row r="59105" hidden="1" x14ac:dyDescent="0.25"/>
    <row r="59106" hidden="1" x14ac:dyDescent="0.25"/>
    <row r="59107" hidden="1" x14ac:dyDescent="0.25"/>
    <row r="59108" hidden="1" x14ac:dyDescent="0.25"/>
    <row r="59109" hidden="1" x14ac:dyDescent="0.25"/>
    <row r="59110" hidden="1" x14ac:dyDescent="0.25"/>
    <row r="59111" hidden="1" x14ac:dyDescent="0.25"/>
    <row r="59112" hidden="1" x14ac:dyDescent="0.25"/>
    <row r="59113" hidden="1" x14ac:dyDescent="0.25"/>
    <row r="59114" hidden="1" x14ac:dyDescent="0.25"/>
    <row r="59115" hidden="1" x14ac:dyDescent="0.25"/>
    <row r="59116" hidden="1" x14ac:dyDescent="0.25"/>
    <row r="59117" hidden="1" x14ac:dyDescent="0.25"/>
    <row r="59118" hidden="1" x14ac:dyDescent="0.25"/>
    <row r="59119" hidden="1" x14ac:dyDescent="0.25"/>
    <row r="59120" hidden="1" x14ac:dyDescent="0.25"/>
    <row r="59121" hidden="1" x14ac:dyDescent="0.25"/>
    <row r="59122" hidden="1" x14ac:dyDescent="0.25"/>
    <row r="59123" hidden="1" x14ac:dyDescent="0.25"/>
    <row r="59124" hidden="1" x14ac:dyDescent="0.25"/>
    <row r="59125" hidden="1" x14ac:dyDescent="0.25"/>
    <row r="59126" hidden="1" x14ac:dyDescent="0.25"/>
    <row r="59127" hidden="1" x14ac:dyDescent="0.25"/>
    <row r="59128" hidden="1" x14ac:dyDescent="0.25"/>
    <row r="59129" hidden="1" x14ac:dyDescent="0.25"/>
    <row r="59130" hidden="1" x14ac:dyDescent="0.25"/>
    <row r="59131" hidden="1" x14ac:dyDescent="0.25"/>
    <row r="59132" hidden="1" x14ac:dyDescent="0.25"/>
    <row r="59133" hidden="1" x14ac:dyDescent="0.25"/>
    <row r="59134" hidden="1" x14ac:dyDescent="0.25"/>
    <row r="59135" hidden="1" x14ac:dyDescent="0.25"/>
    <row r="59136" hidden="1" x14ac:dyDescent="0.25"/>
    <row r="59137" hidden="1" x14ac:dyDescent="0.25"/>
    <row r="59138" hidden="1" x14ac:dyDescent="0.25"/>
    <row r="59139" hidden="1" x14ac:dyDescent="0.25"/>
    <row r="59140" hidden="1" x14ac:dyDescent="0.25"/>
    <row r="59141" hidden="1" x14ac:dyDescent="0.25"/>
    <row r="59142" hidden="1" x14ac:dyDescent="0.25"/>
    <row r="59143" hidden="1" x14ac:dyDescent="0.25"/>
    <row r="59144" hidden="1" x14ac:dyDescent="0.25"/>
    <row r="59145" hidden="1" x14ac:dyDescent="0.25"/>
    <row r="59146" hidden="1" x14ac:dyDescent="0.25"/>
    <row r="59147" hidden="1" x14ac:dyDescent="0.25"/>
    <row r="59148" hidden="1" x14ac:dyDescent="0.25"/>
    <row r="59149" hidden="1" x14ac:dyDescent="0.25"/>
    <row r="59150" hidden="1" x14ac:dyDescent="0.25"/>
    <row r="59151" hidden="1" x14ac:dyDescent="0.25"/>
    <row r="59152" hidden="1" x14ac:dyDescent="0.25"/>
    <row r="59153" hidden="1" x14ac:dyDescent="0.25"/>
    <row r="59154" hidden="1" x14ac:dyDescent="0.25"/>
    <row r="59155" hidden="1" x14ac:dyDescent="0.25"/>
    <row r="59156" hidden="1" x14ac:dyDescent="0.25"/>
    <row r="59157" hidden="1" x14ac:dyDescent="0.25"/>
    <row r="59158" hidden="1" x14ac:dyDescent="0.25"/>
    <row r="59159" hidden="1" x14ac:dyDescent="0.25"/>
    <row r="59160" hidden="1" x14ac:dyDescent="0.25"/>
    <row r="59161" hidden="1" x14ac:dyDescent="0.25"/>
    <row r="59162" hidden="1" x14ac:dyDescent="0.25"/>
    <row r="59163" hidden="1" x14ac:dyDescent="0.25"/>
    <row r="59164" hidden="1" x14ac:dyDescent="0.25"/>
    <row r="59165" hidden="1" x14ac:dyDescent="0.25"/>
    <row r="59166" hidden="1" x14ac:dyDescent="0.25"/>
    <row r="59167" hidden="1" x14ac:dyDescent="0.25"/>
    <row r="59168" hidden="1" x14ac:dyDescent="0.25"/>
    <row r="59169" hidden="1" x14ac:dyDescent="0.25"/>
    <row r="59170" hidden="1" x14ac:dyDescent="0.25"/>
    <row r="59171" hidden="1" x14ac:dyDescent="0.25"/>
    <row r="59172" hidden="1" x14ac:dyDescent="0.25"/>
    <row r="59173" hidden="1" x14ac:dyDescent="0.25"/>
    <row r="59174" hidden="1" x14ac:dyDescent="0.25"/>
    <row r="59175" hidden="1" x14ac:dyDescent="0.25"/>
    <row r="59176" hidden="1" x14ac:dyDescent="0.25"/>
    <row r="59177" hidden="1" x14ac:dyDescent="0.25"/>
    <row r="59178" hidden="1" x14ac:dyDescent="0.25"/>
    <row r="59179" hidden="1" x14ac:dyDescent="0.25"/>
    <row r="59180" hidden="1" x14ac:dyDescent="0.25"/>
    <row r="59181" hidden="1" x14ac:dyDescent="0.25"/>
    <row r="59182" hidden="1" x14ac:dyDescent="0.25"/>
    <row r="59183" hidden="1" x14ac:dyDescent="0.25"/>
    <row r="59184" hidden="1" x14ac:dyDescent="0.25"/>
    <row r="59185" hidden="1" x14ac:dyDescent="0.25"/>
    <row r="59186" hidden="1" x14ac:dyDescent="0.25"/>
    <row r="59187" hidden="1" x14ac:dyDescent="0.25"/>
    <row r="59188" hidden="1" x14ac:dyDescent="0.25"/>
    <row r="59189" hidden="1" x14ac:dyDescent="0.25"/>
    <row r="59190" hidden="1" x14ac:dyDescent="0.25"/>
    <row r="59191" hidden="1" x14ac:dyDescent="0.25"/>
    <row r="59192" hidden="1" x14ac:dyDescent="0.25"/>
    <row r="59193" hidden="1" x14ac:dyDescent="0.25"/>
    <row r="59194" hidden="1" x14ac:dyDescent="0.25"/>
    <row r="59195" hidden="1" x14ac:dyDescent="0.25"/>
    <row r="59196" hidden="1" x14ac:dyDescent="0.25"/>
    <row r="59197" hidden="1" x14ac:dyDescent="0.25"/>
    <row r="59198" hidden="1" x14ac:dyDescent="0.25"/>
    <row r="59199" hidden="1" x14ac:dyDescent="0.25"/>
    <row r="59200" hidden="1" x14ac:dyDescent="0.25"/>
    <row r="59201" hidden="1" x14ac:dyDescent="0.25"/>
    <row r="59202" hidden="1" x14ac:dyDescent="0.25"/>
    <row r="59203" hidden="1" x14ac:dyDescent="0.25"/>
    <row r="59204" hidden="1" x14ac:dyDescent="0.25"/>
    <row r="59205" hidden="1" x14ac:dyDescent="0.25"/>
    <row r="59206" hidden="1" x14ac:dyDescent="0.25"/>
    <row r="59207" hidden="1" x14ac:dyDescent="0.25"/>
    <row r="59208" hidden="1" x14ac:dyDescent="0.25"/>
    <row r="59209" hidden="1" x14ac:dyDescent="0.25"/>
    <row r="59210" hidden="1" x14ac:dyDescent="0.25"/>
    <row r="59211" hidden="1" x14ac:dyDescent="0.25"/>
    <row r="59212" hidden="1" x14ac:dyDescent="0.25"/>
    <row r="59213" hidden="1" x14ac:dyDescent="0.25"/>
    <row r="59214" hidden="1" x14ac:dyDescent="0.25"/>
    <row r="59215" hidden="1" x14ac:dyDescent="0.25"/>
    <row r="59216" hidden="1" x14ac:dyDescent="0.25"/>
    <row r="59217" hidden="1" x14ac:dyDescent="0.25"/>
    <row r="59218" hidden="1" x14ac:dyDescent="0.25"/>
    <row r="59219" hidden="1" x14ac:dyDescent="0.25"/>
    <row r="59220" hidden="1" x14ac:dyDescent="0.25"/>
    <row r="59221" hidden="1" x14ac:dyDescent="0.25"/>
    <row r="59222" hidden="1" x14ac:dyDescent="0.25"/>
    <row r="59223" hidden="1" x14ac:dyDescent="0.25"/>
    <row r="59224" hidden="1" x14ac:dyDescent="0.25"/>
    <row r="59225" hidden="1" x14ac:dyDescent="0.25"/>
    <row r="59226" hidden="1" x14ac:dyDescent="0.25"/>
    <row r="59227" hidden="1" x14ac:dyDescent="0.25"/>
    <row r="59228" hidden="1" x14ac:dyDescent="0.25"/>
    <row r="59229" hidden="1" x14ac:dyDescent="0.25"/>
    <row r="59230" hidden="1" x14ac:dyDescent="0.25"/>
    <row r="59231" hidden="1" x14ac:dyDescent="0.25"/>
    <row r="59232" hidden="1" x14ac:dyDescent="0.25"/>
    <row r="59233" hidden="1" x14ac:dyDescent="0.25"/>
    <row r="59234" hidden="1" x14ac:dyDescent="0.25"/>
    <row r="59235" hidden="1" x14ac:dyDescent="0.25"/>
    <row r="59236" hidden="1" x14ac:dyDescent="0.25"/>
    <row r="59237" hidden="1" x14ac:dyDescent="0.25"/>
    <row r="59238" hidden="1" x14ac:dyDescent="0.25"/>
    <row r="59239" hidden="1" x14ac:dyDescent="0.25"/>
    <row r="59240" hidden="1" x14ac:dyDescent="0.25"/>
    <row r="59241" hidden="1" x14ac:dyDescent="0.25"/>
    <row r="59242" hidden="1" x14ac:dyDescent="0.25"/>
    <row r="59243" hidden="1" x14ac:dyDescent="0.25"/>
    <row r="59244" hidden="1" x14ac:dyDescent="0.25"/>
    <row r="59245" hidden="1" x14ac:dyDescent="0.25"/>
    <row r="59246" hidden="1" x14ac:dyDescent="0.25"/>
    <row r="59247" hidden="1" x14ac:dyDescent="0.25"/>
    <row r="59248" hidden="1" x14ac:dyDescent="0.25"/>
    <row r="59249" hidden="1" x14ac:dyDescent="0.25"/>
    <row r="59250" hidden="1" x14ac:dyDescent="0.25"/>
    <row r="59251" hidden="1" x14ac:dyDescent="0.25"/>
    <row r="59252" hidden="1" x14ac:dyDescent="0.25"/>
    <row r="59253" hidden="1" x14ac:dyDescent="0.25"/>
    <row r="59254" hidden="1" x14ac:dyDescent="0.25"/>
    <row r="59255" hidden="1" x14ac:dyDescent="0.25"/>
    <row r="59256" hidden="1" x14ac:dyDescent="0.25"/>
    <row r="59257" hidden="1" x14ac:dyDescent="0.25"/>
    <row r="59258" hidden="1" x14ac:dyDescent="0.25"/>
    <row r="59259" hidden="1" x14ac:dyDescent="0.25"/>
    <row r="59260" hidden="1" x14ac:dyDescent="0.25"/>
    <row r="59261" hidden="1" x14ac:dyDescent="0.25"/>
    <row r="59262" hidden="1" x14ac:dyDescent="0.25"/>
    <row r="59263" hidden="1" x14ac:dyDescent="0.25"/>
    <row r="59264" hidden="1" x14ac:dyDescent="0.25"/>
    <row r="59265" hidden="1" x14ac:dyDescent="0.25"/>
    <row r="59266" hidden="1" x14ac:dyDescent="0.25"/>
    <row r="59267" hidden="1" x14ac:dyDescent="0.25"/>
    <row r="59268" hidden="1" x14ac:dyDescent="0.25"/>
    <row r="59269" hidden="1" x14ac:dyDescent="0.25"/>
    <row r="59270" hidden="1" x14ac:dyDescent="0.25"/>
    <row r="59271" hidden="1" x14ac:dyDescent="0.25"/>
    <row r="59272" hidden="1" x14ac:dyDescent="0.25"/>
    <row r="59273" hidden="1" x14ac:dyDescent="0.25"/>
    <row r="59274" hidden="1" x14ac:dyDescent="0.25"/>
    <row r="59275" hidden="1" x14ac:dyDescent="0.25"/>
    <row r="59276" hidden="1" x14ac:dyDescent="0.25"/>
    <row r="59277" hidden="1" x14ac:dyDescent="0.25"/>
    <row r="59278" hidden="1" x14ac:dyDescent="0.25"/>
    <row r="59279" hidden="1" x14ac:dyDescent="0.25"/>
    <row r="59280" hidden="1" x14ac:dyDescent="0.25"/>
    <row r="59281" hidden="1" x14ac:dyDescent="0.25"/>
    <row r="59282" hidden="1" x14ac:dyDescent="0.25"/>
    <row r="59283" hidden="1" x14ac:dyDescent="0.25"/>
    <row r="59284" hidden="1" x14ac:dyDescent="0.25"/>
    <row r="59285" hidden="1" x14ac:dyDescent="0.25"/>
    <row r="59286" hidden="1" x14ac:dyDescent="0.25"/>
    <row r="59287" hidden="1" x14ac:dyDescent="0.25"/>
    <row r="59288" hidden="1" x14ac:dyDescent="0.25"/>
    <row r="59289" hidden="1" x14ac:dyDescent="0.25"/>
    <row r="59290" hidden="1" x14ac:dyDescent="0.25"/>
    <row r="59291" hidden="1" x14ac:dyDescent="0.25"/>
    <row r="59292" hidden="1" x14ac:dyDescent="0.25"/>
    <row r="59293" hidden="1" x14ac:dyDescent="0.25"/>
    <row r="59294" hidden="1" x14ac:dyDescent="0.25"/>
    <row r="59295" hidden="1" x14ac:dyDescent="0.25"/>
    <row r="59296" hidden="1" x14ac:dyDescent="0.25"/>
    <row r="59297" hidden="1" x14ac:dyDescent="0.25"/>
    <row r="59298" hidden="1" x14ac:dyDescent="0.25"/>
    <row r="59299" hidden="1" x14ac:dyDescent="0.25"/>
    <row r="59300" hidden="1" x14ac:dyDescent="0.25"/>
    <row r="59301" hidden="1" x14ac:dyDescent="0.25"/>
    <row r="59302" hidden="1" x14ac:dyDescent="0.25"/>
    <row r="59303" hidden="1" x14ac:dyDescent="0.25"/>
    <row r="59304" hidden="1" x14ac:dyDescent="0.25"/>
    <row r="59305" hidden="1" x14ac:dyDescent="0.25"/>
    <row r="59306" hidden="1" x14ac:dyDescent="0.25"/>
    <row r="59307" hidden="1" x14ac:dyDescent="0.25"/>
    <row r="59308" hidden="1" x14ac:dyDescent="0.25"/>
    <row r="59309" hidden="1" x14ac:dyDescent="0.25"/>
    <row r="59310" hidden="1" x14ac:dyDescent="0.25"/>
    <row r="59311" hidden="1" x14ac:dyDescent="0.25"/>
    <row r="59312" hidden="1" x14ac:dyDescent="0.25"/>
    <row r="59313" hidden="1" x14ac:dyDescent="0.25"/>
    <row r="59314" hidden="1" x14ac:dyDescent="0.25"/>
    <row r="59315" hidden="1" x14ac:dyDescent="0.25"/>
    <row r="59316" hidden="1" x14ac:dyDescent="0.25"/>
    <row r="59317" hidden="1" x14ac:dyDescent="0.25"/>
    <row r="59318" hidden="1" x14ac:dyDescent="0.25"/>
    <row r="59319" hidden="1" x14ac:dyDescent="0.25"/>
    <row r="59320" hidden="1" x14ac:dyDescent="0.25"/>
    <row r="59321" hidden="1" x14ac:dyDescent="0.25"/>
    <row r="59322" hidden="1" x14ac:dyDescent="0.25"/>
    <row r="59323" hidden="1" x14ac:dyDescent="0.25"/>
    <row r="59324" hidden="1" x14ac:dyDescent="0.25"/>
    <row r="59325" hidden="1" x14ac:dyDescent="0.25"/>
    <row r="59326" hidden="1" x14ac:dyDescent="0.25"/>
    <row r="59327" hidden="1" x14ac:dyDescent="0.25"/>
    <row r="59328" hidden="1" x14ac:dyDescent="0.25"/>
    <row r="59329" hidden="1" x14ac:dyDescent="0.25"/>
    <row r="59330" hidden="1" x14ac:dyDescent="0.25"/>
    <row r="59331" hidden="1" x14ac:dyDescent="0.25"/>
    <row r="59332" hidden="1" x14ac:dyDescent="0.25"/>
    <row r="59333" hidden="1" x14ac:dyDescent="0.25"/>
    <row r="59334" hidden="1" x14ac:dyDescent="0.25"/>
    <row r="59335" hidden="1" x14ac:dyDescent="0.25"/>
    <row r="59336" hidden="1" x14ac:dyDescent="0.25"/>
    <row r="59337" hidden="1" x14ac:dyDescent="0.25"/>
    <row r="59338" hidden="1" x14ac:dyDescent="0.25"/>
    <row r="59339" hidden="1" x14ac:dyDescent="0.25"/>
    <row r="59340" hidden="1" x14ac:dyDescent="0.25"/>
    <row r="59341" hidden="1" x14ac:dyDescent="0.25"/>
    <row r="59342" hidden="1" x14ac:dyDescent="0.25"/>
    <row r="59343" hidden="1" x14ac:dyDescent="0.25"/>
    <row r="59344" hidden="1" x14ac:dyDescent="0.25"/>
    <row r="59345" hidden="1" x14ac:dyDescent="0.25"/>
    <row r="59346" hidden="1" x14ac:dyDescent="0.25"/>
    <row r="59347" hidden="1" x14ac:dyDescent="0.25"/>
    <row r="59348" hidden="1" x14ac:dyDescent="0.25"/>
    <row r="59349" hidden="1" x14ac:dyDescent="0.25"/>
    <row r="59350" hidden="1" x14ac:dyDescent="0.25"/>
    <row r="59351" hidden="1" x14ac:dyDescent="0.25"/>
    <row r="59352" hidden="1" x14ac:dyDescent="0.25"/>
    <row r="59353" hidden="1" x14ac:dyDescent="0.25"/>
    <row r="59354" hidden="1" x14ac:dyDescent="0.25"/>
    <row r="59355" hidden="1" x14ac:dyDescent="0.25"/>
    <row r="59356" hidden="1" x14ac:dyDescent="0.25"/>
    <row r="59357" hidden="1" x14ac:dyDescent="0.25"/>
    <row r="59358" hidden="1" x14ac:dyDescent="0.25"/>
    <row r="59359" hidden="1" x14ac:dyDescent="0.25"/>
    <row r="59360" hidden="1" x14ac:dyDescent="0.25"/>
    <row r="59361" hidden="1" x14ac:dyDescent="0.25"/>
    <row r="59362" hidden="1" x14ac:dyDescent="0.25"/>
    <row r="59363" hidden="1" x14ac:dyDescent="0.25"/>
    <row r="59364" hidden="1" x14ac:dyDescent="0.25"/>
    <row r="59365" hidden="1" x14ac:dyDescent="0.25"/>
    <row r="59366" hidden="1" x14ac:dyDescent="0.25"/>
    <row r="59367" hidden="1" x14ac:dyDescent="0.25"/>
    <row r="59368" hidden="1" x14ac:dyDescent="0.25"/>
    <row r="59369" hidden="1" x14ac:dyDescent="0.25"/>
    <row r="59370" hidden="1" x14ac:dyDescent="0.25"/>
    <row r="59371" hidden="1" x14ac:dyDescent="0.25"/>
    <row r="59372" hidden="1" x14ac:dyDescent="0.25"/>
    <row r="59373" hidden="1" x14ac:dyDescent="0.25"/>
    <row r="59374" hidden="1" x14ac:dyDescent="0.25"/>
    <row r="59375" hidden="1" x14ac:dyDescent="0.25"/>
    <row r="59376" hidden="1" x14ac:dyDescent="0.25"/>
    <row r="59377" hidden="1" x14ac:dyDescent="0.25"/>
    <row r="59378" hidden="1" x14ac:dyDescent="0.25"/>
    <row r="59379" hidden="1" x14ac:dyDescent="0.25"/>
    <row r="59380" hidden="1" x14ac:dyDescent="0.25"/>
    <row r="59381" hidden="1" x14ac:dyDescent="0.25"/>
    <row r="59382" hidden="1" x14ac:dyDescent="0.25"/>
    <row r="59383" hidden="1" x14ac:dyDescent="0.25"/>
    <row r="59384" hidden="1" x14ac:dyDescent="0.25"/>
    <row r="59385" hidden="1" x14ac:dyDescent="0.25"/>
    <row r="59386" hidden="1" x14ac:dyDescent="0.25"/>
    <row r="59387" hidden="1" x14ac:dyDescent="0.25"/>
    <row r="59388" hidden="1" x14ac:dyDescent="0.25"/>
    <row r="59389" hidden="1" x14ac:dyDescent="0.25"/>
    <row r="59390" hidden="1" x14ac:dyDescent="0.25"/>
    <row r="59391" hidden="1" x14ac:dyDescent="0.25"/>
    <row r="59392" hidden="1" x14ac:dyDescent="0.25"/>
    <row r="59393" hidden="1" x14ac:dyDescent="0.25"/>
    <row r="59394" hidden="1" x14ac:dyDescent="0.25"/>
    <row r="59395" hidden="1" x14ac:dyDescent="0.25"/>
    <row r="59396" hidden="1" x14ac:dyDescent="0.25"/>
    <row r="59397" hidden="1" x14ac:dyDescent="0.25"/>
    <row r="59398" hidden="1" x14ac:dyDescent="0.25"/>
    <row r="59399" hidden="1" x14ac:dyDescent="0.25"/>
    <row r="59400" hidden="1" x14ac:dyDescent="0.25"/>
    <row r="59401" hidden="1" x14ac:dyDescent="0.25"/>
    <row r="59402" hidden="1" x14ac:dyDescent="0.25"/>
    <row r="59403" hidden="1" x14ac:dyDescent="0.25"/>
    <row r="59404" hidden="1" x14ac:dyDescent="0.25"/>
    <row r="59405" hidden="1" x14ac:dyDescent="0.25"/>
    <row r="59406" hidden="1" x14ac:dyDescent="0.25"/>
    <row r="59407" hidden="1" x14ac:dyDescent="0.25"/>
    <row r="59408" hidden="1" x14ac:dyDescent="0.25"/>
    <row r="59409" hidden="1" x14ac:dyDescent="0.25"/>
    <row r="59410" hidden="1" x14ac:dyDescent="0.25"/>
    <row r="59411" hidden="1" x14ac:dyDescent="0.25"/>
    <row r="59412" hidden="1" x14ac:dyDescent="0.25"/>
    <row r="59413" hidden="1" x14ac:dyDescent="0.25"/>
    <row r="59414" hidden="1" x14ac:dyDescent="0.25"/>
    <row r="59415" hidden="1" x14ac:dyDescent="0.25"/>
    <row r="59416" hidden="1" x14ac:dyDescent="0.25"/>
    <row r="59417" hidden="1" x14ac:dyDescent="0.25"/>
    <row r="59418" hidden="1" x14ac:dyDescent="0.25"/>
    <row r="59419" hidden="1" x14ac:dyDescent="0.25"/>
    <row r="59420" hidden="1" x14ac:dyDescent="0.25"/>
    <row r="59421" hidden="1" x14ac:dyDescent="0.25"/>
    <row r="59422" hidden="1" x14ac:dyDescent="0.25"/>
    <row r="59423" hidden="1" x14ac:dyDescent="0.25"/>
    <row r="59424" hidden="1" x14ac:dyDescent="0.25"/>
    <row r="59425" hidden="1" x14ac:dyDescent="0.25"/>
    <row r="59426" hidden="1" x14ac:dyDescent="0.25"/>
    <row r="59427" hidden="1" x14ac:dyDescent="0.25"/>
    <row r="59428" hidden="1" x14ac:dyDescent="0.25"/>
    <row r="59429" hidden="1" x14ac:dyDescent="0.25"/>
    <row r="59430" hidden="1" x14ac:dyDescent="0.25"/>
    <row r="59431" hidden="1" x14ac:dyDescent="0.25"/>
    <row r="59432" hidden="1" x14ac:dyDescent="0.25"/>
    <row r="59433" hidden="1" x14ac:dyDescent="0.25"/>
    <row r="59434" hidden="1" x14ac:dyDescent="0.25"/>
    <row r="59435" hidden="1" x14ac:dyDescent="0.25"/>
    <row r="59436" hidden="1" x14ac:dyDescent="0.25"/>
    <row r="59437" hidden="1" x14ac:dyDescent="0.25"/>
    <row r="59438" hidden="1" x14ac:dyDescent="0.25"/>
    <row r="59439" hidden="1" x14ac:dyDescent="0.25"/>
    <row r="59440" hidden="1" x14ac:dyDescent="0.25"/>
    <row r="59441" hidden="1" x14ac:dyDescent="0.25"/>
    <row r="59442" hidden="1" x14ac:dyDescent="0.25"/>
    <row r="59443" hidden="1" x14ac:dyDescent="0.25"/>
    <row r="59444" hidden="1" x14ac:dyDescent="0.25"/>
    <row r="59445" hidden="1" x14ac:dyDescent="0.25"/>
    <row r="59446" hidden="1" x14ac:dyDescent="0.25"/>
    <row r="59447" hidden="1" x14ac:dyDescent="0.25"/>
    <row r="59448" hidden="1" x14ac:dyDescent="0.25"/>
    <row r="59449" hidden="1" x14ac:dyDescent="0.25"/>
    <row r="59450" hidden="1" x14ac:dyDescent="0.25"/>
    <row r="59451" hidden="1" x14ac:dyDescent="0.25"/>
    <row r="59452" hidden="1" x14ac:dyDescent="0.25"/>
    <row r="59453" hidden="1" x14ac:dyDescent="0.25"/>
    <row r="59454" hidden="1" x14ac:dyDescent="0.25"/>
    <row r="59455" hidden="1" x14ac:dyDescent="0.25"/>
    <row r="59456" hidden="1" x14ac:dyDescent="0.25"/>
    <row r="59457" hidden="1" x14ac:dyDescent="0.25"/>
    <row r="59458" hidden="1" x14ac:dyDescent="0.25"/>
    <row r="59459" hidden="1" x14ac:dyDescent="0.25"/>
    <row r="59460" hidden="1" x14ac:dyDescent="0.25"/>
    <row r="59461" hidden="1" x14ac:dyDescent="0.25"/>
    <row r="59462" hidden="1" x14ac:dyDescent="0.25"/>
    <row r="59463" hidden="1" x14ac:dyDescent="0.25"/>
    <row r="59464" hidden="1" x14ac:dyDescent="0.25"/>
    <row r="59465" hidden="1" x14ac:dyDescent="0.25"/>
    <row r="59466" hidden="1" x14ac:dyDescent="0.25"/>
    <row r="59467" hidden="1" x14ac:dyDescent="0.25"/>
    <row r="59468" hidden="1" x14ac:dyDescent="0.25"/>
    <row r="59469" hidden="1" x14ac:dyDescent="0.25"/>
    <row r="59470" hidden="1" x14ac:dyDescent="0.25"/>
    <row r="59471" hidden="1" x14ac:dyDescent="0.25"/>
    <row r="59472" hidden="1" x14ac:dyDescent="0.25"/>
    <row r="59473" hidden="1" x14ac:dyDescent="0.25"/>
    <row r="59474" hidden="1" x14ac:dyDescent="0.25"/>
    <row r="59475" hidden="1" x14ac:dyDescent="0.25"/>
    <row r="59476" hidden="1" x14ac:dyDescent="0.25"/>
    <row r="59477" hidden="1" x14ac:dyDescent="0.25"/>
    <row r="59478" hidden="1" x14ac:dyDescent="0.25"/>
    <row r="59479" hidden="1" x14ac:dyDescent="0.25"/>
    <row r="59480" hidden="1" x14ac:dyDescent="0.25"/>
    <row r="59481" hidden="1" x14ac:dyDescent="0.25"/>
    <row r="59482" hidden="1" x14ac:dyDescent="0.25"/>
    <row r="59483" hidden="1" x14ac:dyDescent="0.25"/>
    <row r="59484" hidden="1" x14ac:dyDescent="0.25"/>
    <row r="59485" hidden="1" x14ac:dyDescent="0.25"/>
    <row r="59486" hidden="1" x14ac:dyDescent="0.25"/>
    <row r="59487" hidden="1" x14ac:dyDescent="0.25"/>
    <row r="59488" hidden="1" x14ac:dyDescent="0.25"/>
    <row r="59489" hidden="1" x14ac:dyDescent="0.25"/>
    <row r="59490" hidden="1" x14ac:dyDescent="0.25"/>
    <row r="59491" hidden="1" x14ac:dyDescent="0.25"/>
    <row r="59492" hidden="1" x14ac:dyDescent="0.25"/>
    <row r="59493" hidden="1" x14ac:dyDescent="0.25"/>
    <row r="59494" hidden="1" x14ac:dyDescent="0.25"/>
    <row r="59495" hidden="1" x14ac:dyDescent="0.25"/>
    <row r="59496" hidden="1" x14ac:dyDescent="0.25"/>
    <row r="59497" hidden="1" x14ac:dyDescent="0.25"/>
    <row r="59498" hidden="1" x14ac:dyDescent="0.25"/>
    <row r="59499" hidden="1" x14ac:dyDescent="0.25"/>
    <row r="59500" hidden="1" x14ac:dyDescent="0.25"/>
    <row r="59501" hidden="1" x14ac:dyDescent="0.25"/>
    <row r="59502" hidden="1" x14ac:dyDescent="0.25"/>
    <row r="59503" hidden="1" x14ac:dyDescent="0.25"/>
    <row r="59504" hidden="1" x14ac:dyDescent="0.25"/>
    <row r="59505" hidden="1" x14ac:dyDescent="0.25"/>
    <row r="59506" hidden="1" x14ac:dyDescent="0.25"/>
    <row r="59507" hidden="1" x14ac:dyDescent="0.25"/>
    <row r="59508" hidden="1" x14ac:dyDescent="0.25"/>
    <row r="59509" hidden="1" x14ac:dyDescent="0.25"/>
    <row r="59510" hidden="1" x14ac:dyDescent="0.25"/>
    <row r="59511" hidden="1" x14ac:dyDescent="0.25"/>
    <row r="59512" hidden="1" x14ac:dyDescent="0.25"/>
    <row r="59513" hidden="1" x14ac:dyDescent="0.25"/>
    <row r="59514" hidden="1" x14ac:dyDescent="0.25"/>
    <row r="59515" hidden="1" x14ac:dyDescent="0.25"/>
    <row r="59516" hidden="1" x14ac:dyDescent="0.25"/>
    <row r="59517" hidden="1" x14ac:dyDescent="0.25"/>
    <row r="59518" hidden="1" x14ac:dyDescent="0.25"/>
    <row r="59519" hidden="1" x14ac:dyDescent="0.25"/>
    <row r="59520" hidden="1" x14ac:dyDescent="0.25"/>
    <row r="59521" hidden="1" x14ac:dyDescent="0.25"/>
    <row r="59522" hidden="1" x14ac:dyDescent="0.25"/>
    <row r="59523" hidden="1" x14ac:dyDescent="0.25"/>
    <row r="59524" hidden="1" x14ac:dyDescent="0.25"/>
    <row r="59525" hidden="1" x14ac:dyDescent="0.25"/>
    <row r="59526" hidden="1" x14ac:dyDescent="0.25"/>
    <row r="59527" hidden="1" x14ac:dyDescent="0.25"/>
    <row r="59528" hidden="1" x14ac:dyDescent="0.25"/>
    <row r="59529" hidden="1" x14ac:dyDescent="0.25"/>
    <row r="59530" hidden="1" x14ac:dyDescent="0.25"/>
    <row r="59531" hidden="1" x14ac:dyDescent="0.25"/>
    <row r="59532" hidden="1" x14ac:dyDescent="0.25"/>
    <row r="59533" hidden="1" x14ac:dyDescent="0.25"/>
    <row r="59534" hidden="1" x14ac:dyDescent="0.25"/>
    <row r="59535" hidden="1" x14ac:dyDescent="0.25"/>
    <row r="59536" hidden="1" x14ac:dyDescent="0.25"/>
    <row r="59537" hidden="1" x14ac:dyDescent="0.25"/>
    <row r="59538" hidden="1" x14ac:dyDescent="0.25"/>
    <row r="59539" hidden="1" x14ac:dyDescent="0.25"/>
    <row r="59540" hidden="1" x14ac:dyDescent="0.25"/>
    <row r="59541" hidden="1" x14ac:dyDescent="0.25"/>
    <row r="59542" hidden="1" x14ac:dyDescent="0.25"/>
    <row r="59543" hidden="1" x14ac:dyDescent="0.25"/>
    <row r="59544" hidden="1" x14ac:dyDescent="0.25"/>
    <row r="59545" hidden="1" x14ac:dyDescent="0.25"/>
    <row r="59546" hidden="1" x14ac:dyDescent="0.25"/>
    <row r="59547" hidden="1" x14ac:dyDescent="0.25"/>
    <row r="59548" hidden="1" x14ac:dyDescent="0.25"/>
    <row r="59549" hidden="1" x14ac:dyDescent="0.25"/>
    <row r="59550" hidden="1" x14ac:dyDescent="0.25"/>
    <row r="59551" hidden="1" x14ac:dyDescent="0.25"/>
    <row r="59552" hidden="1" x14ac:dyDescent="0.25"/>
    <row r="59553" hidden="1" x14ac:dyDescent="0.25"/>
    <row r="59554" hidden="1" x14ac:dyDescent="0.25"/>
    <row r="59555" hidden="1" x14ac:dyDescent="0.25"/>
    <row r="59556" hidden="1" x14ac:dyDescent="0.25"/>
    <row r="59557" hidden="1" x14ac:dyDescent="0.25"/>
    <row r="59558" hidden="1" x14ac:dyDescent="0.25"/>
    <row r="59559" hidden="1" x14ac:dyDescent="0.25"/>
    <row r="59560" hidden="1" x14ac:dyDescent="0.25"/>
    <row r="59561" hidden="1" x14ac:dyDescent="0.25"/>
    <row r="59562" hidden="1" x14ac:dyDescent="0.25"/>
    <row r="59563" hidden="1" x14ac:dyDescent="0.25"/>
    <row r="59564" hidden="1" x14ac:dyDescent="0.25"/>
    <row r="59565" hidden="1" x14ac:dyDescent="0.25"/>
    <row r="59566" hidden="1" x14ac:dyDescent="0.25"/>
    <row r="59567" hidden="1" x14ac:dyDescent="0.25"/>
    <row r="59568" hidden="1" x14ac:dyDescent="0.25"/>
    <row r="59569" hidden="1" x14ac:dyDescent="0.25"/>
    <row r="59570" hidden="1" x14ac:dyDescent="0.25"/>
    <row r="59571" hidden="1" x14ac:dyDescent="0.25"/>
    <row r="59572" hidden="1" x14ac:dyDescent="0.25"/>
    <row r="59573" hidden="1" x14ac:dyDescent="0.25"/>
    <row r="59574" hidden="1" x14ac:dyDescent="0.25"/>
    <row r="59575" hidden="1" x14ac:dyDescent="0.25"/>
    <row r="59576" hidden="1" x14ac:dyDescent="0.25"/>
    <row r="59577" hidden="1" x14ac:dyDescent="0.25"/>
    <row r="59578" hidden="1" x14ac:dyDescent="0.25"/>
    <row r="59579" hidden="1" x14ac:dyDescent="0.25"/>
    <row r="59580" hidden="1" x14ac:dyDescent="0.25"/>
    <row r="59581" hidden="1" x14ac:dyDescent="0.25"/>
    <row r="59582" hidden="1" x14ac:dyDescent="0.25"/>
    <row r="59583" hidden="1" x14ac:dyDescent="0.25"/>
    <row r="59584" hidden="1" x14ac:dyDescent="0.25"/>
    <row r="59585" hidden="1" x14ac:dyDescent="0.25"/>
    <row r="59586" hidden="1" x14ac:dyDescent="0.25"/>
    <row r="59587" hidden="1" x14ac:dyDescent="0.25"/>
    <row r="59588" hidden="1" x14ac:dyDescent="0.25"/>
    <row r="59589" hidden="1" x14ac:dyDescent="0.25"/>
    <row r="59590" hidden="1" x14ac:dyDescent="0.25"/>
    <row r="59591" hidden="1" x14ac:dyDescent="0.25"/>
    <row r="59592" hidden="1" x14ac:dyDescent="0.25"/>
    <row r="59593" hidden="1" x14ac:dyDescent="0.25"/>
    <row r="59594" hidden="1" x14ac:dyDescent="0.25"/>
    <row r="59595" hidden="1" x14ac:dyDescent="0.25"/>
    <row r="59596" hidden="1" x14ac:dyDescent="0.25"/>
    <row r="59597" hidden="1" x14ac:dyDescent="0.25"/>
    <row r="59598" hidden="1" x14ac:dyDescent="0.25"/>
    <row r="59599" hidden="1" x14ac:dyDescent="0.25"/>
    <row r="59600" hidden="1" x14ac:dyDescent="0.25"/>
    <row r="59601" hidden="1" x14ac:dyDescent="0.25"/>
    <row r="59602" hidden="1" x14ac:dyDescent="0.25"/>
    <row r="59603" hidden="1" x14ac:dyDescent="0.25"/>
    <row r="59604" hidden="1" x14ac:dyDescent="0.25"/>
    <row r="59605" hidden="1" x14ac:dyDescent="0.25"/>
    <row r="59606" hidden="1" x14ac:dyDescent="0.25"/>
    <row r="59607" hidden="1" x14ac:dyDescent="0.25"/>
    <row r="59608" hidden="1" x14ac:dyDescent="0.25"/>
    <row r="59609" hidden="1" x14ac:dyDescent="0.25"/>
    <row r="59610" hidden="1" x14ac:dyDescent="0.25"/>
    <row r="59611" hidden="1" x14ac:dyDescent="0.25"/>
    <row r="59612" hidden="1" x14ac:dyDescent="0.25"/>
    <row r="59613" hidden="1" x14ac:dyDescent="0.25"/>
    <row r="59614" hidden="1" x14ac:dyDescent="0.25"/>
    <row r="59615" hidden="1" x14ac:dyDescent="0.25"/>
    <row r="59616" hidden="1" x14ac:dyDescent="0.25"/>
    <row r="59617" hidden="1" x14ac:dyDescent="0.25"/>
    <row r="59618" hidden="1" x14ac:dyDescent="0.25"/>
    <row r="59619" hidden="1" x14ac:dyDescent="0.25"/>
    <row r="59620" hidden="1" x14ac:dyDescent="0.25"/>
    <row r="59621" hidden="1" x14ac:dyDescent="0.25"/>
    <row r="59622" hidden="1" x14ac:dyDescent="0.25"/>
    <row r="59623" hidden="1" x14ac:dyDescent="0.25"/>
    <row r="59624" hidden="1" x14ac:dyDescent="0.25"/>
    <row r="59625" hidden="1" x14ac:dyDescent="0.25"/>
    <row r="59626" hidden="1" x14ac:dyDescent="0.25"/>
    <row r="59627" hidden="1" x14ac:dyDescent="0.25"/>
    <row r="59628" hidden="1" x14ac:dyDescent="0.25"/>
    <row r="59629" hidden="1" x14ac:dyDescent="0.25"/>
    <row r="59630" hidden="1" x14ac:dyDescent="0.25"/>
    <row r="59631" hidden="1" x14ac:dyDescent="0.25"/>
    <row r="59632" hidden="1" x14ac:dyDescent="0.25"/>
    <row r="59633" hidden="1" x14ac:dyDescent="0.25"/>
    <row r="59634" hidden="1" x14ac:dyDescent="0.25"/>
    <row r="59635" hidden="1" x14ac:dyDescent="0.25"/>
    <row r="59636" hidden="1" x14ac:dyDescent="0.25"/>
    <row r="59637" hidden="1" x14ac:dyDescent="0.25"/>
    <row r="59638" hidden="1" x14ac:dyDescent="0.25"/>
    <row r="59639" hidden="1" x14ac:dyDescent="0.25"/>
    <row r="59640" hidden="1" x14ac:dyDescent="0.25"/>
    <row r="59641" hidden="1" x14ac:dyDescent="0.25"/>
    <row r="59642" hidden="1" x14ac:dyDescent="0.25"/>
    <row r="59643" hidden="1" x14ac:dyDescent="0.25"/>
    <row r="59644" hidden="1" x14ac:dyDescent="0.25"/>
    <row r="59645" hidden="1" x14ac:dyDescent="0.25"/>
    <row r="59646" hidden="1" x14ac:dyDescent="0.25"/>
    <row r="59647" hidden="1" x14ac:dyDescent="0.25"/>
    <row r="59648" hidden="1" x14ac:dyDescent="0.25"/>
    <row r="59649" hidden="1" x14ac:dyDescent="0.25"/>
    <row r="59650" hidden="1" x14ac:dyDescent="0.25"/>
    <row r="59651" hidden="1" x14ac:dyDescent="0.25"/>
    <row r="59652" hidden="1" x14ac:dyDescent="0.25"/>
    <row r="59653" hidden="1" x14ac:dyDescent="0.25"/>
    <row r="59654" hidden="1" x14ac:dyDescent="0.25"/>
    <row r="59655" hidden="1" x14ac:dyDescent="0.25"/>
    <row r="59656" hidden="1" x14ac:dyDescent="0.25"/>
    <row r="59657" hidden="1" x14ac:dyDescent="0.25"/>
    <row r="59658" hidden="1" x14ac:dyDescent="0.25"/>
    <row r="59659" hidden="1" x14ac:dyDescent="0.25"/>
    <row r="59660" hidden="1" x14ac:dyDescent="0.25"/>
    <row r="59661" hidden="1" x14ac:dyDescent="0.25"/>
    <row r="59662" hidden="1" x14ac:dyDescent="0.25"/>
    <row r="59663" hidden="1" x14ac:dyDescent="0.25"/>
    <row r="59664" hidden="1" x14ac:dyDescent="0.25"/>
    <row r="59665" hidden="1" x14ac:dyDescent="0.25"/>
    <row r="59666" hidden="1" x14ac:dyDescent="0.25"/>
    <row r="59667" hidden="1" x14ac:dyDescent="0.25"/>
    <row r="59668" hidden="1" x14ac:dyDescent="0.25"/>
    <row r="59669" hidden="1" x14ac:dyDescent="0.25"/>
    <row r="59670" hidden="1" x14ac:dyDescent="0.25"/>
    <row r="59671" hidden="1" x14ac:dyDescent="0.25"/>
    <row r="59672" hidden="1" x14ac:dyDescent="0.25"/>
    <row r="59673" hidden="1" x14ac:dyDescent="0.25"/>
    <row r="59674" hidden="1" x14ac:dyDescent="0.25"/>
    <row r="59675" hidden="1" x14ac:dyDescent="0.25"/>
    <row r="59676" hidden="1" x14ac:dyDescent="0.25"/>
    <row r="59677" hidden="1" x14ac:dyDescent="0.25"/>
    <row r="59678" hidden="1" x14ac:dyDescent="0.25"/>
    <row r="59679" hidden="1" x14ac:dyDescent="0.25"/>
    <row r="59680" hidden="1" x14ac:dyDescent="0.25"/>
    <row r="59681" hidden="1" x14ac:dyDescent="0.25"/>
    <row r="59682" hidden="1" x14ac:dyDescent="0.25"/>
    <row r="59683" hidden="1" x14ac:dyDescent="0.25"/>
    <row r="59684" hidden="1" x14ac:dyDescent="0.25"/>
    <row r="59685" hidden="1" x14ac:dyDescent="0.25"/>
    <row r="59686" hidden="1" x14ac:dyDescent="0.25"/>
    <row r="59687" hidden="1" x14ac:dyDescent="0.25"/>
    <row r="59688" hidden="1" x14ac:dyDescent="0.25"/>
    <row r="59689" hidden="1" x14ac:dyDescent="0.25"/>
    <row r="59690" hidden="1" x14ac:dyDescent="0.25"/>
    <row r="59691" hidden="1" x14ac:dyDescent="0.25"/>
    <row r="59692" hidden="1" x14ac:dyDescent="0.25"/>
    <row r="59693" hidden="1" x14ac:dyDescent="0.25"/>
    <row r="59694" hidden="1" x14ac:dyDescent="0.25"/>
    <row r="59695" hidden="1" x14ac:dyDescent="0.25"/>
    <row r="59696" hidden="1" x14ac:dyDescent="0.25"/>
    <row r="59697" hidden="1" x14ac:dyDescent="0.25"/>
    <row r="59698" hidden="1" x14ac:dyDescent="0.25"/>
    <row r="59699" hidden="1" x14ac:dyDescent="0.25"/>
    <row r="59700" hidden="1" x14ac:dyDescent="0.25"/>
    <row r="59701" hidden="1" x14ac:dyDescent="0.25"/>
    <row r="59702" hidden="1" x14ac:dyDescent="0.25"/>
    <row r="59703" hidden="1" x14ac:dyDescent="0.25"/>
    <row r="59704" hidden="1" x14ac:dyDescent="0.25"/>
    <row r="59705" hidden="1" x14ac:dyDescent="0.25"/>
    <row r="59706" hidden="1" x14ac:dyDescent="0.25"/>
    <row r="59707" hidden="1" x14ac:dyDescent="0.25"/>
    <row r="59708" hidden="1" x14ac:dyDescent="0.25"/>
    <row r="59709" hidden="1" x14ac:dyDescent="0.25"/>
    <row r="59710" hidden="1" x14ac:dyDescent="0.25"/>
    <row r="59711" hidden="1" x14ac:dyDescent="0.25"/>
    <row r="59712" hidden="1" x14ac:dyDescent="0.25"/>
    <row r="59713" hidden="1" x14ac:dyDescent="0.25"/>
    <row r="59714" hidden="1" x14ac:dyDescent="0.25"/>
    <row r="59715" hidden="1" x14ac:dyDescent="0.25"/>
    <row r="59716" hidden="1" x14ac:dyDescent="0.25"/>
    <row r="59717" hidden="1" x14ac:dyDescent="0.25"/>
    <row r="59718" hidden="1" x14ac:dyDescent="0.25"/>
    <row r="59719" hidden="1" x14ac:dyDescent="0.25"/>
    <row r="59720" hidden="1" x14ac:dyDescent="0.25"/>
    <row r="59721" hidden="1" x14ac:dyDescent="0.25"/>
    <row r="59722" hidden="1" x14ac:dyDescent="0.25"/>
    <row r="59723" hidden="1" x14ac:dyDescent="0.25"/>
    <row r="59724" hidden="1" x14ac:dyDescent="0.25"/>
    <row r="59725" hidden="1" x14ac:dyDescent="0.25"/>
    <row r="59726" hidden="1" x14ac:dyDescent="0.25"/>
    <row r="59727" hidden="1" x14ac:dyDescent="0.25"/>
    <row r="59728" hidden="1" x14ac:dyDescent="0.25"/>
    <row r="59729" hidden="1" x14ac:dyDescent="0.25"/>
    <row r="59730" hidden="1" x14ac:dyDescent="0.25"/>
    <row r="59731" hidden="1" x14ac:dyDescent="0.25"/>
    <row r="59732" hidden="1" x14ac:dyDescent="0.25"/>
    <row r="59733" hidden="1" x14ac:dyDescent="0.25"/>
    <row r="59734" hidden="1" x14ac:dyDescent="0.25"/>
    <row r="59735" hidden="1" x14ac:dyDescent="0.25"/>
    <row r="59736" hidden="1" x14ac:dyDescent="0.25"/>
    <row r="59737" hidden="1" x14ac:dyDescent="0.25"/>
    <row r="59738" hidden="1" x14ac:dyDescent="0.25"/>
    <row r="59739" hidden="1" x14ac:dyDescent="0.25"/>
    <row r="59740" hidden="1" x14ac:dyDescent="0.25"/>
    <row r="59741" hidden="1" x14ac:dyDescent="0.25"/>
    <row r="59742" hidden="1" x14ac:dyDescent="0.25"/>
    <row r="59743" hidden="1" x14ac:dyDescent="0.25"/>
    <row r="59744" hidden="1" x14ac:dyDescent="0.25"/>
    <row r="59745" hidden="1" x14ac:dyDescent="0.25"/>
    <row r="59746" hidden="1" x14ac:dyDescent="0.25"/>
    <row r="59747" hidden="1" x14ac:dyDescent="0.25"/>
    <row r="59748" hidden="1" x14ac:dyDescent="0.25"/>
    <row r="59749" hidden="1" x14ac:dyDescent="0.25"/>
    <row r="59750" hidden="1" x14ac:dyDescent="0.25"/>
    <row r="59751" hidden="1" x14ac:dyDescent="0.25"/>
    <row r="59752" hidden="1" x14ac:dyDescent="0.25"/>
    <row r="59753" hidden="1" x14ac:dyDescent="0.25"/>
    <row r="59754" hidden="1" x14ac:dyDescent="0.25"/>
    <row r="59755" hidden="1" x14ac:dyDescent="0.25"/>
    <row r="59756" hidden="1" x14ac:dyDescent="0.25"/>
    <row r="59757" hidden="1" x14ac:dyDescent="0.25"/>
    <row r="59758" hidden="1" x14ac:dyDescent="0.25"/>
    <row r="59759" hidden="1" x14ac:dyDescent="0.25"/>
    <row r="59760" hidden="1" x14ac:dyDescent="0.25"/>
    <row r="59761" hidden="1" x14ac:dyDescent="0.25"/>
    <row r="59762" hidden="1" x14ac:dyDescent="0.25"/>
    <row r="59763" hidden="1" x14ac:dyDescent="0.25"/>
    <row r="59764" hidden="1" x14ac:dyDescent="0.25"/>
    <row r="59765" hidden="1" x14ac:dyDescent="0.25"/>
    <row r="59766" hidden="1" x14ac:dyDescent="0.25"/>
    <row r="59767" hidden="1" x14ac:dyDescent="0.25"/>
    <row r="59768" hidden="1" x14ac:dyDescent="0.25"/>
    <row r="59769" hidden="1" x14ac:dyDescent="0.25"/>
    <row r="59770" hidden="1" x14ac:dyDescent="0.25"/>
    <row r="59771" hidden="1" x14ac:dyDescent="0.25"/>
    <row r="59772" hidden="1" x14ac:dyDescent="0.25"/>
    <row r="59773" hidden="1" x14ac:dyDescent="0.25"/>
    <row r="59774" hidden="1" x14ac:dyDescent="0.25"/>
    <row r="59775" hidden="1" x14ac:dyDescent="0.25"/>
    <row r="59776" hidden="1" x14ac:dyDescent="0.25"/>
    <row r="59777" hidden="1" x14ac:dyDescent="0.25"/>
    <row r="59778" hidden="1" x14ac:dyDescent="0.25"/>
    <row r="59779" hidden="1" x14ac:dyDescent="0.25"/>
    <row r="59780" hidden="1" x14ac:dyDescent="0.25"/>
    <row r="59781" hidden="1" x14ac:dyDescent="0.25"/>
    <row r="59782" hidden="1" x14ac:dyDescent="0.25"/>
    <row r="59783" hidden="1" x14ac:dyDescent="0.25"/>
    <row r="59784" hidden="1" x14ac:dyDescent="0.25"/>
    <row r="59785" hidden="1" x14ac:dyDescent="0.25"/>
    <row r="59786" hidden="1" x14ac:dyDescent="0.25"/>
    <row r="59787" hidden="1" x14ac:dyDescent="0.25"/>
    <row r="59788" hidden="1" x14ac:dyDescent="0.25"/>
    <row r="59789" hidden="1" x14ac:dyDescent="0.25"/>
    <row r="59790" hidden="1" x14ac:dyDescent="0.25"/>
    <row r="59791" hidden="1" x14ac:dyDescent="0.25"/>
    <row r="59792" hidden="1" x14ac:dyDescent="0.25"/>
    <row r="59793" hidden="1" x14ac:dyDescent="0.25"/>
    <row r="59794" hidden="1" x14ac:dyDescent="0.25"/>
    <row r="59795" hidden="1" x14ac:dyDescent="0.25"/>
    <row r="59796" hidden="1" x14ac:dyDescent="0.25"/>
    <row r="59797" hidden="1" x14ac:dyDescent="0.25"/>
    <row r="59798" hidden="1" x14ac:dyDescent="0.25"/>
    <row r="59799" hidden="1" x14ac:dyDescent="0.25"/>
    <row r="59800" hidden="1" x14ac:dyDescent="0.25"/>
    <row r="59801" hidden="1" x14ac:dyDescent="0.25"/>
    <row r="59802" hidden="1" x14ac:dyDescent="0.25"/>
    <row r="59803" hidden="1" x14ac:dyDescent="0.25"/>
    <row r="59804" hidden="1" x14ac:dyDescent="0.25"/>
    <row r="59805" hidden="1" x14ac:dyDescent="0.25"/>
    <row r="59806" hidden="1" x14ac:dyDescent="0.25"/>
    <row r="59807" hidden="1" x14ac:dyDescent="0.25"/>
    <row r="59808" hidden="1" x14ac:dyDescent="0.25"/>
    <row r="59809" hidden="1" x14ac:dyDescent="0.25"/>
    <row r="59810" hidden="1" x14ac:dyDescent="0.25"/>
    <row r="59811" hidden="1" x14ac:dyDescent="0.25"/>
    <row r="59812" hidden="1" x14ac:dyDescent="0.25"/>
    <row r="59813" hidden="1" x14ac:dyDescent="0.25"/>
    <row r="59814" hidden="1" x14ac:dyDescent="0.25"/>
    <row r="59815" hidden="1" x14ac:dyDescent="0.25"/>
    <row r="59816" hidden="1" x14ac:dyDescent="0.25"/>
    <row r="59817" hidden="1" x14ac:dyDescent="0.25"/>
    <row r="59818" hidden="1" x14ac:dyDescent="0.25"/>
    <row r="59819" hidden="1" x14ac:dyDescent="0.25"/>
    <row r="59820" hidden="1" x14ac:dyDescent="0.25"/>
    <row r="59821" hidden="1" x14ac:dyDescent="0.25"/>
    <row r="59822" hidden="1" x14ac:dyDescent="0.25"/>
    <row r="59823" hidden="1" x14ac:dyDescent="0.25"/>
    <row r="59824" hidden="1" x14ac:dyDescent="0.25"/>
    <row r="59825" hidden="1" x14ac:dyDescent="0.25"/>
    <row r="59826" hidden="1" x14ac:dyDescent="0.25"/>
    <row r="59827" hidden="1" x14ac:dyDescent="0.25"/>
    <row r="59828" hidden="1" x14ac:dyDescent="0.25"/>
    <row r="59829" hidden="1" x14ac:dyDescent="0.25"/>
    <row r="59830" hidden="1" x14ac:dyDescent="0.25"/>
    <row r="59831" hidden="1" x14ac:dyDescent="0.25"/>
    <row r="59832" hidden="1" x14ac:dyDescent="0.25"/>
    <row r="59833" hidden="1" x14ac:dyDescent="0.25"/>
    <row r="59834" hidden="1" x14ac:dyDescent="0.25"/>
    <row r="59835" hidden="1" x14ac:dyDescent="0.25"/>
    <row r="59836" hidden="1" x14ac:dyDescent="0.25"/>
    <row r="59837" hidden="1" x14ac:dyDescent="0.25"/>
    <row r="59838" hidden="1" x14ac:dyDescent="0.25"/>
    <row r="59839" hidden="1" x14ac:dyDescent="0.25"/>
    <row r="59840" hidden="1" x14ac:dyDescent="0.25"/>
    <row r="59841" hidden="1" x14ac:dyDescent="0.25"/>
    <row r="59842" hidden="1" x14ac:dyDescent="0.25"/>
    <row r="59843" hidden="1" x14ac:dyDescent="0.25"/>
    <row r="59844" hidden="1" x14ac:dyDescent="0.25"/>
    <row r="59845" hidden="1" x14ac:dyDescent="0.25"/>
    <row r="59846" hidden="1" x14ac:dyDescent="0.25"/>
    <row r="59847" hidden="1" x14ac:dyDescent="0.25"/>
    <row r="59848" hidden="1" x14ac:dyDescent="0.25"/>
    <row r="59849" hidden="1" x14ac:dyDescent="0.25"/>
    <row r="59850" hidden="1" x14ac:dyDescent="0.25"/>
    <row r="59851" hidden="1" x14ac:dyDescent="0.25"/>
    <row r="59852" hidden="1" x14ac:dyDescent="0.25"/>
    <row r="59853" hidden="1" x14ac:dyDescent="0.25"/>
    <row r="59854" hidden="1" x14ac:dyDescent="0.25"/>
    <row r="59855" hidden="1" x14ac:dyDescent="0.25"/>
    <row r="59856" hidden="1" x14ac:dyDescent="0.25"/>
    <row r="59857" hidden="1" x14ac:dyDescent="0.25"/>
    <row r="59858" hidden="1" x14ac:dyDescent="0.25"/>
    <row r="59859" hidden="1" x14ac:dyDescent="0.25"/>
    <row r="59860" hidden="1" x14ac:dyDescent="0.25"/>
    <row r="59861" hidden="1" x14ac:dyDescent="0.25"/>
    <row r="59862" hidden="1" x14ac:dyDescent="0.25"/>
    <row r="59863" hidden="1" x14ac:dyDescent="0.25"/>
    <row r="59864" hidden="1" x14ac:dyDescent="0.25"/>
    <row r="59865" hidden="1" x14ac:dyDescent="0.25"/>
    <row r="59866" hidden="1" x14ac:dyDescent="0.25"/>
    <row r="59867" hidden="1" x14ac:dyDescent="0.25"/>
    <row r="59868" hidden="1" x14ac:dyDescent="0.25"/>
    <row r="59869" hidden="1" x14ac:dyDescent="0.25"/>
    <row r="59870" hidden="1" x14ac:dyDescent="0.25"/>
    <row r="59871" hidden="1" x14ac:dyDescent="0.25"/>
    <row r="59872" hidden="1" x14ac:dyDescent="0.25"/>
    <row r="59873" hidden="1" x14ac:dyDescent="0.25"/>
    <row r="59874" hidden="1" x14ac:dyDescent="0.25"/>
    <row r="59875" hidden="1" x14ac:dyDescent="0.25"/>
    <row r="59876" hidden="1" x14ac:dyDescent="0.25"/>
    <row r="59877" hidden="1" x14ac:dyDescent="0.25"/>
    <row r="59878" hidden="1" x14ac:dyDescent="0.25"/>
    <row r="59879" hidden="1" x14ac:dyDescent="0.25"/>
    <row r="59880" hidden="1" x14ac:dyDescent="0.25"/>
    <row r="59881" hidden="1" x14ac:dyDescent="0.25"/>
    <row r="59882" hidden="1" x14ac:dyDescent="0.25"/>
    <row r="59883" hidden="1" x14ac:dyDescent="0.25"/>
    <row r="59884" hidden="1" x14ac:dyDescent="0.25"/>
    <row r="59885" hidden="1" x14ac:dyDescent="0.25"/>
    <row r="59886" hidden="1" x14ac:dyDescent="0.25"/>
    <row r="59887" hidden="1" x14ac:dyDescent="0.25"/>
    <row r="59888" hidden="1" x14ac:dyDescent="0.25"/>
    <row r="59889" hidden="1" x14ac:dyDescent="0.25"/>
    <row r="59890" hidden="1" x14ac:dyDescent="0.25"/>
    <row r="59891" hidden="1" x14ac:dyDescent="0.25"/>
    <row r="59892" hidden="1" x14ac:dyDescent="0.25"/>
    <row r="59893" hidden="1" x14ac:dyDescent="0.25"/>
    <row r="59894" hidden="1" x14ac:dyDescent="0.25"/>
    <row r="59895" hidden="1" x14ac:dyDescent="0.25"/>
    <row r="59896" hidden="1" x14ac:dyDescent="0.25"/>
    <row r="59897" hidden="1" x14ac:dyDescent="0.25"/>
    <row r="59898" hidden="1" x14ac:dyDescent="0.25"/>
    <row r="59899" hidden="1" x14ac:dyDescent="0.25"/>
    <row r="59900" hidden="1" x14ac:dyDescent="0.25"/>
    <row r="59901" hidden="1" x14ac:dyDescent="0.25"/>
    <row r="59902" hidden="1" x14ac:dyDescent="0.25"/>
    <row r="59903" hidden="1" x14ac:dyDescent="0.25"/>
    <row r="59904" hidden="1" x14ac:dyDescent="0.25"/>
    <row r="59905" hidden="1" x14ac:dyDescent="0.25"/>
    <row r="59906" hidden="1" x14ac:dyDescent="0.25"/>
    <row r="59907" hidden="1" x14ac:dyDescent="0.25"/>
    <row r="59908" hidden="1" x14ac:dyDescent="0.25"/>
    <row r="59909" hidden="1" x14ac:dyDescent="0.25"/>
    <row r="59910" hidden="1" x14ac:dyDescent="0.25"/>
    <row r="59911" hidden="1" x14ac:dyDescent="0.25"/>
    <row r="59912" hidden="1" x14ac:dyDescent="0.25"/>
    <row r="59913" hidden="1" x14ac:dyDescent="0.25"/>
    <row r="59914" hidden="1" x14ac:dyDescent="0.25"/>
    <row r="59915" hidden="1" x14ac:dyDescent="0.25"/>
    <row r="59916" hidden="1" x14ac:dyDescent="0.25"/>
    <row r="59917" hidden="1" x14ac:dyDescent="0.25"/>
    <row r="59918" hidden="1" x14ac:dyDescent="0.25"/>
    <row r="59919" hidden="1" x14ac:dyDescent="0.25"/>
    <row r="59920" hidden="1" x14ac:dyDescent="0.25"/>
    <row r="59921" hidden="1" x14ac:dyDescent="0.25"/>
    <row r="59922" hidden="1" x14ac:dyDescent="0.25"/>
    <row r="59923" hidden="1" x14ac:dyDescent="0.25"/>
    <row r="59924" hidden="1" x14ac:dyDescent="0.25"/>
    <row r="59925" hidden="1" x14ac:dyDescent="0.25"/>
    <row r="59926" hidden="1" x14ac:dyDescent="0.25"/>
    <row r="59927" hidden="1" x14ac:dyDescent="0.25"/>
    <row r="59928" hidden="1" x14ac:dyDescent="0.25"/>
    <row r="59929" hidden="1" x14ac:dyDescent="0.25"/>
    <row r="59930" hidden="1" x14ac:dyDescent="0.25"/>
    <row r="59931" hidden="1" x14ac:dyDescent="0.25"/>
    <row r="59932" hidden="1" x14ac:dyDescent="0.25"/>
    <row r="59933" hidden="1" x14ac:dyDescent="0.25"/>
    <row r="59934" hidden="1" x14ac:dyDescent="0.25"/>
    <row r="59935" hidden="1" x14ac:dyDescent="0.25"/>
    <row r="59936" hidden="1" x14ac:dyDescent="0.25"/>
    <row r="59937" hidden="1" x14ac:dyDescent="0.25"/>
    <row r="59938" hidden="1" x14ac:dyDescent="0.25"/>
    <row r="59939" hidden="1" x14ac:dyDescent="0.25"/>
    <row r="59940" hidden="1" x14ac:dyDescent="0.25"/>
    <row r="59941" hidden="1" x14ac:dyDescent="0.25"/>
    <row r="59942" hidden="1" x14ac:dyDescent="0.25"/>
    <row r="59943" hidden="1" x14ac:dyDescent="0.25"/>
    <row r="59944" hidden="1" x14ac:dyDescent="0.25"/>
    <row r="59945" hidden="1" x14ac:dyDescent="0.25"/>
    <row r="59946" hidden="1" x14ac:dyDescent="0.25"/>
    <row r="59947" hidden="1" x14ac:dyDescent="0.25"/>
    <row r="59948" hidden="1" x14ac:dyDescent="0.25"/>
    <row r="59949" hidden="1" x14ac:dyDescent="0.25"/>
    <row r="59950" hidden="1" x14ac:dyDescent="0.25"/>
    <row r="59951" hidden="1" x14ac:dyDescent="0.25"/>
    <row r="59952" hidden="1" x14ac:dyDescent="0.25"/>
    <row r="59953" hidden="1" x14ac:dyDescent="0.25"/>
    <row r="59954" hidden="1" x14ac:dyDescent="0.25"/>
    <row r="59955" hidden="1" x14ac:dyDescent="0.25"/>
    <row r="59956" hidden="1" x14ac:dyDescent="0.25"/>
    <row r="59957" hidden="1" x14ac:dyDescent="0.25"/>
    <row r="59958" hidden="1" x14ac:dyDescent="0.25"/>
    <row r="59959" hidden="1" x14ac:dyDescent="0.25"/>
    <row r="59960" hidden="1" x14ac:dyDescent="0.25"/>
    <row r="59961" hidden="1" x14ac:dyDescent="0.25"/>
    <row r="59962" hidden="1" x14ac:dyDescent="0.25"/>
    <row r="59963" hidden="1" x14ac:dyDescent="0.25"/>
    <row r="59964" hidden="1" x14ac:dyDescent="0.25"/>
    <row r="59965" hidden="1" x14ac:dyDescent="0.25"/>
    <row r="59966" hidden="1" x14ac:dyDescent="0.25"/>
    <row r="59967" hidden="1" x14ac:dyDescent="0.25"/>
    <row r="59968" hidden="1" x14ac:dyDescent="0.25"/>
    <row r="59969" hidden="1" x14ac:dyDescent="0.25"/>
    <row r="59970" hidden="1" x14ac:dyDescent="0.25"/>
    <row r="59971" hidden="1" x14ac:dyDescent="0.25"/>
    <row r="59972" hidden="1" x14ac:dyDescent="0.25"/>
    <row r="59973" hidden="1" x14ac:dyDescent="0.25"/>
    <row r="59974" hidden="1" x14ac:dyDescent="0.25"/>
    <row r="59975" hidden="1" x14ac:dyDescent="0.25"/>
    <row r="59976" hidden="1" x14ac:dyDescent="0.25"/>
    <row r="59977" hidden="1" x14ac:dyDescent="0.25"/>
    <row r="59978" hidden="1" x14ac:dyDescent="0.25"/>
    <row r="59979" hidden="1" x14ac:dyDescent="0.25"/>
    <row r="59980" hidden="1" x14ac:dyDescent="0.25"/>
    <row r="59981" hidden="1" x14ac:dyDescent="0.25"/>
    <row r="59982" hidden="1" x14ac:dyDescent="0.25"/>
    <row r="59983" hidden="1" x14ac:dyDescent="0.25"/>
    <row r="59984" hidden="1" x14ac:dyDescent="0.25"/>
    <row r="59985" hidden="1" x14ac:dyDescent="0.25"/>
    <row r="59986" hidden="1" x14ac:dyDescent="0.25"/>
    <row r="59987" hidden="1" x14ac:dyDescent="0.25"/>
    <row r="59988" hidden="1" x14ac:dyDescent="0.25"/>
    <row r="59989" hidden="1" x14ac:dyDescent="0.25"/>
    <row r="59990" hidden="1" x14ac:dyDescent="0.25"/>
    <row r="59991" hidden="1" x14ac:dyDescent="0.25"/>
    <row r="59992" hidden="1" x14ac:dyDescent="0.25"/>
    <row r="59993" hidden="1" x14ac:dyDescent="0.25"/>
    <row r="59994" hidden="1" x14ac:dyDescent="0.25"/>
    <row r="59995" hidden="1" x14ac:dyDescent="0.25"/>
    <row r="59996" hidden="1" x14ac:dyDescent="0.25"/>
    <row r="59997" hidden="1" x14ac:dyDescent="0.25"/>
    <row r="59998" hidden="1" x14ac:dyDescent="0.25"/>
    <row r="59999" hidden="1" x14ac:dyDescent="0.25"/>
    <row r="60000" hidden="1" x14ac:dyDescent="0.25"/>
    <row r="60001" hidden="1" x14ac:dyDescent="0.25"/>
    <row r="60002" hidden="1" x14ac:dyDescent="0.25"/>
    <row r="60003" hidden="1" x14ac:dyDescent="0.25"/>
    <row r="60004" hidden="1" x14ac:dyDescent="0.25"/>
    <row r="60005" hidden="1" x14ac:dyDescent="0.25"/>
    <row r="60006" hidden="1" x14ac:dyDescent="0.25"/>
    <row r="60007" hidden="1" x14ac:dyDescent="0.25"/>
    <row r="60008" hidden="1" x14ac:dyDescent="0.25"/>
    <row r="60009" hidden="1" x14ac:dyDescent="0.25"/>
    <row r="60010" hidden="1" x14ac:dyDescent="0.25"/>
    <row r="60011" hidden="1" x14ac:dyDescent="0.25"/>
    <row r="60012" hidden="1" x14ac:dyDescent="0.25"/>
    <row r="60013" hidden="1" x14ac:dyDescent="0.25"/>
    <row r="60014" hidden="1" x14ac:dyDescent="0.25"/>
    <row r="60015" hidden="1" x14ac:dyDescent="0.25"/>
    <row r="60016" hidden="1" x14ac:dyDescent="0.25"/>
    <row r="60017" hidden="1" x14ac:dyDescent="0.25"/>
    <row r="60018" hidden="1" x14ac:dyDescent="0.25"/>
    <row r="60019" hidden="1" x14ac:dyDescent="0.25"/>
    <row r="60020" hidden="1" x14ac:dyDescent="0.25"/>
    <row r="60021" hidden="1" x14ac:dyDescent="0.25"/>
    <row r="60022" hidden="1" x14ac:dyDescent="0.25"/>
    <row r="60023" hidden="1" x14ac:dyDescent="0.25"/>
    <row r="60024" hidden="1" x14ac:dyDescent="0.25"/>
    <row r="60025" hidden="1" x14ac:dyDescent="0.25"/>
    <row r="60026" hidden="1" x14ac:dyDescent="0.25"/>
    <row r="60027" hidden="1" x14ac:dyDescent="0.25"/>
    <row r="60028" hidden="1" x14ac:dyDescent="0.25"/>
    <row r="60029" hidden="1" x14ac:dyDescent="0.25"/>
    <row r="60030" hidden="1" x14ac:dyDescent="0.25"/>
    <row r="60031" hidden="1" x14ac:dyDescent="0.25"/>
    <row r="60032" hidden="1" x14ac:dyDescent="0.25"/>
    <row r="60033" hidden="1" x14ac:dyDescent="0.25"/>
    <row r="60034" hidden="1" x14ac:dyDescent="0.25"/>
    <row r="60035" hidden="1" x14ac:dyDescent="0.25"/>
    <row r="60036" hidden="1" x14ac:dyDescent="0.25"/>
    <row r="60037" hidden="1" x14ac:dyDescent="0.25"/>
    <row r="60038" hidden="1" x14ac:dyDescent="0.25"/>
    <row r="60039" hidden="1" x14ac:dyDescent="0.25"/>
    <row r="60040" hidden="1" x14ac:dyDescent="0.25"/>
    <row r="60041" hidden="1" x14ac:dyDescent="0.25"/>
    <row r="60042" hidden="1" x14ac:dyDescent="0.25"/>
    <row r="60043" hidden="1" x14ac:dyDescent="0.25"/>
    <row r="60044" hidden="1" x14ac:dyDescent="0.25"/>
    <row r="60045" hidden="1" x14ac:dyDescent="0.25"/>
    <row r="60046" hidden="1" x14ac:dyDescent="0.25"/>
    <row r="60047" hidden="1" x14ac:dyDescent="0.25"/>
    <row r="60048" hidden="1" x14ac:dyDescent="0.25"/>
    <row r="60049" hidden="1" x14ac:dyDescent="0.25"/>
    <row r="60050" hidden="1" x14ac:dyDescent="0.25"/>
    <row r="60051" hidden="1" x14ac:dyDescent="0.25"/>
    <row r="60052" hidden="1" x14ac:dyDescent="0.25"/>
    <row r="60053" hidden="1" x14ac:dyDescent="0.25"/>
    <row r="60054" hidden="1" x14ac:dyDescent="0.25"/>
    <row r="60055" hidden="1" x14ac:dyDescent="0.25"/>
    <row r="60056" hidden="1" x14ac:dyDescent="0.25"/>
    <row r="60057" hidden="1" x14ac:dyDescent="0.25"/>
    <row r="60058" hidden="1" x14ac:dyDescent="0.25"/>
    <row r="60059" hidden="1" x14ac:dyDescent="0.25"/>
    <row r="60060" hidden="1" x14ac:dyDescent="0.25"/>
    <row r="60061" hidden="1" x14ac:dyDescent="0.25"/>
    <row r="60062" hidden="1" x14ac:dyDescent="0.25"/>
    <row r="60063" hidden="1" x14ac:dyDescent="0.25"/>
    <row r="60064" hidden="1" x14ac:dyDescent="0.25"/>
    <row r="60065" hidden="1" x14ac:dyDescent="0.25"/>
    <row r="60066" hidden="1" x14ac:dyDescent="0.25"/>
    <row r="60067" hidden="1" x14ac:dyDescent="0.25"/>
    <row r="60068" hidden="1" x14ac:dyDescent="0.25"/>
    <row r="60069" hidden="1" x14ac:dyDescent="0.25"/>
    <row r="60070" hidden="1" x14ac:dyDescent="0.25"/>
    <row r="60071" hidden="1" x14ac:dyDescent="0.25"/>
    <row r="60072" hidden="1" x14ac:dyDescent="0.25"/>
    <row r="60073" hidden="1" x14ac:dyDescent="0.25"/>
    <row r="60074" hidden="1" x14ac:dyDescent="0.25"/>
    <row r="60075" hidden="1" x14ac:dyDescent="0.25"/>
    <row r="60076" hidden="1" x14ac:dyDescent="0.25"/>
    <row r="60077" hidden="1" x14ac:dyDescent="0.25"/>
    <row r="60078" hidden="1" x14ac:dyDescent="0.25"/>
    <row r="60079" hidden="1" x14ac:dyDescent="0.25"/>
    <row r="60080" hidden="1" x14ac:dyDescent="0.25"/>
    <row r="60081" hidden="1" x14ac:dyDescent="0.25"/>
    <row r="60082" hidden="1" x14ac:dyDescent="0.25"/>
    <row r="60083" hidden="1" x14ac:dyDescent="0.25"/>
    <row r="60084" hidden="1" x14ac:dyDescent="0.25"/>
    <row r="60085" hidden="1" x14ac:dyDescent="0.25"/>
    <row r="60086" hidden="1" x14ac:dyDescent="0.25"/>
    <row r="60087" hidden="1" x14ac:dyDescent="0.25"/>
    <row r="60088" hidden="1" x14ac:dyDescent="0.25"/>
    <row r="60089" hidden="1" x14ac:dyDescent="0.25"/>
    <row r="60090" hidden="1" x14ac:dyDescent="0.25"/>
    <row r="60091" hidden="1" x14ac:dyDescent="0.25"/>
    <row r="60092" hidden="1" x14ac:dyDescent="0.25"/>
    <row r="60093" hidden="1" x14ac:dyDescent="0.25"/>
    <row r="60094" hidden="1" x14ac:dyDescent="0.25"/>
    <row r="60095" hidden="1" x14ac:dyDescent="0.25"/>
    <row r="60096" hidden="1" x14ac:dyDescent="0.25"/>
    <row r="60097" hidden="1" x14ac:dyDescent="0.25"/>
    <row r="60098" hidden="1" x14ac:dyDescent="0.25"/>
    <row r="60099" hidden="1" x14ac:dyDescent="0.25"/>
    <row r="60100" hidden="1" x14ac:dyDescent="0.25"/>
    <row r="60101" hidden="1" x14ac:dyDescent="0.25"/>
    <row r="60102" hidden="1" x14ac:dyDescent="0.25"/>
    <row r="60103" hidden="1" x14ac:dyDescent="0.25"/>
    <row r="60104" hidden="1" x14ac:dyDescent="0.25"/>
    <row r="60105" hidden="1" x14ac:dyDescent="0.25"/>
    <row r="60106" hidden="1" x14ac:dyDescent="0.25"/>
    <row r="60107" hidden="1" x14ac:dyDescent="0.25"/>
    <row r="60108" hidden="1" x14ac:dyDescent="0.25"/>
    <row r="60109" hidden="1" x14ac:dyDescent="0.25"/>
    <row r="60110" hidden="1" x14ac:dyDescent="0.25"/>
    <row r="60111" hidden="1" x14ac:dyDescent="0.25"/>
    <row r="60112" hidden="1" x14ac:dyDescent="0.25"/>
    <row r="60113" hidden="1" x14ac:dyDescent="0.25"/>
    <row r="60114" hidden="1" x14ac:dyDescent="0.25"/>
    <row r="60115" hidden="1" x14ac:dyDescent="0.25"/>
    <row r="60116" hidden="1" x14ac:dyDescent="0.25"/>
    <row r="60117" hidden="1" x14ac:dyDescent="0.25"/>
    <row r="60118" hidden="1" x14ac:dyDescent="0.25"/>
    <row r="60119" hidden="1" x14ac:dyDescent="0.25"/>
    <row r="60120" hidden="1" x14ac:dyDescent="0.25"/>
    <row r="60121" hidden="1" x14ac:dyDescent="0.25"/>
    <row r="60122" hidden="1" x14ac:dyDescent="0.25"/>
    <row r="60123" hidden="1" x14ac:dyDescent="0.25"/>
    <row r="60124" hidden="1" x14ac:dyDescent="0.25"/>
    <row r="60125" hidden="1" x14ac:dyDescent="0.25"/>
    <row r="60126" hidden="1" x14ac:dyDescent="0.25"/>
    <row r="60127" hidden="1" x14ac:dyDescent="0.25"/>
    <row r="60128" hidden="1" x14ac:dyDescent="0.25"/>
    <row r="60129" hidden="1" x14ac:dyDescent="0.25"/>
    <row r="60130" hidden="1" x14ac:dyDescent="0.25"/>
    <row r="60131" hidden="1" x14ac:dyDescent="0.25"/>
    <row r="60132" hidden="1" x14ac:dyDescent="0.25"/>
    <row r="60133" hidden="1" x14ac:dyDescent="0.25"/>
    <row r="60134" hidden="1" x14ac:dyDescent="0.25"/>
    <row r="60135" hidden="1" x14ac:dyDescent="0.25"/>
    <row r="60136" hidden="1" x14ac:dyDescent="0.25"/>
    <row r="60137" hidden="1" x14ac:dyDescent="0.25"/>
    <row r="60138" hidden="1" x14ac:dyDescent="0.25"/>
    <row r="60139" hidden="1" x14ac:dyDescent="0.25"/>
    <row r="60140" hidden="1" x14ac:dyDescent="0.25"/>
    <row r="60141" hidden="1" x14ac:dyDescent="0.25"/>
    <row r="60142" hidden="1" x14ac:dyDescent="0.25"/>
    <row r="60143" hidden="1" x14ac:dyDescent="0.25"/>
    <row r="60144" hidden="1" x14ac:dyDescent="0.25"/>
    <row r="60145" hidden="1" x14ac:dyDescent="0.25"/>
    <row r="60146" hidden="1" x14ac:dyDescent="0.25"/>
    <row r="60147" hidden="1" x14ac:dyDescent="0.25"/>
    <row r="60148" hidden="1" x14ac:dyDescent="0.25"/>
    <row r="60149" hidden="1" x14ac:dyDescent="0.25"/>
    <row r="60150" hidden="1" x14ac:dyDescent="0.25"/>
    <row r="60151" hidden="1" x14ac:dyDescent="0.25"/>
    <row r="60152" hidden="1" x14ac:dyDescent="0.25"/>
    <row r="60153" hidden="1" x14ac:dyDescent="0.25"/>
    <row r="60154" hidden="1" x14ac:dyDescent="0.25"/>
    <row r="60155" hidden="1" x14ac:dyDescent="0.25"/>
    <row r="60156" hidden="1" x14ac:dyDescent="0.25"/>
    <row r="60157" hidden="1" x14ac:dyDescent="0.25"/>
    <row r="60158" hidden="1" x14ac:dyDescent="0.25"/>
    <row r="60159" hidden="1" x14ac:dyDescent="0.25"/>
    <row r="60160" hidden="1" x14ac:dyDescent="0.25"/>
    <row r="60161" hidden="1" x14ac:dyDescent="0.25"/>
    <row r="60162" hidden="1" x14ac:dyDescent="0.25"/>
    <row r="60163" hidden="1" x14ac:dyDescent="0.25"/>
    <row r="60164" hidden="1" x14ac:dyDescent="0.25"/>
    <row r="60165" hidden="1" x14ac:dyDescent="0.25"/>
    <row r="60166" hidden="1" x14ac:dyDescent="0.25"/>
    <row r="60167" hidden="1" x14ac:dyDescent="0.25"/>
    <row r="60168" hidden="1" x14ac:dyDescent="0.25"/>
    <row r="60169" hidden="1" x14ac:dyDescent="0.25"/>
    <row r="60170" hidden="1" x14ac:dyDescent="0.25"/>
    <row r="60171" hidden="1" x14ac:dyDescent="0.25"/>
    <row r="60172" hidden="1" x14ac:dyDescent="0.25"/>
    <row r="60173" hidden="1" x14ac:dyDescent="0.25"/>
    <row r="60174" hidden="1" x14ac:dyDescent="0.25"/>
    <row r="60175" hidden="1" x14ac:dyDescent="0.25"/>
    <row r="60176" hidden="1" x14ac:dyDescent="0.25"/>
    <row r="60177" hidden="1" x14ac:dyDescent="0.25"/>
    <row r="60178" hidden="1" x14ac:dyDescent="0.25"/>
    <row r="60179" hidden="1" x14ac:dyDescent="0.25"/>
    <row r="60180" hidden="1" x14ac:dyDescent="0.25"/>
    <row r="60181" hidden="1" x14ac:dyDescent="0.25"/>
    <row r="60182" hidden="1" x14ac:dyDescent="0.25"/>
    <row r="60183" hidden="1" x14ac:dyDescent="0.25"/>
    <row r="60184" hidden="1" x14ac:dyDescent="0.25"/>
    <row r="60185" hidden="1" x14ac:dyDescent="0.25"/>
    <row r="60186" hidden="1" x14ac:dyDescent="0.25"/>
    <row r="60187" hidden="1" x14ac:dyDescent="0.25"/>
    <row r="60188" hidden="1" x14ac:dyDescent="0.25"/>
    <row r="60189" hidden="1" x14ac:dyDescent="0.25"/>
    <row r="60190" hidden="1" x14ac:dyDescent="0.25"/>
    <row r="60191" hidden="1" x14ac:dyDescent="0.25"/>
    <row r="60192" hidden="1" x14ac:dyDescent="0.25"/>
    <row r="60193" hidden="1" x14ac:dyDescent="0.25"/>
    <row r="60194" hidden="1" x14ac:dyDescent="0.25"/>
    <row r="60195" hidden="1" x14ac:dyDescent="0.25"/>
    <row r="60196" hidden="1" x14ac:dyDescent="0.25"/>
    <row r="60197" hidden="1" x14ac:dyDescent="0.25"/>
    <row r="60198" hidden="1" x14ac:dyDescent="0.25"/>
    <row r="60199" hidden="1" x14ac:dyDescent="0.25"/>
    <row r="60200" hidden="1" x14ac:dyDescent="0.25"/>
    <row r="60201" hidden="1" x14ac:dyDescent="0.25"/>
    <row r="60202" hidden="1" x14ac:dyDescent="0.25"/>
    <row r="60203" hidden="1" x14ac:dyDescent="0.25"/>
    <row r="60204" hidden="1" x14ac:dyDescent="0.25"/>
    <row r="60205" hidden="1" x14ac:dyDescent="0.25"/>
    <row r="60206" hidden="1" x14ac:dyDescent="0.25"/>
    <row r="60207" hidden="1" x14ac:dyDescent="0.25"/>
    <row r="60208" hidden="1" x14ac:dyDescent="0.25"/>
    <row r="60209" hidden="1" x14ac:dyDescent="0.25"/>
    <row r="60210" hidden="1" x14ac:dyDescent="0.25"/>
    <row r="60211" hidden="1" x14ac:dyDescent="0.25"/>
    <row r="60212" hidden="1" x14ac:dyDescent="0.25"/>
    <row r="60213" hidden="1" x14ac:dyDescent="0.25"/>
    <row r="60214" hidden="1" x14ac:dyDescent="0.25"/>
    <row r="60215" hidden="1" x14ac:dyDescent="0.25"/>
    <row r="60216" hidden="1" x14ac:dyDescent="0.25"/>
    <row r="60217" hidden="1" x14ac:dyDescent="0.25"/>
    <row r="60218" hidden="1" x14ac:dyDescent="0.25"/>
    <row r="60219" hidden="1" x14ac:dyDescent="0.25"/>
    <row r="60220" hidden="1" x14ac:dyDescent="0.25"/>
    <row r="60221" hidden="1" x14ac:dyDescent="0.25"/>
    <row r="60222" hidden="1" x14ac:dyDescent="0.25"/>
    <row r="60223" hidden="1" x14ac:dyDescent="0.25"/>
    <row r="60224" hidden="1" x14ac:dyDescent="0.25"/>
    <row r="60225" hidden="1" x14ac:dyDescent="0.25"/>
    <row r="60226" hidden="1" x14ac:dyDescent="0.25"/>
    <row r="60227" hidden="1" x14ac:dyDescent="0.25"/>
    <row r="60228" hidden="1" x14ac:dyDescent="0.25"/>
    <row r="60229" hidden="1" x14ac:dyDescent="0.25"/>
    <row r="60230" hidden="1" x14ac:dyDescent="0.25"/>
    <row r="60231" hidden="1" x14ac:dyDescent="0.25"/>
    <row r="60232" hidden="1" x14ac:dyDescent="0.25"/>
    <row r="60233" hidden="1" x14ac:dyDescent="0.25"/>
    <row r="60234" hidden="1" x14ac:dyDescent="0.25"/>
    <row r="60235" hidden="1" x14ac:dyDescent="0.25"/>
    <row r="60236" hidden="1" x14ac:dyDescent="0.25"/>
    <row r="60237" hidden="1" x14ac:dyDescent="0.25"/>
    <row r="60238" hidden="1" x14ac:dyDescent="0.25"/>
    <row r="60239" hidden="1" x14ac:dyDescent="0.25"/>
    <row r="60240" hidden="1" x14ac:dyDescent="0.25"/>
    <row r="60241" hidden="1" x14ac:dyDescent="0.25"/>
    <row r="60242" hidden="1" x14ac:dyDescent="0.25"/>
    <row r="60243" hidden="1" x14ac:dyDescent="0.25"/>
    <row r="60244" hidden="1" x14ac:dyDescent="0.25"/>
    <row r="60245" hidden="1" x14ac:dyDescent="0.25"/>
    <row r="60246" hidden="1" x14ac:dyDescent="0.25"/>
    <row r="60247" hidden="1" x14ac:dyDescent="0.25"/>
    <row r="60248" hidden="1" x14ac:dyDescent="0.25"/>
    <row r="60249" hidden="1" x14ac:dyDescent="0.25"/>
    <row r="60250" hidden="1" x14ac:dyDescent="0.25"/>
    <row r="60251" hidden="1" x14ac:dyDescent="0.25"/>
    <row r="60252" hidden="1" x14ac:dyDescent="0.25"/>
    <row r="60253" hidden="1" x14ac:dyDescent="0.25"/>
    <row r="60254" hidden="1" x14ac:dyDescent="0.25"/>
    <row r="60255" hidden="1" x14ac:dyDescent="0.25"/>
    <row r="60256" hidden="1" x14ac:dyDescent="0.25"/>
    <row r="60257" hidden="1" x14ac:dyDescent="0.25"/>
    <row r="60258" hidden="1" x14ac:dyDescent="0.25"/>
    <row r="60259" hidden="1" x14ac:dyDescent="0.25"/>
    <row r="60260" hidden="1" x14ac:dyDescent="0.25"/>
    <row r="60261" hidden="1" x14ac:dyDescent="0.25"/>
    <row r="60262" hidden="1" x14ac:dyDescent="0.25"/>
    <row r="60263" hidden="1" x14ac:dyDescent="0.25"/>
    <row r="60264" hidden="1" x14ac:dyDescent="0.25"/>
    <row r="60265" hidden="1" x14ac:dyDescent="0.25"/>
    <row r="60266" hidden="1" x14ac:dyDescent="0.25"/>
    <row r="60267" hidden="1" x14ac:dyDescent="0.25"/>
    <row r="60268" hidden="1" x14ac:dyDescent="0.25"/>
    <row r="60269" hidden="1" x14ac:dyDescent="0.25"/>
    <row r="60270" hidden="1" x14ac:dyDescent="0.25"/>
    <row r="60271" hidden="1" x14ac:dyDescent="0.25"/>
    <row r="60272" hidden="1" x14ac:dyDescent="0.25"/>
    <row r="60273" hidden="1" x14ac:dyDescent="0.25"/>
    <row r="60274" hidden="1" x14ac:dyDescent="0.25"/>
    <row r="60275" hidden="1" x14ac:dyDescent="0.25"/>
    <row r="60276" hidden="1" x14ac:dyDescent="0.25"/>
    <row r="60277" hidden="1" x14ac:dyDescent="0.25"/>
    <row r="60278" hidden="1" x14ac:dyDescent="0.25"/>
    <row r="60279" hidden="1" x14ac:dyDescent="0.25"/>
    <row r="60280" hidden="1" x14ac:dyDescent="0.25"/>
    <row r="60281" hidden="1" x14ac:dyDescent="0.25"/>
    <row r="60282" hidden="1" x14ac:dyDescent="0.25"/>
    <row r="60283" hidden="1" x14ac:dyDescent="0.25"/>
    <row r="60284" hidden="1" x14ac:dyDescent="0.25"/>
    <row r="60285" hidden="1" x14ac:dyDescent="0.25"/>
    <row r="60286" hidden="1" x14ac:dyDescent="0.25"/>
    <row r="60287" hidden="1" x14ac:dyDescent="0.25"/>
    <row r="60288" hidden="1" x14ac:dyDescent="0.25"/>
    <row r="60289" hidden="1" x14ac:dyDescent="0.25"/>
    <row r="60290" hidden="1" x14ac:dyDescent="0.25"/>
    <row r="60291" hidden="1" x14ac:dyDescent="0.25"/>
    <row r="60292" hidden="1" x14ac:dyDescent="0.25"/>
    <row r="60293" hidden="1" x14ac:dyDescent="0.25"/>
    <row r="60294" hidden="1" x14ac:dyDescent="0.25"/>
    <row r="60295" hidden="1" x14ac:dyDescent="0.25"/>
    <row r="60296" hidden="1" x14ac:dyDescent="0.25"/>
    <row r="60297" hidden="1" x14ac:dyDescent="0.25"/>
    <row r="60298" hidden="1" x14ac:dyDescent="0.25"/>
    <row r="60299" hidden="1" x14ac:dyDescent="0.25"/>
    <row r="60300" hidden="1" x14ac:dyDescent="0.25"/>
    <row r="60301" hidden="1" x14ac:dyDescent="0.25"/>
    <row r="60302" hidden="1" x14ac:dyDescent="0.25"/>
    <row r="60303" hidden="1" x14ac:dyDescent="0.25"/>
    <row r="60304" hidden="1" x14ac:dyDescent="0.25"/>
    <row r="60305" hidden="1" x14ac:dyDescent="0.25"/>
    <row r="60306" hidden="1" x14ac:dyDescent="0.25"/>
    <row r="60307" hidden="1" x14ac:dyDescent="0.25"/>
    <row r="60308" hidden="1" x14ac:dyDescent="0.25"/>
    <row r="60309" hidden="1" x14ac:dyDescent="0.25"/>
    <row r="60310" hidden="1" x14ac:dyDescent="0.25"/>
    <row r="60311" hidden="1" x14ac:dyDescent="0.25"/>
    <row r="60312" hidden="1" x14ac:dyDescent="0.25"/>
    <row r="60313" hidden="1" x14ac:dyDescent="0.25"/>
    <row r="60314" hidden="1" x14ac:dyDescent="0.25"/>
    <row r="60315" hidden="1" x14ac:dyDescent="0.25"/>
    <row r="60316" hidden="1" x14ac:dyDescent="0.25"/>
    <row r="60317" hidden="1" x14ac:dyDescent="0.25"/>
    <row r="60318" hidden="1" x14ac:dyDescent="0.25"/>
    <row r="60319" hidden="1" x14ac:dyDescent="0.25"/>
    <row r="60320" hidden="1" x14ac:dyDescent="0.25"/>
    <row r="60321" hidden="1" x14ac:dyDescent="0.25"/>
    <row r="60322" hidden="1" x14ac:dyDescent="0.25"/>
    <row r="60323" hidden="1" x14ac:dyDescent="0.25"/>
    <row r="60324" hidden="1" x14ac:dyDescent="0.25"/>
    <row r="60325" hidden="1" x14ac:dyDescent="0.25"/>
    <row r="60326" hidden="1" x14ac:dyDescent="0.25"/>
    <row r="60327" hidden="1" x14ac:dyDescent="0.25"/>
    <row r="60328" hidden="1" x14ac:dyDescent="0.25"/>
    <row r="60329" hidden="1" x14ac:dyDescent="0.25"/>
    <row r="60330" hidden="1" x14ac:dyDescent="0.25"/>
    <row r="60331" hidden="1" x14ac:dyDescent="0.25"/>
    <row r="60332" hidden="1" x14ac:dyDescent="0.25"/>
    <row r="60333" hidden="1" x14ac:dyDescent="0.25"/>
    <row r="60334" hidden="1" x14ac:dyDescent="0.25"/>
    <row r="60335" hidden="1" x14ac:dyDescent="0.25"/>
    <row r="60336" hidden="1" x14ac:dyDescent="0.25"/>
    <row r="60337" hidden="1" x14ac:dyDescent="0.25"/>
    <row r="60338" hidden="1" x14ac:dyDescent="0.25"/>
    <row r="60339" hidden="1" x14ac:dyDescent="0.25"/>
    <row r="60340" hidden="1" x14ac:dyDescent="0.25"/>
    <row r="60341" hidden="1" x14ac:dyDescent="0.25"/>
    <row r="60342" hidden="1" x14ac:dyDescent="0.25"/>
    <row r="60343" hidden="1" x14ac:dyDescent="0.25"/>
    <row r="60344" hidden="1" x14ac:dyDescent="0.25"/>
    <row r="60345" hidden="1" x14ac:dyDescent="0.25"/>
    <row r="60346" hidden="1" x14ac:dyDescent="0.25"/>
    <row r="60347" hidden="1" x14ac:dyDescent="0.25"/>
    <row r="60348" hidden="1" x14ac:dyDescent="0.25"/>
    <row r="60349" hidden="1" x14ac:dyDescent="0.25"/>
    <row r="60350" hidden="1" x14ac:dyDescent="0.25"/>
    <row r="60351" hidden="1" x14ac:dyDescent="0.25"/>
    <row r="60352" hidden="1" x14ac:dyDescent="0.25"/>
    <row r="60353" hidden="1" x14ac:dyDescent="0.25"/>
    <row r="60354" hidden="1" x14ac:dyDescent="0.25"/>
    <row r="60355" hidden="1" x14ac:dyDescent="0.25"/>
    <row r="60356" hidden="1" x14ac:dyDescent="0.25"/>
    <row r="60357" hidden="1" x14ac:dyDescent="0.25"/>
    <row r="60358" hidden="1" x14ac:dyDescent="0.25"/>
    <row r="60359" hidden="1" x14ac:dyDescent="0.25"/>
    <row r="60360" hidden="1" x14ac:dyDescent="0.25"/>
    <row r="60361" hidden="1" x14ac:dyDescent="0.25"/>
    <row r="60362" hidden="1" x14ac:dyDescent="0.25"/>
    <row r="60363" hidden="1" x14ac:dyDescent="0.25"/>
    <row r="60364" hidden="1" x14ac:dyDescent="0.25"/>
    <row r="60365" hidden="1" x14ac:dyDescent="0.25"/>
    <row r="60366" hidden="1" x14ac:dyDescent="0.25"/>
    <row r="60367" hidden="1" x14ac:dyDescent="0.25"/>
    <row r="60368" hidden="1" x14ac:dyDescent="0.25"/>
    <row r="60369" hidden="1" x14ac:dyDescent="0.25"/>
    <row r="60370" hidden="1" x14ac:dyDescent="0.25"/>
    <row r="60371" hidden="1" x14ac:dyDescent="0.25"/>
    <row r="60372" hidden="1" x14ac:dyDescent="0.25"/>
    <row r="60373" hidden="1" x14ac:dyDescent="0.25"/>
    <row r="60374" hidden="1" x14ac:dyDescent="0.25"/>
    <row r="60375" hidden="1" x14ac:dyDescent="0.25"/>
    <row r="60376" hidden="1" x14ac:dyDescent="0.25"/>
    <row r="60377" hidden="1" x14ac:dyDescent="0.25"/>
    <row r="60378" hidden="1" x14ac:dyDescent="0.25"/>
    <row r="60379" hidden="1" x14ac:dyDescent="0.25"/>
    <row r="60380" hidden="1" x14ac:dyDescent="0.25"/>
    <row r="60381" hidden="1" x14ac:dyDescent="0.25"/>
    <row r="60382" hidden="1" x14ac:dyDescent="0.25"/>
    <row r="60383" hidden="1" x14ac:dyDescent="0.25"/>
    <row r="60384" hidden="1" x14ac:dyDescent="0.25"/>
    <row r="60385" hidden="1" x14ac:dyDescent="0.25"/>
    <row r="60386" hidden="1" x14ac:dyDescent="0.25"/>
    <row r="60387" hidden="1" x14ac:dyDescent="0.25"/>
    <row r="60388" hidden="1" x14ac:dyDescent="0.25"/>
    <row r="60389" hidden="1" x14ac:dyDescent="0.25"/>
    <row r="60390" hidden="1" x14ac:dyDescent="0.25"/>
    <row r="60391" hidden="1" x14ac:dyDescent="0.25"/>
    <row r="60392" hidden="1" x14ac:dyDescent="0.25"/>
    <row r="60393" hidden="1" x14ac:dyDescent="0.25"/>
    <row r="60394" hidden="1" x14ac:dyDescent="0.25"/>
    <row r="60395" hidden="1" x14ac:dyDescent="0.25"/>
    <row r="60396" hidden="1" x14ac:dyDescent="0.25"/>
    <row r="60397" hidden="1" x14ac:dyDescent="0.25"/>
    <row r="60398" hidden="1" x14ac:dyDescent="0.25"/>
    <row r="60399" hidden="1" x14ac:dyDescent="0.25"/>
    <row r="60400" hidden="1" x14ac:dyDescent="0.25"/>
    <row r="60401" hidden="1" x14ac:dyDescent="0.25"/>
    <row r="60402" hidden="1" x14ac:dyDescent="0.25"/>
    <row r="60403" hidden="1" x14ac:dyDescent="0.25"/>
    <row r="60404" hidden="1" x14ac:dyDescent="0.25"/>
    <row r="60405" hidden="1" x14ac:dyDescent="0.25"/>
    <row r="60406" hidden="1" x14ac:dyDescent="0.25"/>
    <row r="60407" hidden="1" x14ac:dyDescent="0.25"/>
    <row r="60408" hidden="1" x14ac:dyDescent="0.25"/>
    <row r="60409" hidden="1" x14ac:dyDescent="0.25"/>
    <row r="60410" hidden="1" x14ac:dyDescent="0.25"/>
    <row r="60411" hidden="1" x14ac:dyDescent="0.25"/>
    <row r="60412" hidden="1" x14ac:dyDescent="0.25"/>
    <row r="60413" hidden="1" x14ac:dyDescent="0.25"/>
    <row r="60414" hidden="1" x14ac:dyDescent="0.25"/>
    <row r="60415" hidden="1" x14ac:dyDescent="0.25"/>
    <row r="60416" hidden="1" x14ac:dyDescent="0.25"/>
    <row r="60417" hidden="1" x14ac:dyDescent="0.25"/>
    <row r="60418" hidden="1" x14ac:dyDescent="0.25"/>
    <row r="60419" hidden="1" x14ac:dyDescent="0.25"/>
    <row r="60420" hidden="1" x14ac:dyDescent="0.25"/>
    <row r="60421" hidden="1" x14ac:dyDescent="0.25"/>
    <row r="60422" hidden="1" x14ac:dyDescent="0.25"/>
    <row r="60423" hidden="1" x14ac:dyDescent="0.25"/>
    <row r="60424" hidden="1" x14ac:dyDescent="0.25"/>
    <row r="60425" hidden="1" x14ac:dyDescent="0.25"/>
    <row r="60426" hidden="1" x14ac:dyDescent="0.25"/>
    <row r="60427" hidden="1" x14ac:dyDescent="0.25"/>
    <row r="60428" hidden="1" x14ac:dyDescent="0.25"/>
    <row r="60429" hidden="1" x14ac:dyDescent="0.25"/>
    <row r="60430" hidden="1" x14ac:dyDescent="0.25"/>
    <row r="60431" hidden="1" x14ac:dyDescent="0.25"/>
    <row r="60432" hidden="1" x14ac:dyDescent="0.25"/>
    <row r="60433" hidden="1" x14ac:dyDescent="0.25"/>
    <row r="60434" hidden="1" x14ac:dyDescent="0.25"/>
    <row r="60435" hidden="1" x14ac:dyDescent="0.25"/>
    <row r="60436" hidden="1" x14ac:dyDescent="0.25"/>
    <row r="60437" hidden="1" x14ac:dyDescent="0.25"/>
    <row r="60438" hidden="1" x14ac:dyDescent="0.25"/>
    <row r="60439" hidden="1" x14ac:dyDescent="0.25"/>
    <row r="60440" hidden="1" x14ac:dyDescent="0.25"/>
    <row r="60441" hidden="1" x14ac:dyDescent="0.25"/>
    <row r="60442" hidden="1" x14ac:dyDescent="0.25"/>
    <row r="60443" hidden="1" x14ac:dyDescent="0.25"/>
    <row r="60444" hidden="1" x14ac:dyDescent="0.25"/>
    <row r="60445" hidden="1" x14ac:dyDescent="0.25"/>
    <row r="60446" hidden="1" x14ac:dyDescent="0.25"/>
    <row r="60447" hidden="1" x14ac:dyDescent="0.25"/>
    <row r="60448" hidden="1" x14ac:dyDescent="0.25"/>
    <row r="60449" hidden="1" x14ac:dyDescent="0.25"/>
    <row r="60450" hidden="1" x14ac:dyDescent="0.25"/>
    <row r="60451" hidden="1" x14ac:dyDescent="0.25"/>
    <row r="60452" hidden="1" x14ac:dyDescent="0.25"/>
    <row r="60453" hidden="1" x14ac:dyDescent="0.25"/>
    <row r="60454" hidden="1" x14ac:dyDescent="0.25"/>
    <row r="60455" hidden="1" x14ac:dyDescent="0.25"/>
    <row r="60456" hidden="1" x14ac:dyDescent="0.25"/>
    <row r="60457" hidden="1" x14ac:dyDescent="0.25"/>
    <row r="60458" hidden="1" x14ac:dyDescent="0.25"/>
    <row r="60459" hidden="1" x14ac:dyDescent="0.25"/>
    <row r="60460" hidden="1" x14ac:dyDescent="0.25"/>
    <row r="60461" hidden="1" x14ac:dyDescent="0.25"/>
    <row r="60462" hidden="1" x14ac:dyDescent="0.25"/>
    <row r="60463" hidden="1" x14ac:dyDescent="0.25"/>
    <row r="60464" hidden="1" x14ac:dyDescent="0.25"/>
    <row r="60465" hidden="1" x14ac:dyDescent="0.25"/>
    <row r="60466" hidden="1" x14ac:dyDescent="0.25"/>
    <row r="60467" hidden="1" x14ac:dyDescent="0.25"/>
    <row r="60468" hidden="1" x14ac:dyDescent="0.25"/>
    <row r="60469" hidden="1" x14ac:dyDescent="0.25"/>
    <row r="60470" hidden="1" x14ac:dyDescent="0.25"/>
    <row r="60471" hidden="1" x14ac:dyDescent="0.25"/>
    <row r="60472" hidden="1" x14ac:dyDescent="0.25"/>
    <row r="60473" hidden="1" x14ac:dyDescent="0.25"/>
    <row r="60474" hidden="1" x14ac:dyDescent="0.25"/>
    <row r="60475" hidden="1" x14ac:dyDescent="0.25"/>
    <row r="60476" hidden="1" x14ac:dyDescent="0.25"/>
    <row r="60477" hidden="1" x14ac:dyDescent="0.25"/>
    <row r="60478" hidden="1" x14ac:dyDescent="0.25"/>
    <row r="60479" hidden="1" x14ac:dyDescent="0.25"/>
    <row r="60480" hidden="1" x14ac:dyDescent="0.25"/>
    <row r="60481" hidden="1" x14ac:dyDescent="0.25"/>
    <row r="60482" hidden="1" x14ac:dyDescent="0.25"/>
    <row r="60483" hidden="1" x14ac:dyDescent="0.25"/>
    <row r="60484" hidden="1" x14ac:dyDescent="0.25"/>
    <row r="60485" hidden="1" x14ac:dyDescent="0.25"/>
    <row r="60486" hidden="1" x14ac:dyDescent="0.25"/>
    <row r="60487" hidden="1" x14ac:dyDescent="0.25"/>
    <row r="60488" hidden="1" x14ac:dyDescent="0.25"/>
    <row r="60489" hidden="1" x14ac:dyDescent="0.25"/>
    <row r="60490" hidden="1" x14ac:dyDescent="0.25"/>
    <row r="60491" hidden="1" x14ac:dyDescent="0.25"/>
    <row r="60492" hidden="1" x14ac:dyDescent="0.25"/>
    <row r="60493" hidden="1" x14ac:dyDescent="0.25"/>
    <row r="60494" hidden="1" x14ac:dyDescent="0.25"/>
    <row r="60495" hidden="1" x14ac:dyDescent="0.25"/>
    <row r="60496" hidden="1" x14ac:dyDescent="0.25"/>
    <row r="60497" hidden="1" x14ac:dyDescent="0.25"/>
    <row r="60498" hidden="1" x14ac:dyDescent="0.25"/>
    <row r="60499" hidden="1" x14ac:dyDescent="0.25"/>
    <row r="60500" hidden="1" x14ac:dyDescent="0.25"/>
    <row r="60501" hidden="1" x14ac:dyDescent="0.25"/>
    <row r="60502" hidden="1" x14ac:dyDescent="0.25"/>
    <row r="60503" hidden="1" x14ac:dyDescent="0.25"/>
    <row r="60504" hidden="1" x14ac:dyDescent="0.25"/>
    <row r="60505" hidden="1" x14ac:dyDescent="0.25"/>
    <row r="60506" hidden="1" x14ac:dyDescent="0.25"/>
    <row r="60507" hidden="1" x14ac:dyDescent="0.25"/>
    <row r="60508" hidden="1" x14ac:dyDescent="0.25"/>
    <row r="60509" hidden="1" x14ac:dyDescent="0.25"/>
    <row r="60510" hidden="1" x14ac:dyDescent="0.25"/>
    <row r="60511" hidden="1" x14ac:dyDescent="0.25"/>
    <row r="60512" hidden="1" x14ac:dyDescent="0.25"/>
    <row r="60513" hidden="1" x14ac:dyDescent="0.25"/>
    <row r="60514" hidden="1" x14ac:dyDescent="0.25"/>
    <row r="60515" hidden="1" x14ac:dyDescent="0.25"/>
    <row r="60516" hidden="1" x14ac:dyDescent="0.25"/>
    <row r="60517" hidden="1" x14ac:dyDescent="0.25"/>
    <row r="60518" hidden="1" x14ac:dyDescent="0.25"/>
    <row r="60519" hidden="1" x14ac:dyDescent="0.25"/>
    <row r="60520" hidden="1" x14ac:dyDescent="0.25"/>
    <row r="60521" hidden="1" x14ac:dyDescent="0.25"/>
    <row r="60522" hidden="1" x14ac:dyDescent="0.25"/>
    <row r="60523" hidden="1" x14ac:dyDescent="0.25"/>
    <row r="60524" hidden="1" x14ac:dyDescent="0.25"/>
    <row r="60525" hidden="1" x14ac:dyDescent="0.25"/>
    <row r="60526" hidden="1" x14ac:dyDescent="0.25"/>
    <row r="60527" hidden="1" x14ac:dyDescent="0.25"/>
    <row r="60528" hidden="1" x14ac:dyDescent="0.25"/>
    <row r="60529" hidden="1" x14ac:dyDescent="0.25"/>
    <row r="60530" hidden="1" x14ac:dyDescent="0.25"/>
    <row r="60531" hidden="1" x14ac:dyDescent="0.25"/>
    <row r="60532" hidden="1" x14ac:dyDescent="0.25"/>
    <row r="60533" hidden="1" x14ac:dyDescent="0.25"/>
    <row r="60534" hidden="1" x14ac:dyDescent="0.25"/>
    <row r="60535" hidden="1" x14ac:dyDescent="0.25"/>
    <row r="60536" hidden="1" x14ac:dyDescent="0.25"/>
    <row r="60537" hidden="1" x14ac:dyDescent="0.25"/>
    <row r="60538" hidden="1" x14ac:dyDescent="0.25"/>
    <row r="60539" hidden="1" x14ac:dyDescent="0.25"/>
    <row r="60540" hidden="1" x14ac:dyDescent="0.25"/>
    <row r="60541" hidden="1" x14ac:dyDescent="0.25"/>
    <row r="60542" hidden="1" x14ac:dyDescent="0.25"/>
    <row r="60543" hidden="1" x14ac:dyDescent="0.25"/>
    <row r="60544" hidden="1" x14ac:dyDescent="0.25"/>
    <row r="60545" hidden="1" x14ac:dyDescent="0.25"/>
    <row r="60546" hidden="1" x14ac:dyDescent="0.25"/>
    <row r="60547" hidden="1" x14ac:dyDescent="0.25"/>
    <row r="60548" hidden="1" x14ac:dyDescent="0.25"/>
    <row r="60549" hidden="1" x14ac:dyDescent="0.25"/>
    <row r="60550" hidden="1" x14ac:dyDescent="0.25"/>
    <row r="60551" hidden="1" x14ac:dyDescent="0.25"/>
    <row r="60552" hidden="1" x14ac:dyDescent="0.25"/>
    <row r="60553" hidden="1" x14ac:dyDescent="0.25"/>
    <row r="60554" hidden="1" x14ac:dyDescent="0.25"/>
    <row r="60555" hidden="1" x14ac:dyDescent="0.25"/>
    <row r="60556" hidden="1" x14ac:dyDescent="0.25"/>
    <row r="60557" hidden="1" x14ac:dyDescent="0.25"/>
    <row r="60558" hidden="1" x14ac:dyDescent="0.25"/>
    <row r="60559" hidden="1" x14ac:dyDescent="0.25"/>
    <row r="60560" hidden="1" x14ac:dyDescent="0.25"/>
    <row r="60561" hidden="1" x14ac:dyDescent="0.25"/>
    <row r="60562" hidden="1" x14ac:dyDescent="0.25"/>
    <row r="60563" hidden="1" x14ac:dyDescent="0.25"/>
    <row r="60564" hidden="1" x14ac:dyDescent="0.25"/>
    <row r="60565" hidden="1" x14ac:dyDescent="0.25"/>
    <row r="60566" hidden="1" x14ac:dyDescent="0.25"/>
    <row r="60567" hidden="1" x14ac:dyDescent="0.25"/>
    <row r="60568" hidden="1" x14ac:dyDescent="0.25"/>
    <row r="60569" hidden="1" x14ac:dyDescent="0.25"/>
    <row r="60570" hidden="1" x14ac:dyDescent="0.25"/>
    <row r="60571" hidden="1" x14ac:dyDescent="0.25"/>
    <row r="60572" hidden="1" x14ac:dyDescent="0.25"/>
    <row r="60573" hidden="1" x14ac:dyDescent="0.25"/>
    <row r="60574" hidden="1" x14ac:dyDescent="0.25"/>
    <row r="60575" hidden="1" x14ac:dyDescent="0.25"/>
    <row r="60576" hidden="1" x14ac:dyDescent="0.25"/>
    <row r="60577" hidden="1" x14ac:dyDescent="0.25"/>
    <row r="60578" hidden="1" x14ac:dyDescent="0.25"/>
    <row r="60579" hidden="1" x14ac:dyDescent="0.25"/>
    <row r="60580" hidden="1" x14ac:dyDescent="0.25"/>
    <row r="60581" hidden="1" x14ac:dyDescent="0.25"/>
    <row r="60582" hidden="1" x14ac:dyDescent="0.25"/>
    <row r="60583" hidden="1" x14ac:dyDescent="0.25"/>
    <row r="60584" hidden="1" x14ac:dyDescent="0.25"/>
    <row r="60585" hidden="1" x14ac:dyDescent="0.25"/>
    <row r="60586" hidden="1" x14ac:dyDescent="0.25"/>
    <row r="60587" hidden="1" x14ac:dyDescent="0.25"/>
    <row r="60588" hidden="1" x14ac:dyDescent="0.25"/>
    <row r="60589" hidden="1" x14ac:dyDescent="0.25"/>
    <row r="60590" hidden="1" x14ac:dyDescent="0.25"/>
    <row r="60591" hidden="1" x14ac:dyDescent="0.25"/>
    <row r="60592" hidden="1" x14ac:dyDescent="0.25"/>
    <row r="60593" hidden="1" x14ac:dyDescent="0.25"/>
    <row r="60594" hidden="1" x14ac:dyDescent="0.25"/>
    <row r="60595" hidden="1" x14ac:dyDescent="0.25"/>
    <row r="60596" hidden="1" x14ac:dyDescent="0.25"/>
    <row r="60597" hidden="1" x14ac:dyDescent="0.25"/>
    <row r="60598" hidden="1" x14ac:dyDescent="0.25"/>
    <row r="60599" hidden="1" x14ac:dyDescent="0.25"/>
    <row r="60600" hidden="1" x14ac:dyDescent="0.25"/>
    <row r="60601" hidden="1" x14ac:dyDescent="0.25"/>
    <row r="60602" hidden="1" x14ac:dyDescent="0.25"/>
    <row r="60603" hidden="1" x14ac:dyDescent="0.25"/>
    <row r="60604" hidden="1" x14ac:dyDescent="0.25"/>
    <row r="60605" hidden="1" x14ac:dyDescent="0.25"/>
    <row r="60606" hidden="1" x14ac:dyDescent="0.25"/>
    <row r="60607" hidden="1" x14ac:dyDescent="0.25"/>
    <row r="60608" hidden="1" x14ac:dyDescent="0.25"/>
    <row r="60609" hidden="1" x14ac:dyDescent="0.25"/>
    <row r="60610" hidden="1" x14ac:dyDescent="0.25"/>
    <row r="60611" hidden="1" x14ac:dyDescent="0.25"/>
    <row r="60612" hidden="1" x14ac:dyDescent="0.25"/>
    <row r="60613" hidden="1" x14ac:dyDescent="0.25"/>
    <row r="60614" hidden="1" x14ac:dyDescent="0.25"/>
    <row r="60615" hidden="1" x14ac:dyDescent="0.25"/>
    <row r="60616" hidden="1" x14ac:dyDescent="0.25"/>
    <row r="60617" hidden="1" x14ac:dyDescent="0.25"/>
    <row r="60618" hidden="1" x14ac:dyDescent="0.25"/>
    <row r="60619" hidden="1" x14ac:dyDescent="0.25"/>
    <row r="60620" hidden="1" x14ac:dyDescent="0.25"/>
    <row r="60621" hidden="1" x14ac:dyDescent="0.25"/>
    <row r="60622" hidden="1" x14ac:dyDescent="0.25"/>
    <row r="60623" hidden="1" x14ac:dyDescent="0.25"/>
    <row r="60624" hidden="1" x14ac:dyDescent="0.25"/>
    <row r="60625" hidden="1" x14ac:dyDescent="0.25"/>
    <row r="60626" hidden="1" x14ac:dyDescent="0.25"/>
    <row r="60627" hidden="1" x14ac:dyDescent="0.25"/>
    <row r="60628" hidden="1" x14ac:dyDescent="0.25"/>
    <row r="60629" hidden="1" x14ac:dyDescent="0.25"/>
    <row r="60630" hidden="1" x14ac:dyDescent="0.25"/>
    <row r="60631" hidden="1" x14ac:dyDescent="0.25"/>
    <row r="60632" hidden="1" x14ac:dyDescent="0.25"/>
    <row r="60633" hidden="1" x14ac:dyDescent="0.25"/>
    <row r="60634" hidden="1" x14ac:dyDescent="0.25"/>
    <row r="60635" hidden="1" x14ac:dyDescent="0.25"/>
    <row r="60636" hidden="1" x14ac:dyDescent="0.25"/>
    <row r="60637" hidden="1" x14ac:dyDescent="0.25"/>
    <row r="60638" hidden="1" x14ac:dyDescent="0.25"/>
    <row r="60639" hidden="1" x14ac:dyDescent="0.25"/>
    <row r="60640" hidden="1" x14ac:dyDescent="0.25"/>
    <row r="60641" hidden="1" x14ac:dyDescent="0.25"/>
    <row r="60642" hidden="1" x14ac:dyDescent="0.25"/>
    <row r="60643" hidden="1" x14ac:dyDescent="0.25"/>
    <row r="60644" hidden="1" x14ac:dyDescent="0.25"/>
    <row r="60645" hidden="1" x14ac:dyDescent="0.25"/>
    <row r="60646" hidden="1" x14ac:dyDescent="0.25"/>
    <row r="60647" hidden="1" x14ac:dyDescent="0.25"/>
    <row r="60648" hidden="1" x14ac:dyDescent="0.25"/>
    <row r="60649" hidden="1" x14ac:dyDescent="0.25"/>
    <row r="60650" hidden="1" x14ac:dyDescent="0.25"/>
    <row r="60651" hidden="1" x14ac:dyDescent="0.25"/>
    <row r="60652" hidden="1" x14ac:dyDescent="0.25"/>
    <row r="60653" hidden="1" x14ac:dyDescent="0.25"/>
    <row r="60654" hidden="1" x14ac:dyDescent="0.25"/>
    <row r="60655" hidden="1" x14ac:dyDescent="0.25"/>
    <row r="60656" hidden="1" x14ac:dyDescent="0.25"/>
    <row r="60657" hidden="1" x14ac:dyDescent="0.25"/>
    <row r="60658" hidden="1" x14ac:dyDescent="0.25"/>
    <row r="60659" hidden="1" x14ac:dyDescent="0.25"/>
    <row r="60660" hidden="1" x14ac:dyDescent="0.25"/>
    <row r="60661" hidden="1" x14ac:dyDescent="0.25"/>
    <row r="60662" hidden="1" x14ac:dyDescent="0.25"/>
    <row r="60663" hidden="1" x14ac:dyDescent="0.25"/>
    <row r="60664" hidden="1" x14ac:dyDescent="0.25"/>
    <row r="60665" hidden="1" x14ac:dyDescent="0.25"/>
    <row r="60666" hidden="1" x14ac:dyDescent="0.25"/>
    <row r="60667" hidden="1" x14ac:dyDescent="0.25"/>
    <row r="60668" hidden="1" x14ac:dyDescent="0.25"/>
    <row r="60669" hidden="1" x14ac:dyDescent="0.25"/>
    <row r="60670" hidden="1" x14ac:dyDescent="0.25"/>
    <row r="60671" hidden="1" x14ac:dyDescent="0.25"/>
    <row r="60672" hidden="1" x14ac:dyDescent="0.25"/>
    <row r="60673" hidden="1" x14ac:dyDescent="0.25"/>
    <row r="60674" hidden="1" x14ac:dyDescent="0.25"/>
    <row r="60675" hidden="1" x14ac:dyDescent="0.25"/>
    <row r="60676" hidden="1" x14ac:dyDescent="0.25"/>
    <row r="60677" hidden="1" x14ac:dyDescent="0.25"/>
    <row r="60678" hidden="1" x14ac:dyDescent="0.25"/>
    <row r="60679" hidden="1" x14ac:dyDescent="0.25"/>
    <row r="60680" hidden="1" x14ac:dyDescent="0.25"/>
    <row r="60681" hidden="1" x14ac:dyDescent="0.25"/>
    <row r="60682" hidden="1" x14ac:dyDescent="0.25"/>
    <row r="60683" hidden="1" x14ac:dyDescent="0.25"/>
    <row r="60684" hidden="1" x14ac:dyDescent="0.25"/>
    <row r="60685" hidden="1" x14ac:dyDescent="0.25"/>
    <row r="60686" hidden="1" x14ac:dyDescent="0.25"/>
    <row r="60687" hidden="1" x14ac:dyDescent="0.25"/>
    <row r="60688" hidden="1" x14ac:dyDescent="0.25"/>
    <row r="60689" hidden="1" x14ac:dyDescent="0.25"/>
    <row r="60690" hidden="1" x14ac:dyDescent="0.25"/>
    <row r="60691" hidden="1" x14ac:dyDescent="0.25"/>
    <row r="60692" hidden="1" x14ac:dyDescent="0.25"/>
    <row r="60693" hidden="1" x14ac:dyDescent="0.25"/>
    <row r="60694" hidden="1" x14ac:dyDescent="0.25"/>
    <row r="60695" hidden="1" x14ac:dyDescent="0.25"/>
    <row r="60696" hidden="1" x14ac:dyDescent="0.25"/>
    <row r="60697" hidden="1" x14ac:dyDescent="0.25"/>
    <row r="60698" hidden="1" x14ac:dyDescent="0.25"/>
    <row r="60699" hidden="1" x14ac:dyDescent="0.25"/>
    <row r="60700" hidden="1" x14ac:dyDescent="0.25"/>
    <row r="60701" hidden="1" x14ac:dyDescent="0.25"/>
    <row r="60702" hidden="1" x14ac:dyDescent="0.25"/>
    <row r="60703" hidden="1" x14ac:dyDescent="0.25"/>
    <row r="60704" hidden="1" x14ac:dyDescent="0.25"/>
    <row r="60705" hidden="1" x14ac:dyDescent="0.25"/>
    <row r="60706" hidden="1" x14ac:dyDescent="0.25"/>
    <row r="60707" hidden="1" x14ac:dyDescent="0.25"/>
    <row r="60708" hidden="1" x14ac:dyDescent="0.25"/>
    <row r="60709" hidden="1" x14ac:dyDescent="0.25"/>
    <row r="60710" hidden="1" x14ac:dyDescent="0.25"/>
    <row r="60711" hidden="1" x14ac:dyDescent="0.25"/>
    <row r="60712" hidden="1" x14ac:dyDescent="0.25"/>
    <row r="60713" hidden="1" x14ac:dyDescent="0.25"/>
    <row r="60714" hidden="1" x14ac:dyDescent="0.25"/>
    <row r="60715" hidden="1" x14ac:dyDescent="0.25"/>
    <row r="60716" hidden="1" x14ac:dyDescent="0.25"/>
    <row r="60717" hidden="1" x14ac:dyDescent="0.25"/>
    <row r="60718" hidden="1" x14ac:dyDescent="0.25"/>
    <row r="60719" hidden="1" x14ac:dyDescent="0.25"/>
    <row r="60720" hidden="1" x14ac:dyDescent="0.25"/>
    <row r="60721" hidden="1" x14ac:dyDescent="0.25"/>
    <row r="60722" hidden="1" x14ac:dyDescent="0.25"/>
    <row r="60723" hidden="1" x14ac:dyDescent="0.25"/>
    <row r="60724" hidden="1" x14ac:dyDescent="0.25"/>
    <row r="60725" hidden="1" x14ac:dyDescent="0.25"/>
    <row r="60726" hidden="1" x14ac:dyDescent="0.25"/>
    <row r="60727" hidden="1" x14ac:dyDescent="0.25"/>
    <row r="60728" hidden="1" x14ac:dyDescent="0.25"/>
    <row r="60729" hidden="1" x14ac:dyDescent="0.25"/>
    <row r="60730" hidden="1" x14ac:dyDescent="0.25"/>
    <row r="60731" hidden="1" x14ac:dyDescent="0.25"/>
    <row r="60732" hidden="1" x14ac:dyDescent="0.25"/>
    <row r="60733" hidden="1" x14ac:dyDescent="0.25"/>
    <row r="60734" hidden="1" x14ac:dyDescent="0.25"/>
    <row r="60735" hidden="1" x14ac:dyDescent="0.25"/>
    <row r="60736" hidden="1" x14ac:dyDescent="0.25"/>
    <row r="60737" hidden="1" x14ac:dyDescent="0.25"/>
    <row r="60738" hidden="1" x14ac:dyDescent="0.25"/>
    <row r="60739" hidden="1" x14ac:dyDescent="0.25"/>
    <row r="60740" hidden="1" x14ac:dyDescent="0.25"/>
    <row r="60741" hidden="1" x14ac:dyDescent="0.25"/>
    <row r="60742" hidden="1" x14ac:dyDescent="0.25"/>
    <row r="60743" hidden="1" x14ac:dyDescent="0.25"/>
    <row r="60744" hidden="1" x14ac:dyDescent="0.25"/>
    <row r="60745" hidden="1" x14ac:dyDescent="0.25"/>
    <row r="60746" hidden="1" x14ac:dyDescent="0.25"/>
    <row r="60747" hidden="1" x14ac:dyDescent="0.25"/>
    <row r="60748" hidden="1" x14ac:dyDescent="0.25"/>
    <row r="60749" hidden="1" x14ac:dyDescent="0.25"/>
    <row r="60750" hidden="1" x14ac:dyDescent="0.25"/>
    <row r="60751" hidden="1" x14ac:dyDescent="0.25"/>
    <row r="60752" hidden="1" x14ac:dyDescent="0.25"/>
    <row r="60753" hidden="1" x14ac:dyDescent="0.25"/>
    <row r="60754" hidden="1" x14ac:dyDescent="0.25"/>
    <row r="60755" hidden="1" x14ac:dyDescent="0.25"/>
    <row r="60756" hidden="1" x14ac:dyDescent="0.25"/>
    <row r="60757" hidden="1" x14ac:dyDescent="0.25"/>
    <row r="60758" hidden="1" x14ac:dyDescent="0.25"/>
    <row r="60759" hidden="1" x14ac:dyDescent="0.25"/>
    <row r="60760" hidden="1" x14ac:dyDescent="0.25"/>
    <row r="60761" hidden="1" x14ac:dyDescent="0.25"/>
    <row r="60762" hidden="1" x14ac:dyDescent="0.25"/>
    <row r="60763" hidden="1" x14ac:dyDescent="0.25"/>
    <row r="60764" hidden="1" x14ac:dyDescent="0.25"/>
    <row r="60765" hidden="1" x14ac:dyDescent="0.25"/>
    <row r="60766" hidden="1" x14ac:dyDescent="0.25"/>
    <row r="60767" hidden="1" x14ac:dyDescent="0.25"/>
    <row r="60768" hidden="1" x14ac:dyDescent="0.25"/>
    <row r="60769" hidden="1" x14ac:dyDescent="0.25"/>
    <row r="60770" hidden="1" x14ac:dyDescent="0.25"/>
    <row r="60771" hidden="1" x14ac:dyDescent="0.25"/>
    <row r="60772" hidden="1" x14ac:dyDescent="0.25"/>
    <row r="60773" hidden="1" x14ac:dyDescent="0.25"/>
    <row r="60774" hidden="1" x14ac:dyDescent="0.25"/>
    <row r="60775" hidden="1" x14ac:dyDescent="0.25"/>
    <row r="60776" hidden="1" x14ac:dyDescent="0.25"/>
    <row r="60777" hidden="1" x14ac:dyDescent="0.25"/>
    <row r="60778" hidden="1" x14ac:dyDescent="0.25"/>
    <row r="60779" hidden="1" x14ac:dyDescent="0.25"/>
    <row r="60780" hidden="1" x14ac:dyDescent="0.25"/>
    <row r="60781" hidden="1" x14ac:dyDescent="0.25"/>
    <row r="60782" hidden="1" x14ac:dyDescent="0.25"/>
    <row r="60783" hidden="1" x14ac:dyDescent="0.25"/>
    <row r="60784" hidden="1" x14ac:dyDescent="0.25"/>
    <row r="60785" hidden="1" x14ac:dyDescent="0.25"/>
    <row r="60786" hidden="1" x14ac:dyDescent="0.25"/>
    <row r="60787" hidden="1" x14ac:dyDescent="0.25"/>
    <row r="60788" hidden="1" x14ac:dyDescent="0.25"/>
    <row r="60789" hidden="1" x14ac:dyDescent="0.25"/>
    <row r="60790" hidden="1" x14ac:dyDescent="0.25"/>
    <row r="60791" hidden="1" x14ac:dyDescent="0.25"/>
    <row r="60792" hidden="1" x14ac:dyDescent="0.25"/>
    <row r="60793" hidden="1" x14ac:dyDescent="0.25"/>
    <row r="60794" hidden="1" x14ac:dyDescent="0.25"/>
    <row r="60795" hidden="1" x14ac:dyDescent="0.25"/>
    <row r="60796" hidden="1" x14ac:dyDescent="0.25"/>
    <row r="60797" hidden="1" x14ac:dyDescent="0.25"/>
    <row r="60798" hidden="1" x14ac:dyDescent="0.25"/>
    <row r="60799" hidden="1" x14ac:dyDescent="0.25"/>
    <row r="60800" hidden="1" x14ac:dyDescent="0.25"/>
    <row r="60801" hidden="1" x14ac:dyDescent="0.25"/>
    <row r="60802" hidden="1" x14ac:dyDescent="0.25"/>
    <row r="60803" hidden="1" x14ac:dyDescent="0.25"/>
    <row r="60804" hidden="1" x14ac:dyDescent="0.25"/>
    <row r="60805" hidden="1" x14ac:dyDescent="0.25"/>
    <row r="60806" hidden="1" x14ac:dyDescent="0.25"/>
    <row r="60807" hidden="1" x14ac:dyDescent="0.25"/>
    <row r="60808" hidden="1" x14ac:dyDescent="0.25"/>
    <row r="60809" hidden="1" x14ac:dyDescent="0.25"/>
    <row r="60810" hidden="1" x14ac:dyDescent="0.25"/>
    <row r="60811" hidden="1" x14ac:dyDescent="0.25"/>
    <row r="60812" hidden="1" x14ac:dyDescent="0.25"/>
    <row r="60813" hidden="1" x14ac:dyDescent="0.25"/>
    <row r="60814" hidden="1" x14ac:dyDescent="0.25"/>
    <row r="60815" hidden="1" x14ac:dyDescent="0.25"/>
    <row r="60816" hidden="1" x14ac:dyDescent="0.25"/>
    <row r="60817" hidden="1" x14ac:dyDescent="0.25"/>
    <row r="60818" hidden="1" x14ac:dyDescent="0.25"/>
    <row r="60819" hidden="1" x14ac:dyDescent="0.25"/>
    <row r="60820" hidden="1" x14ac:dyDescent="0.25"/>
    <row r="60821" hidden="1" x14ac:dyDescent="0.25"/>
    <row r="60822" hidden="1" x14ac:dyDescent="0.25"/>
    <row r="60823" hidden="1" x14ac:dyDescent="0.25"/>
    <row r="60824" hidden="1" x14ac:dyDescent="0.25"/>
    <row r="60825" hidden="1" x14ac:dyDescent="0.25"/>
    <row r="60826" hidden="1" x14ac:dyDescent="0.25"/>
    <row r="60827" hidden="1" x14ac:dyDescent="0.25"/>
    <row r="60828" hidden="1" x14ac:dyDescent="0.25"/>
    <row r="60829" hidden="1" x14ac:dyDescent="0.25"/>
    <row r="60830" hidden="1" x14ac:dyDescent="0.25"/>
    <row r="60831" hidden="1" x14ac:dyDescent="0.25"/>
    <row r="60832" hidden="1" x14ac:dyDescent="0.25"/>
    <row r="60833" hidden="1" x14ac:dyDescent="0.25"/>
    <row r="60834" hidden="1" x14ac:dyDescent="0.25"/>
    <row r="60835" hidden="1" x14ac:dyDescent="0.25"/>
    <row r="60836" hidden="1" x14ac:dyDescent="0.25"/>
    <row r="60837" hidden="1" x14ac:dyDescent="0.25"/>
    <row r="60838" hidden="1" x14ac:dyDescent="0.25"/>
    <row r="60839" hidden="1" x14ac:dyDescent="0.25"/>
    <row r="60840" hidden="1" x14ac:dyDescent="0.25"/>
    <row r="60841" hidden="1" x14ac:dyDescent="0.25"/>
    <row r="60842" hidden="1" x14ac:dyDescent="0.25"/>
    <row r="60843" hidden="1" x14ac:dyDescent="0.25"/>
    <row r="60844" hidden="1" x14ac:dyDescent="0.25"/>
    <row r="60845" hidden="1" x14ac:dyDescent="0.25"/>
    <row r="60846" hidden="1" x14ac:dyDescent="0.25"/>
    <row r="60847" hidden="1" x14ac:dyDescent="0.25"/>
    <row r="60848" hidden="1" x14ac:dyDescent="0.25"/>
    <row r="60849" hidden="1" x14ac:dyDescent="0.25"/>
    <row r="60850" hidden="1" x14ac:dyDescent="0.25"/>
    <row r="60851" hidden="1" x14ac:dyDescent="0.25"/>
    <row r="60852" hidden="1" x14ac:dyDescent="0.25"/>
    <row r="60853" hidden="1" x14ac:dyDescent="0.25"/>
    <row r="60854" hidden="1" x14ac:dyDescent="0.25"/>
    <row r="60855" hidden="1" x14ac:dyDescent="0.25"/>
    <row r="60856" hidden="1" x14ac:dyDescent="0.25"/>
    <row r="60857" hidden="1" x14ac:dyDescent="0.25"/>
    <row r="60858" hidden="1" x14ac:dyDescent="0.25"/>
    <row r="60859" hidden="1" x14ac:dyDescent="0.25"/>
    <row r="60860" hidden="1" x14ac:dyDescent="0.25"/>
    <row r="60861" hidden="1" x14ac:dyDescent="0.25"/>
    <row r="60862" hidden="1" x14ac:dyDescent="0.25"/>
    <row r="60863" hidden="1" x14ac:dyDescent="0.25"/>
    <row r="60864" hidden="1" x14ac:dyDescent="0.25"/>
    <row r="60865" hidden="1" x14ac:dyDescent="0.25"/>
    <row r="60866" hidden="1" x14ac:dyDescent="0.25"/>
    <row r="60867" hidden="1" x14ac:dyDescent="0.25"/>
    <row r="60868" hidden="1" x14ac:dyDescent="0.25"/>
    <row r="60869" hidden="1" x14ac:dyDescent="0.25"/>
    <row r="60870" hidden="1" x14ac:dyDescent="0.25"/>
    <row r="60871" hidden="1" x14ac:dyDescent="0.25"/>
    <row r="60872" hidden="1" x14ac:dyDescent="0.25"/>
    <row r="60873" hidden="1" x14ac:dyDescent="0.25"/>
    <row r="60874" hidden="1" x14ac:dyDescent="0.25"/>
    <row r="60875" hidden="1" x14ac:dyDescent="0.25"/>
    <row r="60876" hidden="1" x14ac:dyDescent="0.25"/>
    <row r="60877" hidden="1" x14ac:dyDescent="0.25"/>
    <row r="60878" hidden="1" x14ac:dyDescent="0.25"/>
    <row r="60879" hidden="1" x14ac:dyDescent="0.25"/>
    <row r="60880" hidden="1" x14ac:dyDescent="0.25"/>
    <row r="60881" hidden="1" x14ac:dyDescent="0.25"/>
    <row r="60882" hidden="1" x14ac:dyDescent="0.25"/>
    <row r="60883" hidden="1" x14ac:dyDescent="0.25"/>
    <row r="60884" hidden="1" x14ac:dyDescent="0.25"/>
    <row r="60885" hidden="1" x14ac:dyDescent="0.25"/>
    <row r="60886" hidden="1" x14ac:dyDescent="0.25"/>
    <row r="60887" hidden="1" x14ac:dyDescent="0.25"/>
    <row r="60888" hidden="1" x14ac:dyDescent="0.25"/>
    <row r="60889" hidden="1" x14ac:dyDescent="0.25"/>
    <row r="60890" hidden="1" x14ac:dyDescent="0.25"/>
    <row r="60891" hidden="1" x14ac:dyDescent="0.25"/>
    <row r="60892" hidden="1" x14ac:dyDescent="0.25"/>
    <row r="60893" hidden="1" x14ac:dyDescent="0.25"/>
    <row r="60894" hidden="1" x14ac:dyDescent="0.25"/>
    <row r="60895" hidden="1" x14ac:dyDescent="0.25"/>
    <row r="60896" hidden="1" x14ac:dyDescent="0.25"/>
    <row r="60897" hidden="1" x14ac:dyDescent="0.25"/>
    <row r="60898" hidden="1" x14ac:dyDescent="0.25"/>
    <row r="60899" hidden="1" x14ac:dyDescent="0.25"/>
    <row r="60900" hidden="1" x14ac:dyDescent="0.25"/>
    <row r="60901" hidden="1" x14ac:dyDescent="0.25"/>
    <row r="60902" hidden="1" x14ac:dyDescent="0.25"/>
    <row r="60903" hidden="1" x14ac:dyDescent="0.25"/>
    <row r="60904" hidden="1" x14ac:dyDescent="0.25"/>
    <row r="60905" hidden="1" x14ac:dyDescent="0.25"/>
    <row r="60906" hidden="1" x14ac:dyDescent="0.25"/>
    <row r="60907" hidden="1" x14ac:dyDescent="0.25"/>
    <row r="60908" hidden="1" x14ac:dyDescent="0.25"/>
    <row r="60909" hidden="1" x14ac:dyDescent="0.25"/>
    <row r="60910" hidden="1" x14ac:dyDescent="0.25"/>
    <row r="60911" hidden="1" x14ac:dyDescent="0.25"/>
    <row r="60912" hidden="1" x14ac:dyDescent="0.25"/>
    <row r="60913" hidden="1" x14ac:dyDescent="0.25"/>
    <row r="60914" hidden="1" x14ac:dyDescent="0.25"/>
    <row r="60915" hidden="1" x14ac:dyDescent="0.25"/>
    <row r="60916" hidden="1" x14ac:dyDescent="0.25"/>
    <row r="60917" hidden="1" x14ac:dyDescent="0.25"/>
    <row r="60918" hidden="1" x14ac:dyDescent="0.25"/>
    <row r="60919" hidden="1" x14ac:dyDescent="0.25"/>
    <row r="60920" hidden="1" x14ac:dyDescent="0.25"/>
    <row r="60921" hidden="1" x14ac:dyDescent="0.25"/>
    <row r="60922" hidden="1" x14ac:dyDescent="0.25"/>
    <row r="60923" hidden="1" x14ac:dyDescent="0.25"/>
    <row r="60924" hidden="1" x14ac:dyDescent="0.25"/>
    <row r="60925" hidden="1" x14ac:dyDescent="0.25"/>
    <row r="60926" hidden="1" x14ac:dyDescent="0.25"/>
    <row r="60927" hidden="1" x14ac:dyDescent="0.25"/>
    <row r="60928" hidden="1" x14ac:dyDescent="0.25"/>
    <row r="60929" hidden="1" x14ac:dyDescent="0.25"/>
    <row r="60930" hidden="1" x14ac:dyDescent="0.25"/>
    <row r="60931" hidden="1" x14ac:dyDescent="0.25"/>
    <row r="60932" hidden="1" x14ac:dyDescent="0.25"/>
    <row r="60933" hidden="1" x14ac:dyDescent="0.25"/>
    <row r="60934" hidden="1" x14ac:dyDescent="0.25"/>
    <row r="60935" hidden="1" x14ac:dyDescent="0.25"/>
    <row r="60936" hidden="1" x14ac:dyDescent="0.25"/>
    <row r="60937" hidden="1" x14ac:dyDescent="0.25"/>
    <row r="60938" hidden="1" x14ac:dyDescent="0.25"/>
    <row r="60939" hidden="1" x14ac:dyDescent="0.25"/>
    <row r="60940" hidden="1" x14ac:dyDescent="0.25"/>
    <row r="60941" hidden="1" x14ac:dyDescent="0.25"/>
    <row r="60942" hidden="1" x14ac:dyDescent="0.25"/>
    <row r="60943" hidden="1" x14ac:dyDescent="0.25"/>
    <row r="60944" hidden="1" x14ac:dyDescent="0.25"/>
    <row r="60945" hidden="1" x14ac:dyDescent="0.25"/>
    <row r="60946" hidden="1" x14ac:dyDescent="0.25"/>
    <row r="60947" hidden="1" x14ac:dyDescent="0.25"/>
    <row r="60948" hidden="1" x14ac:dyDescent="0.25"/>
    <row r="60949" hidden="1" x14ac:dyDescent="0.25"/>
    <row r="60950" hidden="1" x14ac:dyDescent="0.25"/>
    <row r="60951" hidden="1" x14ac:dyDescent="0.25"/>
    <row r="60952" hidden="1" x14ac:dyDescent="0.25"/>
    <row r="60953" hidden="1" x14ac:dyDescent="0.25"/>
    <row r="60954" hidden="1" x14ac:dyDescent="0.25"/>
    <row r="60955" hidden="1" x14ac:dyDescent="0.25"/>
    <row r="60956" hidden="1" x14ac:dyDescent="0.25"/>
    <row r="60957" hidden="1" x14ac:dyDescent="0.25"/>
    <row r="60958" hidden="1" x14ac:dyDescent="0.25"/>
    <row r="60959" hidden="1" x14ac:dyDescent="0.25"/>
    <row r="60960" hidden="1" x14ac:dyDescent="0.25"/>
    <row r="60961" hidden="1" x14ac:dyDescent="0.25"/>
    <row r="60962" hidden="1" x14ac:dyDescent="0.25"/>
    <row r="60963" hidden="1" x14ac:dyDescent="0.25"/>
    <row r="60964" hidden="1" x14ac:dyDescent="0.25"/>
    <row r="60965" hidden="1" x14ac:dyDescent="0.25"/>
    <row r="60966" hidden="1" x14ac:dyDescent="0.25"/>
    <row r="60967" hidden="1" x14ac:dyDescent="0.25"/>
    <row r="60968" hidden="1" x14ac:dyDescent="0.25"/>
    <row r="60969" hidden="1" x14ac:dyDescent="0.25"/>
    <row r="60970" hidden="1" x14ac:dyDescent="0.25"/>
    <row r="60971" hidden="1" x14ac:dyDescent="0.25"/>
    <row r="60972" hidden="1" x14ac:dyDescent="0.25"/>
    <row r="60973" hidden="1" x14ac:dyDescent="0.25"/>
    <row r="60974" hidden="1" x14ac:dyDescent="0.25"/>
    <row r="60975" hidden="1" x14ac:dyDescent="0.25"/>
    <row r="60976" hidden="1" x14ac:dyDescent="0.25"/>
    <row r="60977" hidden="1" x14ac:dyDescent="0.25"/>
    <row r="60978" hidden="1" x14ac:dyDescent="0.25"/>
    <row r="60979" hidden="1" x14ac:dyDescent="0.25"/>
    <row r="60980" hidden="1" x14ac:dyDescent="0.25"/>
    <row r="60981" hidden="1" x14ac:dyDescent="0.25"/>
    <row r="60982" hidden="1" x14ac:dyDescent="0.25"/>
    <row r="60983" hidden="1" x14ac:dyDescent="0.25"/>
    <row r="60984" hidden="1" x14ac:dyDescent="0.25"/>
    <row r="60985" hidden="1" x14ac:dyDescent="0.25"/>
    <row r="60986" hidden="1" x14ac:dyDescent="0.25"/>
    <row r="60987" hidden="1" x14ac:dyDescent="0.25"/>
    <row r="60988" hidden="1" x14ac:dyDescent="0.25"/>
    <row r="60989" hidden="1" x14ac:dyDescent="0.25"/>
    <row r="60990" hidden="1" x14ac:dyDescent="0.25"/>
    <row r="60991" hidden="1" x14ac:dyDescent="0.25"/>
    <row r="60992" hidden="1" x14ac:dyDescent="0.25"/>
    <row r="60993" hidden="1" x14ac:dyDescent="0.25"/>
    <row r="60994" hidden="1" x14ac:dyDescent="0.25"/>
    <row r="60995" hidden="1" x14ac:dyDescent="0.25"/>
    <row r="60996" hidden="1" x14ac:dyDescent="0.25"/>
    <row r="60997" hidden="1" x14ac:dyDescent="0.25"/>
    <row r="60998" hidden="1" x14ac:dyDescent="0.25"/>
    <row r="60999" hidden="1" x14ac:dyDescent="0.25"/>
    <row r="61000" hidden="1" x14ac:dyDescent="0.25"/>
    <row r="61001" hidden="1" x14ac:dyDescent="0.25"/>
    <row r="61002" hidden="1" x14ac:dyDescent="0.25"/>
    <row r="61003" hidden="1" x14ac:dyDescent="0.25"/>
    <row r="61004" hidden="1" x14ac:dyDescent="0.25"/>
    <row r="61005" hidden="1" x14ac:dyDescent="0.25"/>
    <row r="61006" hidden="1" x14ac:dyDescent="0.25"/>
    <row r="61007" hidden="1" x14ac:dyDescent="0.25"/>
    <row r="61008" hidden="1" x14ac:dyDescent="0.25"/>
    <row r="61009" hidden="1" x14ac:dyDescent="0.25"/>
    <row r="61010" hidden="1" x14ac:dyDescent="0.25"/>
    <row r="61011" hidden="1" x14ac:dyDescent="0.25"/>
    <row r="61012" hidden="1" x14ac:dyDescent="0.25"/>
    <row r="61013" hidden="1" x14ac:dyDescent="0.25"/>
    <row r="61014" hidden="1" x14ac:dyDescent="0.25"/>
    <row r="61015" hidden="1" x14ac:dyDescent="0.25"/>
    <row r="61016" hidden="1" x14ac:dyDescent="0.25"/>
    <row r="61017" hidden="1" x14ac:dyDescent="0.25"/>
    <row r="61018" hidden="1" x14ac:dyDescent="0.25"/>
    <row r="61019" hidden="1" x14ac:dyDescent="0.25"/>
    <row r="61020" hidden="1" x14ac:dyDescent="0.25"/>
    <row r="61021" hidden="1" x14ac:dyDescent="0.25"/>
    <row r="61022" hidden="1" x14ac:dyDescent="0.25"/>
    <row r="61023" hidden="1" x14ac:dyDescent="0.25"/>
    <row r="61024" hidden="1" x14ac:dyDescent="0.25"/>
    <row r="61025" hidden="1" x14ac:dyDescent="0.25"/>
    <row r="61026" hidden="1" x14ac:dyDescent="0.25"/>
    <row r="61027" hidden="1" x14ac:dyDescent="0.25"/>
    <row r="61028" hidden="1" x14ac:dyDescent="0.25"/>
    <row r="61029" hidden="1" x14ac:dyDescent="0.25"/>
    <row r="61030" hidden="1" x14ac:dyDescent="0.25"/>
    <row r="61031" hidden="1" x14ac:dyDescent="0.25"/>
    <row r="61032" hidden="1" x14ac:dyDescent="0.25"/>
    <row r="61033" hidden="1" x14ac:dyDescent="0.25"/>
    <row r="61034" hidden="1" x14ac:dyDescent="0.25"/>
    <row r="61035" hidden="1" x14ac:dyDescent="0.25"/>
    <row r="61036" hidden="1" x14ac:dyDescent="0.25"/>
    <row r="61037" hidden="1" x14ac:dyDescent="0.25"/>
    <row r="61038" hidden="1" x14ac:dyDescent="0.25"/>
    <row r="61039" hidden="1" x14ac:dyDescent="0.25"/>
    <row r="61040" hidden="1" x14ac:dyDescent="0.25"/>
    <row r="61041" hidden="1" x14ac:dyDescent="0.25"/>
    <row r="61042" hidden="1" x14ac:dyDescent="0.25"/>
    <row r="61043" hidden="1" x14ac:dyDescent="0.25"/>
    <row r="61044" hidden="1" x14ac:dyDescent="0.25"/>
    <row r="61045" hidden="1" x14ac:dyDescent="0.25"/>
    <row r="61046" hidden="1" x14ac:dyDescent="0.25"/>
    <row r="61047" hidden="1" x14ac:dyDescent="0.25"/>
    <row r="61048" hidden="1" x14ac:dyDescent="0.25"/>
    <row r="61049" hidden="1" x14ac:dyDescent="0.25"/>
    <row r="61050" hidden="1" x14ac:dyDescent="0.25"/>
    <row r="61051" hidden="1" x14ac:dyDescent="0.25"/>
    <row r="61052" hidden="1" x14ac:dyDescent="0.25"/>
    <row r="61053" hidden="1" x14ac:dyDescent="0.25"/>
    <row r="61054" hidden="1" x14ac:dyDescent="0.25"/>
    <row r="61055" hidden="1" x14ac:dyDescent="0.25"/>
    <row r="61056" hidden="1" x14ac:dyDescent="0.25"/>
    <row r="61057" hidden="1" x14ac:dyDescent="0.25"/>
    <row r="61058" hidden="1" x14ac:dyDescent="0.25"/>
    <row r="61059" hidden="1" x14ac:dyDescent="0.25"/>
    <row r="61060" hidden="1" x14ac:dyDescent="0.25"/>
    <row r="61061" hidden="1" x14ac:dyDescent="0.25"/>
    <row r="61062" hidden="1" x14ac:dyDescent="0.25"/>
    <row r="61063" hidden="1" x14ac:dyDescent="0.25"/>
    <row r="61064" hidden="1" x14ac:dyDescent="0.25"/>
    <row r="61065" hidden="1" x14ac:dyDescent="0.25"/>
    <row r="61066" hidden="1" x14ac:dyDescent="0.25"/>
    <row r="61067" hidden="1" x14ac:dyDescent="0.25"/>
    <row r="61068" hidden="1" x14ac:dyDescent="0.25"/>
    <row r="61069" hidden="1" x14ac:dyDescent="0.25"/>
    <row r="61070" hidden="1" x14ac:dyDescent="0.25"/>
    <row r="61071" hidden="1" x14ac:dyDescent="0.25"/>
    <row r="61072" hidden="1" x14ac:dyDescent="0.25"/>
    <row r="61073" hidden="1" x14ac:dyDescent="0.25"/>
    <row r="61074" hidden="1" x14ac:dyDescent="0.25"/>
    <row r="61075" hidden="1" x14ac:dyDescent="0.25"/>
    <row r="61076" hidden="1" x14ac:dyDescent="0.25"/>
    <row r="61077" hidden="1" x14ac:dyDescent="0.25"/>
    <row r="61078" hidden="1" x14ac:dyDescent="0.25"/>
    <row r="61079" hidden="1" x14ac:dyDescent="0.25"/>
    <row r="61080" hidden="1" x14ac:dyDescent="0.25"/>
    <row r="61081" hidden="1" x14ac:dyDescent="0.25"/>
    <row r="61082" hidden="1" x14ac:dyDescent="0.25"/>
    <row r="61083" hidden="1" x14ac:dyDescent="0.25"/>
    <row r="61084" hidden="1" x14ac:dyDescent="0.25"/>
    <row r="61085" hidden="1" x14ac:dyDescent="0.25"/>
    <row r="61086" hidden="1" x14ac:dyDescent="0.25"/>
    <row r="61087" hidden="1" x14ac:dyDescent="0.25"/>
    <row r="61088" hidden="1" x14ac:dyDescent="0.25"/>
    <row r="61089" hidden="1" x14ac:dyDescent="0.25"/>
    <row r="61090" hidden="1" x14ac:dyDescent="0.25"/>
    <row r="61091" hidden="1" x14ac:dyDescent="0.25"/>
    <row r="61092" hidden="1" x14ac:dyDescent="0.25"/>
    <row r="61093" hidden="1" x14ac:dyDescent="0.25"/>
    <row r="61094" hidden="1" x14ac:dyDescent="0.25"/>
    <row r="61095" hidden="1" x14ac:dyDescent="0.25"/>
    <row r="61096" hidden="1" x14ac:dyDescent="0.25"/>
    <row r="61097" hidden="1" x14ac:dyDescent="0.25"/>
    <row r="61098" hidden="1" x14ac:dyDescent="0.25"/>
    <row r="61099" hidden="1" x14ac:dyDescent="0.25"/>
    <row r="61100" hidden="1" x14ac:dyDescent="0.25"/>
    <row r="61101" hidden="1" x14ac:dyDescent="0.25"/>
    <row r="61102" hidden="1" x14ac:dyDescent="0.25"/>
    <row r="61103" hidden="1" x14ac:dyDescent="0.25"/>
    <row r="61104" hidden="1" x14ac:dyDescent="0.25"/>
    <row r="61105" hidden="1" x14ac:dyDescent="0.25"/>
    <row r="61106" hidden="1" x14ac:dyDescent="0.25"/>
    <row r="61107" hidden="1" x14ac:dyDescent="0.25"/>
    <row r="61108" hidden="1" x14ac:dyDescent="0.25"/>
    <row r="61109" hidden="1" x14ac:dyDescent="0.25"/>
    <row r="61110" hidden="1" x14ac:dyDescent="0.25"/>
    <row r="61111" hidden="1" x14ac:dyDescent="0.25"/>
    <row r="61112" hidden="1" x14ac:dyDescent="0.25"/>
    <row r="61113" hidden="1" x14ac:dyDescent="0.25"/>
    <row r="61114" hidden="1" x14ac:dyDescent="0.25"/>
    <row r="61115" hidden="1" x14ac:dyDescent="0.25"/>
    <row r="61116" hidden="1" x14ac:dyDescent="0.25"/>
    <row r="61117" hidden="1" x14ac:dyDescent="0.25"/>
    <row r="61118" hidden="1" x14ac:dyDescent="0.25"/>
    <row r="61119" hidden="1" x14ac:dyDescent="0.25"/>
    <row r="61120" hidden="1" x14ac:dyDescent="0.25"/>
    <row r="61121" hidden="1" x14ac:dyDescent="0.25"/>
    <row r="61122" hidden="1" x14ac:dyDescent="0.25"/>
    <row r="61123" hidden="1" x14ac:dyDescent="0.25"/>
    <row r="61124" hidden="1" x14ac:dyDescent="0.25"/>
    <row r="61125" hidden="1" x14ac:dyDescent="0.25"/>
    <row r="61126" hidden="1" x14ac:dyDescent="0.25"/>
    <row r="61127" hidden="1" x14ac:dyDescent="0.25"/>
    <row r="61128" hidden="1" x14ac:dyDescent="0.25"/>
    <row r="61129" hidden="1" x14ac:dyDescent="0.25"/>
    <row r="61130" hidden="1" x14ac:dyDescent="0.25"/>
    <row r="61131" hidden="1" x14ac:dyDescent="0.25"/>
    <row r="61132" hidden="1" x14ac:dyDescent="0.25"/>
    <row r="61133" hidden="1" x14ac:dyDescent="0.25"/>
    <row r="61134" hidden="1" x14ac:dyDescent="0.25"/>
    <row r="61135" hidden="1" x14ac:dyDescent="0.25"/>
    <row r="61136" hidden="1" x14ac:dyDescent="0.25"/>
    <row r="61137" hidden="1" x14ac:dyDescent="0.25"/>
    <row r="61138" hidden="1" x14ac:dyDescent="0.25"/>
    <row r="61139" hidden="1" x14ac:dyDescent="0.25"/>
    <row r="61140" hidden="1" x14ac:dyDescent="0.25"/>
    <row r="61141" hidden="1" x14ac:dyDescent="0.25"/>
    <row r="61142" hidden="1" x14ac:dyDescent="0.25"/>
    <row r="61143" hidden="1" x14ac:dyDescent="0.25"/>
    <row r="61144" hidden="1" x14ac:dyDescent="0.25"/>
    <row r="61145" hidden="1" x14ac:dyDescent="0.25"/>
    <row r="61146" hidden="1" x14ac:dyDescent="0.25"/>
    <row r="61147" hidden="1" x14ac:dyDescent="0.25"/>
    <row r="61148" hidden="1" x14ac:dyDescent="0.25"/>
    <row r="61149" hidden="1" x14ac:dyDescent="0.25"/>
    <row r="61150" hidden="1" x14ac:dyDescent="0.25"/>
    <row r="61151" hidden="1" x14ac:dyDescent="0.25"/>
    <row r="61152" hidden="1" x14ac:dyDescent="0.25"/>
    <row r="61153" hidden="1" x14ac:dyDescent="0.25"/>
    <row r="61154" hidden="1" x14ac:dyDescent="0.25"/>
    <row r="61155" hidden="1" x14ac:dyDescent="0.25"/>
    <row r="61156" hidden="1" x14ac:dyDescent="0.25"/>
    <row r="61157" hidden="1" x14ac:dyDescent="0.25"/>
    <row r="61158" hidden="1" x14ac:dyDescent="0.25"/>
    <row r="61159" hidden="1" x14ac:dyDescent="0.25"/>
    <row r="61160" hidden="1" x14ac:dyDescent="0.25"/>
    <row r="61161" hidden="1" x14ac:dyDescent="0.25"/>
    <row r="61162" hidden="1" x14ac:dyDescent="0.25"/>
    <row r="61163" hidden="1" x14ac:dyDescent="0.25"/>
    <row r="61164" hidden="1" x14ac:dyDescent="0.25"/>
    <row r="61165" hidden="1" x14ac:dyDescent="0.25"/>
    <row r="61166" hidden="1" x14ac:dyDescent="0.25"/>
    <row r="61167" hidden="1" x14ac:dyDescent="0.25"/>
    <row r="61168" hidden="1" x14ac:dyDescent="0.25"/>
    <row r="61169" hidden="1" x14ac:dyDescent="0.25"/>
    <row r="61170" hidden="1" x14ac:dyDescent="0.25"/>
    <row r="61171" hidden="1" x14ac:dyDescent="0.25"/>
    <row r="61172" hidden="1" x14ac:dyDescent="0.25"/>
    <row r="61173" hidden="1" x14ac:dyDescent="0.25"/>
    <row r="61174" hidden="1" x14ac:dyDescent="0.25"/>
    <row r="61175" hidden="1" x14ac:dyDescent="0.25"/>
    <row r="61176" hidden="1" x14ac:dyDescent="0.25"/>
    <row r="61177" hidden="1" x14ac:dyDescent="0.25"/>
    <row r="61178" hidden="1" x14ac:dyDescent="0.25"/>
    <row r="61179" hidden="1" x14ac:dyDescent="0.25"/>
    <row r="61180" hidden="1" x14ac:dyDescent="0.25"/>
    <row r="61181" hidden="1" x14ac:dyDescent="0.25"/>
    <row r="61182" hidden="1" x14ac:dyDescent="0.25"/>
    <row r="61183" hidden="1" x14ac:dyDescent="0.25"/>
    <row r="61184" hidden="1" x14ac:dyDescent="0.25"/>
    <row r="61185" hidden="1" x14ac:dyDescent="0.25"/>
    <row r="61186" hidden="1" x14ac:dyDescent="0.25"/>
    <row r="61187" hidden="1" x14ac:dyDescent="0.25"/>
    <row r="61188" hidden="1" x14ac:dyDescent="0.25"/>
    <row r="61189" hidden="1" x14ac:dyDescent="0.25"/>
    <row r="61190" hidden="1" x14ac:dyDescent="0.25"/>
    <row r="61191" hidden="1" x14ac:dyDescent="0.25"/>
    <row r="61192" hidden="1" x14ac:dyDescent="0.25"/>
    <row r="61193" hidden="1" x14ac:dyDescent="0.25"/>
    <row r="61194" hidden="1" x14ac:dyDescent="0.25"/>
    <row r="61195" hidden="1" x14ac:dyDescent="0.25"/>
    <row r="61196" hidden="1" x14ac:dyDescent="0.25"/>
    <row r="61197" hidden="1" x14ac:dyDescent="0.25"/>
    <row r="61198" hidden="1" x14ac:dyDescent="0.25"/>
    <row r="61199" hidden="1" x14ac:dyDescent="0.25"/>
    <row r="61200" hidden="1" x14ac:dyDescent="0.25"/>
    <row r="61201" hidden="1" x14ac:dyDescent="0.25"/>
    <row r="61202" hidden="1" x14ac:dyDescent="0.25"/>
    <row r="61203" hidden="1" x14ac:dyDescent="0.25"/>
    <row r="61204" hidden="1" x14ac:dyDescent="0.25"/>
    <row r="61205" hidden="1" x14ac:dyDescent="0.25"/>
    <row r="61206" hidden="1" x14ac:dyDescent="0.25"/>
    <row r="61207" hidden="1" x14ac:dyDescent="0.25"/>
    <row r="61208" hidden="1" x14ac:dyDescent="0.25"/>
    <row r="61209" hidden="1" x14ac:dyDescent="0.25"/>
    <row r="61210" hidden="1" x14ac:dyDescent="0.25"/>
    <row r="61211" hidden="1" x14ac:dyDescent="0.25"/>
    <row r="61212" hidden="1" x14ac:dyDescent="0.25"/>
    <row r="61213" hidden="1" x14ac:dyDescent="0.25"/>
    <row r="61214" hidden="1" x14ac:dyDescent="0.25"/>
    <row r="61215" hidden="1" x14ac:dyDescent="0.25"/>
    <row r="61216" hidden="1" x14ac:dyDescent="0.25"/>
    <row r="61217" hidden="1" x14ac:dyDescent="0.25"/>
    <row r="61218" hidden="1" x14ac:dyDescent="0.25"/>
    <row r="61219" hidden="1" x14ac:dyDescent="0.25"/>
    <row r="61220" hidden="1" x14ac:dyDescent="0.25"/>
    <row r="61221" hidden="1" x14ac:dyDescent="0.25"/>
    <row r="61222" hidden="1" x14ac:dyDescent="0.25"/>
    <row r="61223" hidden="1" x14ac:dyDescent="0.25"/>
    <row r="61224" hidden="1" x14ac:dyDescent="0.25"/>
    <row r="61225" hidden="1" x14ac:dyDescent="0.25"/>
    <row r="61226" hidden="1" x14ac:dyDescent="0.25"/>
    <row r="61227" hidden="1" x14ac:dyDescent="0.25"/>
    <row r="61228" hidden="1" x14ac:dyDescent="0.25"/>
    <row r="61229" hidden="1" x14ac:dyDescent="0.25"/>
    <row r="61230" hidden="1" x14ac:dyDescent="0.25"/>
    <row r="61231" hidden="1" x14ac:dyDescent="0.25"/>
    <row r="61232" hidden="1" x14ac:dyDescent="0.25"/>
    <row r="61233" hidden="1" x14ac:dyDescent="0.25"/>
    <row r="61234" hidden="1" x14ac:dyDescent="0.25"/>
    <row r="61235" hidden="1" x14ac:dyDescent="0.25"/>
    <row r="61236" hidden="1" x14ac:dyDescent="0.25"/>
    <row r="61237" hidden="1" x14ac:dyDescent="0.25"/>
    <row r="61238" hidden="1" x14ac:dyDescent="0.25"/>
    <row r="61239" hidden="1" x14ac:dyDescent="0.25"/>
    <row r="61240" hidden="1" x14ac:dyDescent="0.25"/>
    <row r="61241" hidden="1" x14ac:dyDescent="0.25"/>
    <row r="61242" hidden="1" x14ac:dyDescent="0.25"/>
    <row r="61243" hidden="1" x14ac:dyDescent="0.25"/>
    <row r="61244" hidden="1" x14ac:dyDescent="0.25"/>
    <row r="61245" hidden="1" x14ac:dyDescent="0.25"/>
    <row r="61246" hidden="1" x14ac:dyDescent="0.25"/>
    <row r="61247" hidden="1" x14ac:dyDescent="0.25"/>
    <row r="61248" hidden="1" x14ac:dyDescent="0.25"/>
    <row r="61249" hidden="1" x14ac:dyDescent="0.25"/>
    <row r="61250" hidden="1" x14ac:dyDescent="0.25"/>
    <row r="61251" hidden="1" x14ac:dyDescent="0.25"/>
    <row r="61252" hidden="1" x14ac:dyDescent="0.25"/>
    <row r="61253" hidden="1" x14ac:dyDescent="0.25"/>
    <row r="61254" hidden="1" x14ac:dyDescent="0.25"/>
    <row r="61255" hidden="1" x14ac:dyDescent="0.25"/>
    <row r="61256" hidden="1" x14ac:dyDescent="0.25"/>
    <row r="61257" hidden="1" x14ac:dyDescent="0.25"/>
    <row r="61258" hidden="1" x14ac:dyDescent="0.25"/>
    <row r="61259" hidden="1" x14ac:dyDescent="0.25"/>
    <row r="61260" hidden="1" x14ac:dyDescent="0.25"/>
    <row r="61261" hidden="1" x14ac:dyDescent="0.25"/>
    <row r="61262" hidden="1" x14ac:dyDescent="0.25"/>
    <row r="61263" hidden="1" x14ac:dyDescent="0.25"/>
    <row r="61264" hidden="1" x14ac:dyDescent="0.25"/>
    <row r="61265" hidden="1" x14ac:dyDescent="0.25"/>
    <row r="61266" hidden="1" x14ac:dyDescent="0.25"/>
    <row r="61267" hidden="1" x14ac:dyDescent="0.25"/>
    <row r="61268" hidden="1" x14ac:dyDescent="0.25"/>
    <row r="61269" hidden="1" x14ac:dyDescent="0.25"/>
    <row r="61270" hidden="1" x14ac:dyDescent="0.25"/>
    <row r="61271" hidden="1" x14ac:dyDescent="0.25"/>
    <row r="61272" hidden="1" x14ac:dyDescent="0.25"/>
    <row r="61273" hidden="1" x14ac:dyDescent="0.25"/>
    <row r="61274" hidden="1" x14ac:dyDescent="0.25"/>
    <row r="61275" hidden="1" x14ac:dyDescent="0.25"/>
    <row r="61276" hidden="1" x14ac:dyDescent="0.25"/>
    <row r="61277" hidden="1" x14ac:dyDescent="0.25"/>
    <row r="61278" hidden="1" x14ac:dyDescent="0.25"/>
    <row r="61279" hidden="1" x14ac:dyDescent="0.25"/>
    <row r="61280" hidden="1" x14ac:dyDescent="0.25"/>
    <row r="61281" hidden="1" x14ac:dyDescent="0.25"/>
    <row r="61282" hidden="1" x14ac:dyDescent="0.25"/>
    <row r="61283" hidden="1" x14ac:dyDescent="0.25"/>
    <row r="61284" hidden="1" x14ac:dyDescent="0.25"/>
    <row r="61285" hidden="1" x14ac:dyDescent="0.25"/>
    <row r="61286" hidden="1" x14ac:dyDescent="0.25"/>
    <row r="61287" hidden="1" x14ac:dyDescent="0.25"/>
    <row r="61288" hidden="1" x14ac:dyDescent="0.25"/>
    <row r="61289" hidden="1" x14ac:dyDescent="0.25"/>
    <row r="61290" hidden="1" x14ac:dyDescent="0.25"/>
    <row r="61291" hidden="1" x14ac:dyDescent="0.25"/>
    <row r="61292" hidden="1" x14ac:dyDescent="0.25"/>
    <row r="61293" hidden="1" x14ac:dyDescent="0.25"/>
    <row r="61294" hidden="1" x14ac:dyDescent="0.25"/>
    <row r="61295" hidden="1" x14ac:dyDescent="0.25"/>
    <row r="61296" hidden="1" x14ac:dyDescent="0.25"/>
    <row r="61297" hidden="1" x14ac:dyDescent="0.25"/>
    <row r="61298" hidden="1" x14ac:dyDescent="0.25"/>
    <row r="61299" hidden="1" x14ac:dyDescent="0.25"/>
    <row r="61300" hidden="1" x14ac:dyDescent="0.25"/>
    <row r="61301" hidden="1" x14ac:dyDescent="0.25"/>
    <row r="61302" hidden="1" x14ac:dyDescent="0.25"/>
    <row r="61303" hidden="1" x14ac:dyDescent="0.25"/>
    <row r="61304" hidden="1" x14ac:dyDescent="0.25"/>
    <row r="61305" hidden="1" x14ac:dyDescent="0.25"/>
    <row r="61306" hidden="1" x14ac:dyDescent="0.25"/>
    <row r="61307" hidden="1" x14ac:dyDescent="0.25"/>
    <row r="61308" hidden="1" x14ac:dyDescent="0.25"/>
    <row r="61309" hidden="1" x14ac:dyDescent="0.25"/>
    <row r="61310" hidden="1" x14ac:dyDescent="0.25"/>
    <row r="61311" hidden="1" x14ac:dyDescent="0.25"/>
    <row r="61312" hidden="1" x14ac:dyDescent="0.25"/>
    <row r="61313" hidden="1" x14ac:dyDescent="0.25"/>
    <row r="61314" hidden="1" x14ac:dyDescent="0.25"/>
    <row r="61315" hidden="1" x14ac:dyDescent="0.25"/>
    <row r="61316" hidden="1" x14ac:dyDescent="0.25"/>
    <row r="61317" hidden="1" x14ac:dyDescent="0.25"/>
    <row r="61318" hidden="1" x14ac:dyDescent="0.25"/>
    <row r="61319" hidden="1" x14ac:dyDescent="0.25"/>
    <row r="61320" hidden="1" x14ac:dyDescent="0.25"/>
    <row r="61321" hidden="1" x14ac:dyDescent="0.25"/>
    <row r="61322" hidden="1" x14ac:dyDescent="0.25"/>
    <row r="61323" hidden="1" x14ac:dyDescent="0.25"/>
    <row r="61324" hidden="1" x14ac:dyDescent="0.25"/>
    <row r="61325" hidden="1" x14ac:dyDescent="0.25"/>
    <row r="61326" hidden="1" x14ac:dyDescent="0.25"/>
    <row r="61327" hidden="1" x14ac:dyDescent="0.25"/>
    <row r="61328" hidden="1" x14ac:dyDescent="0.25"/>
    <row r="61329" hidden="1" x14ac:dyDescent="0.25"/>
    <row r="61330" hidden="1" x14ac:dyDescent="0.25"/>
    <row r="61331" hidden="1" x14ac:dyDescent="0.25"/>
    <row r="61332" hidden="1" x14ac:dyDescent="0.25"/>
    <row r="61333" hidden="1" x14ac:dyDescent="0.25"/>
    <row r="61334" hidden="1" x14ac:dyDescent="0.25"/>
    <row r="61335" hidden="1" x14ac:dyDescent="0.25"/>
    <row r="61336" hidden="1" x14ac:dyDescent="0.25"/>
    <row r="61337" hidden="1" x14ac:dyDescent="0.25"/>
    <row r="61338" hidden="1" x14ac:dyDescent="0.25"/>
    <row r="61339" hidden="1" x14ac:dyDescent="0.25"/>
    <row r="61340" hidden="1" x14ac:dyDescent="0.25"/>
    <row r="61341" hidden="1" x14ac:dyDescent="0.25"/>
    <row r="61342" hidden="1" x14ac:dyDescent="0.25"/>
    <row r="61343" hidden="1" x14ac:dyDescent="0.25"/>
    <row r="61344" hidden="1" x14ac:dyDescent="0.25"/>
    <row r="61345" hidden="1" x14ac:dyDescent="0.25"/>
    <row r="61346" hidden="1" x14ac:dyDescent="0.25"/>
    <row r="61347" hidden="1" x14ac:dyDescent="0.25"/>
    <row r="61348" hidden="1" x14ac:dyDescent="0.25"/>
    <row r="61349" hidden="1" x14ac:dyDescent="0.25"/>
    <row r="61350" hidden="1" x14ac:dyDescent="0.25"/>
    <row r="61351" hidden="1" x14ac:dyDescent="0.25"/>
    <row r="61352" hidden="1" x14ac:dyDescent="0.25"/>
    <row r="61353" hidden="1" x14ac:dyDescent="0.25"/>
    <row r="61354" hidden="1" x14ac:dyDescent="0.25"/>
    <row r="61355" hidden="1" x14ac:dyDescent="0.25"/>
    <row r="61356" hidden="1" x14ac:dyDescent="0.25"/>
    <row r="61357" hidden="1" x14ac:dyDescent="0.25"/>
    <row r="61358" hidden="1" x14ac:dyDescent="0.25"/>
    <row r="61359" hidden="1" x14ac:dyDescent="0.25"/>
    <row r="61360" hidden="1" x14ac:dyDescent="0.25"/>
    <row r="61361" hidden="1" x14ac:dyDescent="0.25"/>
    <row r="61362" hidden="1" x14ac:dyDescent="0.25"/>
    <row r="61363" hidden="1" x14ac:dyDescent="0.25"/>
    <row r="61364" hidden="1" x14ac:dyDescent="0.25"/>
    <row r="61365" hidden="1" x14ac:dyDescent="0.25"/>
    <row r="61366" hidden="1" x14ac:dyDescent="0.25"/>
    <row r="61367" hidden="1" x14ac:dyDescent="0.25"/>
    <row r="61368" hidden="1" x14ac:dyDescent="0.25"/>
    <row r="61369" hidden="1" x14ac:dyDescent="0.25"/>
    <row r="61370" hidden="1" x14ac:dyDescent="0.25"/>
    <row r="61371" hidden="1" x14ac:dyDescent="0.25"/>
    <row r="61372" hidden="1" x14ac:dyDescent="0.25"/>
    <row r="61373" hidden="1" x14ac:dyDescent="0.25"/>
    <row r="61374" hidden="1" x14ac:dyDescent="0.25"/>
    <row r="61375" hidden="1" x14ac:dyDescent="0.25"/>
    <row r="61376" hidden="1" x14ac:dyDescent="0.25"/>
    <row r="61377" hidden="1" x14ac:dyDescent="0.25"/>
    <row r="61378" hidden="1" x14ac:dyDescent="0.25"/>
    <row r="61379" hidden="1" x14ac:dyDescent="0.25"/>
    <row r="61380" hidden="1" x14ac:dyDescent="0.25"/>
    <row r="61381" hidden="1" x14ac:dyDescent="0.25"/>
    <row r="61382" hidden="1" x14ac:dyDescent="0.25"/>
    <row r="61383" hidden="1" x14ac:dyDescent="0.25"/>
    <row r="61384" hidden="1" x14ac:dyDescent="0.25"/>
    <row r="61385" hidden="1" x14ac:dyDescent="0.25"/>
    <row r="61386" hidden="1" x14ac:dyDescent="0.25"/>
    <row r="61387" hidden="1" x14ac:dyDescent="0.25"/>
    <row r="61388" hidden="1" x14ac:dyDescent="0.25"/>
    <row r="61389" hidden="1" x14ac:dyDescent="0.25"/>
    <row r="61390" hidden="1" x14ac:dyDescent="0.25"/>
    <row r="61391" hidden="1" x14ac:dyDescent="0.25"/>
    <row r="61392" hidden="1" x14ac:dyDescent="0.25"/>
    <row r="61393" hidden="1" x14ac:dyDescent="0.25"/>
    <row r="61394" hidden="1" x14ac:dyDescent="0.25"/>
    <row r="61395" hidden="1" x14ac:dyDescent="0.25"/>
    <row r="61396" hidden="1" x14ac:dyDescent="0.25"/>
    <row r="61397" hidden="1" x14ac:dyDescent="0.25"/>
    <row r="61398" hidden="1" x14ac:dyDescent="0.25"/>
    <row r="61399" hidden="1" x14ac:dyDescent="0.25"/>
    <row r="61400" hidden="1" x14ac:dyDescent="0.25"/>
    <row r="61401" hidden="1" x14ac:dyDescent="0.25"/>
    <row r="61402" hidden="1" x14ac:dyDescent="0.25"/>
    <row r="61403" hidden="1" x14ac:dyDescent="0.25"/>
    <row r="61404" hidden="1" x14ac:dyDescent="0.25"/>
    <row r="61405" hidden="1" x14ac:dyDescent="0.25"/>
    <row r="61406" hidden="1" x14ac:dyDescent="0.25"/>
    <row r="61407" hidden="1" x14ac:dyDescent="0.25"/>
    <row r="61408" hidden="1" x14ac:dyDescent="0.25"/>
    <row r="61409" hidden="1" x14ac:dyDescent="0.25"/>
    <row r="61410" hidden="1" x14ac:dyDescent="0.25"/>
    <row r="61411" hidden="1" x14ac:dyDescent="0.25"/>
    <row r="61412" hidden="1" x14ac:dyDescent="0.25"/>
    <row r="61413" hidden="1" x14ac:dyDescent="0.25"/>
    <row r="61414" hidden="1" x14ac:dyDescent="0.25"/>
    <row r="61415" hidden="1" x14ac:dyDescent="0.25"/>
    <row r="61416" hidden="1" x14ac:dyDescent="0.25"/>
    <row r="61417" hidden="1" x14ac:dyDescent="0.25"/>
    <row r="61418" hidden="1" x14ac:dyDescent="0.25"/>
    <row r="61419" hidden="1" x14ac:dyDescent="0.25"/>
    <row r="61420" hidden="1" x14ac:dyDescent="0.25"/>
    <row r="61421" hidden="1" x14ac:dyDescent="0.25"/>
    <row r="61422" hidden="1" x14ac:dyDescent="0.25"/>
    <row r="61423" hidden="1" x14ac:dyDescent="0.25"/>
    <row r="61424" hidden="1" x14ac:dyDescent="0.25"/>
    <row r="61425" hidden="1" x14ac:dyDescent="0.25"/>
    <row r="61426" hidden="1" x14ac:dyDescent="0.25"/>
    <row r="61427" hidden="1" x14ac:dyDescent="0.25"/>
    <row r="61428" hidden="1" x14ac:dyDescent="0.25"/>
    <row r="61429" hidden="1" x14ac:dyDescent="0.25"/>
    <row r="61430" hidden="1" x14ac:dyDescent="0.25"/>
    <row r="61431" hidden="1" x14ac:dyDescent="0.25"/>
    <row r="61432" hidden="1" x14ac:dyDescent="0.25"/>
    <row r="61433" hidden="1" x14ac:dyDescent="0.25"/>
    <row r="61434" hidden="1" x14ac:dyDescent="0.25"/>
    <row r="61435" hidden="1" x14ac:dyDescent="0.25"/>
    <row r="61436" hidden="1" x14ac:dyDescent="0.25"/>
    <row r="61437" hidden="1" x14ac:dyDescent="0.25"/>
    <row r="61438" hidden="1" x14ac:dyDescent="0.25"/>
    <row r="61439" hidden="1" x14ac:dyDescent="0.25"/>
    <row r="61440" hidden="1" x14ac:dyDescent="0.25"/>
    <row r="61441" hidden="1" x14ac:dyDescent="0.25"/>
    <row r="61442" hidden="1" x14ac:dyDescent="0.25"/>
    <row r="61443" hidden="1" x14ac:dyDescent="0.25"/>
    <row r="61444" hidden="1" x14ac:dyDescent="0.25"/>
    <row r="61445" hidden="1" x14ac:dyDescent="0.25"/>
    <row r="61446" hidden="1" x14ac:dyDescent="0.25"/>
    <row r="61447" hidden="1" x14ac:dyDescent="0.25"/>
    <row r="61448" hidden="1" x14ac:dyDescent="0.25"/>
    <row r="61449" hidden="1" x14ac:dyDescent="0.25"/>
    <row r="61450" hidden="1" x14ac:dyDescent="0.25"/>
    <row r="61451" hidden="1" x14ac:dyDescent="0.25"/>
    <row r="61452" hidden="1" x14ac:dyDescent="0.25"/>
    <row r="61453" hidden="1" x14ac:dyDescent="0.25"/>
    <row r="61454" hidden="1" x14ac:dyDescent="0.25"/>
    <row r="61455" hidden="1" x14ac:dyDescent="0.25"/>
    <row r="61456" hidden="1" x14ac:dyDescent="0.25"/>
    <row r="61457" hidden="1" x14ac:dyDescent="0.25"/>
    <row r="61458" hidden="1" x14ac:dyDescent="0.25"/>
    <row r="61459" hidden="1" x14ac:dyDescent="0.25"/>
    <row r="61460" hidden="1" x14ac:dyDescent="0.25"/>
    <row r="61461" hidden="1" x14ac:dyDescent="0.25"/>
    <row r="61462" hidden="1" x14ac:dyDescent="0.25"/>
    <row r="61463" hidden="1" x14ac:dyDescent="0.25"/>
    <row r="61464" hidden="1" x14ac:dyDescent="0.25"/>
    <row r="61465" hidden="1" x14ac:dyDescent="0.25"/>
    <row r="61466" hidden="1" x14ac:dyDescent="0.25"/>
    <row r="61467" hidden="1" x14ac:dyDescent="0.25"/>
    <row r="61468" hidden="1" x14ac:dyDescent="0.25"/>
    <row r="61469" hidden="1" x14ac:dyDescent="0.25"/>
    <row r="61470" hidden="1" x14ac:dyDescent="0.25"/>
    <row r="61471" hidden="1" x14ac:dyDescent="0.25"/>
    <row r="61472" hidden="1" x14ac:dyDescent="0.25"/>
    <row r="61473" hidden="1" x14ac:dyDescent="0.25"/>
    <row r="61474" hidden="1" x14ac:dyDescent="0.25"/>
    <row r="61475" hidden="1" x14ac:dyDescent="0.25"/>
    <row r="61476" hidden="1" x14ac:dyDescent="0.25"/>
    <row r="61477" hidden="1" x14ac:dyDescent="0.25"/>
    <row r="61478" hidden="1" x14ac:dyDescent="0.25"/>
    <row r="61479" hidden="1" x14ac:dyDescent="0.25"/>
    <row r="61480" hidden="1" x14ac:dyDescent="0.25"/>
    <row r="61481" hidden="1" x14ac:dyDescent="0.25"/>
    <row r="61482" hidden="1" x14ac:dyDescent="0.25"/>
    <row r="61483" hidden="1" x14ac:dyDescent="0.25"/>
    <row r="61484" hidden="1" x14ac:dyDescent="0.25"/>
    <row r="61485" hidden="1" x14ac:dyDescent="0.25"/>
    <row r="61486" hidden="1" x14ac:dyDescent="0.25"/>
    <row r="61487" hidden="1" x14ac:dyDescent="0.25"/>
    <row r="61488" hidden="1" x14ac:dyDescent="0.25"/>
    <row r="61489" hidden="1" x14ac:dyDescent="0.25"/>
    <row r="61490" hidden="1" x14ac:dyDescent="0.25"/>
    <row r="61491" hidden="1" x14ac:dyDescent="0.25"/>
    <row r="61492" hidden="1" x14ac:dyDescent="0.25"/>
    <row r="61493" hidden="1" x14ac:dyDescent="0.25"/>
    <row r="61494" hidden="1" x14ac:dyDescent="0.25"/>
    <row r="61495" hidden="1" x14ac:dyDescent="0.25"/>
    <row r="61496" hidden="1" x14ac:dyDescent="0.25"/>
    <row r="61497" hidden="1" x14ac:dyDescent="0.25"/>
    <row r="61498" hidden="1" x14ac:dyDescent="0.25"/>
    <row r="61499" hidden="1" x14ac:dyDescent="0.25"/>
    <row r="61500" hidden="1" x14ac:dyDescent="0.25"/>
    <row r="61501" hidden="1" x14ac:dyDescent="0.25"/>
    <row r="61502" hidden="1" x14ac:dyDescent="0.25"/>
    <row r="61503" hidden="1" x14ac:dyDescent="0.25"/>
    <row r="61504" hidden="1" x14ac:dyDescent="0.25"/>
    <row r="61505" hidden="1" x14ac:dyDescent="0.25"/>
    <row r="61506" hidden="1" x14ac:dyDescent="0.25"/>
    <row r="61507" hidden="1" x14ac:dyDescent="0.25"/>
    <row r="61508" hidden="1" x14ac:dyDescent="0.25"/>
    <row r="61509" hidden="1" x14ac:dyDescent="0.25"/>
    <row r="61510" hidden="1" x14ac:dyDescent="0.25"/>
    <row r="61511" hidden="1" x14ac:dyDescent="0.25"/>
    <row r="61512" hidden="1" x14ac:dyDescent="0.25"/>
    <row r="61513" hidden="1" x14ac:dyDescent="0.25"/>
    <row r="61514" hidden="1" x14ac:dyDescent="0.25"/>
    <row r="61515" hidden="1" x14ac:dyDescent="0.25"/>
    <row r="61516" hidden="1" x14ac:dyDescent="0.25"/>
    <row r="61517" hidden="1" x14ac:dyDescent="0.25"/>
    <row r="61518" hidden="1" x14ac:dyDescent="0.25"/>
    <row r="61519" hidden="1" x14ac:dyDescent="0.25"/>
    <row r="61520" hidden="1" x14ac:dyDescent="0.25"/>
    <row r="61521" hidden="1" x14ac:dyDescent="0.25"/>
    <row r="61522" hidden="1" x14ac:dyDescent="0.25"/>
    <row r="61523" hidden="1" x14ac:dyDescent="0.25"/>
    <row r="61524" hidden="1" x14ac:dyDescent="0.25"/>
    <row r="61525" hidden="1" x14ac:dyDescent="0.25"/>
    <row r="61526" hidden="1" x14ac:dyDescent="0.25"/>
    <row r="61527" hidden="1" x14ac:dyDescent="0.25"/>
    <row r="61528" hidden="1" x14ac:dyDescent="0.25"/>
    <row r="61529" hidden="1" x14ac:dyDescent="0.25"/>
    <row r="61530" hidden="1" x14ac:dyDescent="0.25"/>
    <row r="61531" hidden="1" x14ac:dyDescent="0.25"/>
    <row r="61532" hidden="1" x14ac:dyDescent="0.25"/>
    <row r="61533" hidden="1" x14ac:dyDescent="0.25"/>
    <row r="61534" hidden="1" x14ac:dyDescent="0.25"/>
    <row r="61535" hidden="1" x14ac:dyDescent="0.25"/>
    <row r="61536" hidden="1" x14ac:dyDescent="0.25"/>
    <row r="61537" hidden="1" x14ac:dyDescent="0.25"/>
    <row r="61538" hidden="1" x14ac:dyDescent="0.25"/>
    <row r="61539" hidden="1" x14ac:dyDescent="0.25"/>
    <row r="61540" hidden="1" x14ac:dyDescent="0.25"/>
    <row r="61541" hidden="1" x14ac:dyDescent="0.25"/>
    <row r="61542" hidden="1" x14ac:dyDescent="0.25"/>
    <row r="61543" hidden="1" x14ac:dyDescent="0.25"/>
    <row r="61544" hidden="1" x14ac:dyDescent="0.25"/>
    <row r="61545" hidden="1" x14ac:dyDescent="0.25"/>
    <row r="61546" hidden="1" x14ac:dyDescent="0.25"/>
    <row r="61547" hidden="1" x14ac:dyDescent="0.25"/>
    <row r="61548" hidden="1" x14ac:dyDescent="0.25"/>
    <row r="61549" hidden="1" x14ac:dyDescent="0.25"/>
    <row r="61550" hidden="1" x14ac:dyDescent="0.25"/>
    <row r="61551" hidden="1" x14ac:dyDescent="0.25"/>
    <row r="61552" hidden="1" x14ac:dyDescent="0.25"/>
    <row r="61553" hidden="1" x14ac:dyDescent="0.25"/>
    <row r="61554" hidden="1" x14ac:dyDescent="0.25"/>
    <row r="61555" hidden="1" x14ac:dyDescent="0.25"/>
    <row r="61556" hidden="1" x14ac:dyDescent="0.25"/>
    <row r="61557" hidden="1" x14ac:dyDescent="0.25"/>
    <row r="61558" hidden="1" x14ac:dyDescent="0.25"/>
    <row r="61559" hidden="1" x14ac:dyDescent="0.25"/>
    <row r="61560" hidden="1" x14ac:dyDescent="0.25"/>
    <row r="61561" hidden="1" x14ac:dyDescent="0.25"/>
    <row r="61562" hidden="1" x14ac:dyDescent="0.25"/>
    <row r="61563" hidden="1" x14ac:dyDescent="0.25"/>
    <row r="61564" hidden="1" x14ac:dyDescent="0.25"/>
    <row r="61565" hidden="1" x14ac:dyDescent="0.25"/>
    <row r="61566" hidden="1" x14ac:dyDescent="0.25"/>
    <row r="61567" hidden="1" x14ac:dyDescent="0.25"/>
    <row r="61568" hidden="1" x14ac:dyDescent="0.25"/>
    <row r="61569" hidden="1" x14ac:dyDescent="0.25"/>
    <row r="61570" hidden="1" x14ac:dyDescent="0.25"/>
    <row r="61571" hidden="1" x14ac:dyDescent="0.25"/>
    <row r="61572" hidden="1" x14ac:dyDescent="0.25"/>
    <row r="61573" hidden="1" x14ac:dyDescent="0.25"/>
    <row r="61574" hidden="1" x14ac:dyDescent="0.25"/>
    <row r="61575" hidden="1" x14ac:dyDescent="0.25"/>
    <row r="61576" hidden="1" x14ac:dyDescent="0.25"/>
    <row r="61577" hidden="1" x14ac:dyDescent="0.25"/>
    <row r="61578" hidden="1" x14ac:dyDescent="0.25"/>
    <row r="61579" hidden="1" x14ac:dyDescent="0.25"/>
    <row r="61580" hidden="1" x14ac:dyDescent="0.25"/>
    <row r="61581" hidden="1" x14ac:dyDescent="0.25"/>
    <row r="61582" hidden="1" x14ac:dyDescent="0.25"/>
    <row r="61583" hidden="1" x14ac:dyDescent="0.25"/>
    <row r="61584" hidden="1" x14ac:dyDescent="0.25"/>
    <row r="61585" hidden="1" x14ac:dyDescent="0.25"/>
    <row r="61586" hidden="1" x14ac:dyDescent="0.25"/>
    <row r="61587" hidden="1" x14ac:dyDescent="0.25"/>
    <row r="61588" hidden="1" x14ac:dyDescent="0.25"/>
    <row r="61589" hidden="1" x14ac:dyDescent="0.25"/>
    <row r="61590" hidden="1" x14ac:dyDescent="0.25"/>
    <row r="61591" hidden="1" x14ac:dyDescent="0.25"/>
    <row r="61592" hidden="1" x14ac:dyDescent="0.25"/>
    <row r="61593" hidden="1" x14ac:dyDescent="0.25"/>
    <row r="61594" hidden="1" x14ac:dyDescent="0.25"/>
    <row r="61595" hidden="1" x14ac:dyDescent="0.25"/>
    <row r="61596" hidden="1" x14ac:dyDescent="0.25"/>
    <row r="61597" hidden="1" x14ac:dyDescent="0.25"/>
    <row r="61598" hidden="1" x14ac:dyDescent="0.25"/>
    <row r="61599" hidden="1" x14ac:dyDescent="0.25"/>
    <row r="61600" hidden="1" x14ac:dyDescent="0.25"/>
    <row r="61601" hidden="1" x14ac:dyDescent="0.25"/>
    <row r="61602" hidden="1" x14ac:dyDescent="0.25"/>
    <row r="61603" hidden="1" x14ac:dyDescent="0.25"/>
    <row r="61604" hidden="1" x14ac:dyDescent="0.25"/>
    <row r="61605" hidden="1" x14ac:dyDescent="0.25"/>
    <row r="61606" hidden="1" x14ac:dyDescent="0.25"/>
    <row r="61607" hidden="1" x14ac:dyDescent="0.25"/>
    <row r="61608" hidden="1" x14ac:dyDescent="0.25"/>
    <row r="61609" hidden="1" x14ac:dyDescent="0.25"/>
    <row r="61610" hidden="1" x14ac:dyDescent="0.25"/>
    <row r="61611" hidden="1" x14ac:dyDescent="0.25"/>
    <row r="61612" hidden="1" x14ac:dyDescent="0.25"/>
    <row r="61613" hidden="1" x14ac:dyDescent="0.25"/>
    <row r="61614" hidden="1" x14ac:dyDescent="0.25"/>
    <row r="61615" hidden="1" x14ac:dyDescent="0.25"/>
    <row r="61616" hidden="1" x14ac:dyDescent="0.25"/>
    <row r="61617" hidden="1" x14ac:dyDescent="0.25"/>
    <row r="61618" hidden="1" x14ac:dyDescent="0.25"/>
    <row r="61619" hidden="1" x14ac:dyDescent="0.25"/>
    <row r="61620" hidden="1" x14ac:dyDescent="0.25"/>
    <row r="61621" hidden="1" x14ac:dyDescent="0.25"/>
    <row r="61622" hidden="1" x14ac:dyDescent="0.25"/>
    <row r="61623" hidden="1" x14ac:dyDescent="0.25"/>
    <row r="61624" hidden="1" x14ac:dyDescent="0.25"/>
    <row r="61625" hidden="1" x14ac:dyDescent="0.25"/>
    <row r="61626" hidden="1" x14ac:dyDescent="0.25"/>
    <row r="61627" hidden="1" x14ac:dyDescent="0.25"/>
    <row r="61628" hidden="1" x14ac:dyDescent="0.25"/>
    <row r="61629" hidden="1" x14ac:dyDescent="0.25"/>
    <row r="61630" hidden="1" x14ac:dyDescent="0.25"/>
    <row r="61631" hidden="1" x14ac:dyDescent="0.25"/>
    <row r="61632" hidden="1" x14ac:dyDescent="0.25"/>
    <row r="61633" hidden="1" x14ac:dyDescent="0.25"/>
    <row r="61634" hidden="1" x14ac:dyDescent="0.25"/>
    <row r="61635" hidden="1" x14ac:dyDescent="0.25"/>
    <row r="61636" hidden="1" x14ac:dyDescent="0.25"/>
    <row r="61637" hidden="1" x14ac:dyDescent="0.25"/>
    <row r="61638" hidden="1" x14ac:dyDescent="0.25"/>
    <row r="61639" hidden="1" x14ac:dyDescent="0.25"/>
    <row r="61640" hidden="1" x14ac:dyDescent="0.25"/>
    <row r="61641" hidden="1" x14ac:dyDescent="0.25"/>
    <row r="61642" hidden="1" x14ac:dyDescent="0.25"/>
    <row r="61643" hidden="1" x14ac:dyDescent="0.25"/>
    <row r="61644" hidden="1" x14ac:dyDescent="0.25"/>
    <row r="61645" hidden="1" x14ac:dyDescent="0.25"/>
    <row r="61646" hidden="1" x14ac:dyDescent="0.25"/>
    <row r="61647" hidden="1" x14ac:dyDescent="0.25"/>
    <row r="61648" hidden="1" x14ac:dyDescent="0.25"/>
    <row r="61649" hidden="1" x14ac:dyDescent="0.25"/>
    <row r="61650" hidden="1" x14ac:dyDescent="0.25"/>
    <row r="61651" hidden="1" x14ac:dyDescent="0.25"/>
    <row r="61652" hidden="1" x14ac:dyDescent="0.25"/>
    <row r="61653" hidden="1" x14ac:dyDescent="0.25"/>
    <row r="61654" hidden="1" x14ac:dyDescent="0.25"/>
    <row r="61655" hidden="1" x14ac:dyDescent="0.25"/>
    <row r="61656" hidden="1" x14ac:dyDescent="0.25"/>
    <row r="61657" hidden="1" x14ac:dyDescent="0.25"/>
    <row r="61658" hidden="1" x14ac:dyDescent="0.25"/>
    <row r="61659" hidden="1" x14ac:dyDescent="0.25"/>
    <row r="61660" hidden="1" x14ac:dyDescent="0.25"/>
    <row r="61661" hidden="1" x14ac:dyDescent="0.25"/>
    <row r="61662" hidden="1" x14ac:dyDescent="0.25"/>
    <row r="61663" hidden="1" x14ac:dyDescent="0.25"/>
    <row r="61664" hidden="1" x14ac:dyDescent="0.25"/>
    <row r="61665" hidden="1" x14ac:dyDescent="0.25"/>
    <row r="61666" hidden="1" x14ac:dyDescent="0.25"/>
    <row r="61667" hidden="1" x14ac:dyDescent="0.25"/>
    <row r="61668" hidden="1" x14ac:dyDescent="0.25"/>
    <row r="61669" hidden="1" x14ac:dyDescent="0.25"/>
    <row r="61670" hidden="1" x14ac:dyDescent="0.25"/>
    <row r="61671" hidden="1" x14ac:dyDescent="0.25"/>
    <row r="61672" hidden="1" x14ac:dyDescent="0.25"/>
    <row r="61673" hidden="1" x14ac:dyDescent="0.25"/>
    <row r="61674" hidden="1" x14ac:dyDescent="0.25"/>
    <row r="61675" hidden="1" x14ac:dyDescent="0.25"/>
    <row r="61676" hidden="1" x14ac:dyDescent="0.25"/>
    <row r="61677" hidden="1" x14ac:dyDescent="0.25"/>
    <row r="61678" hidden="1" x14ac:dyDescent="0.25"/>
    <row r="61679" hidden="1" x14ac:dyDescent="0.25"/>
    <row r="61680" hidden="1" x14ac:dyDescent="0.25"/>
    <row r="61681" hidden="1" x14ac:dyDescent="0.25"/>
    <row r="61682" hidden="1" x14ac:dyDescent="0.25"/>
    <row r="61683" hidden="1" x14ac:dyDescent="0.25"/>
    <row r="61684" hidden="1" x14ac:dyDescent="0.25"/>
    <row r="61685" hidden="1" x14ac:dyDescent="0.25"/>
    <row r="61686" hidden="1" x14ac:dyDescent="0.25"/>
    <row r="61687" hidden="1" x14ac:dyDescent="0.25"/>
    <row r="61688" hidden="1" x14ac:dyDescent="0.25"/>
    <row r="61689" hidden="1" x14ac:dyDescent="0.25"/>
    <row r="61690" hidden="1" x14ac:dyDescent="0.25"/>
    <row r="61691" hidden="1" x14ac:dyDescent="0.25"/>
    <row r="61692" hidden="1" x14ac:dyDescent="0.25"/>
    <row r="61693" hidden="1" x14ac:dyDescent="0.25"/>
    <row r="61694" hidden="1" x14ac:dyDescent="0.25"/>
    <row r="61695" hidden="1" x14ac:dyDescent="0.25"/>
    <row r="61696" hidden="1" x14ac:dyDescent="0.25"/>
    <row r="61697" hidden="1" x14ac:dyDescent="0.25"/>
    <row r="61698" hidden="1" x14ac:dyDescent="0.25"/>
    <row r="61699" hidden="1" x14ac:dyDescent="0.25"/>
    <row r="61700" hidden="1" x14ac:dyDescent="0.25"/>
    <row r="61701" hidden="1" x14ac:dyDescent="0.25"/>
    <row r="61702" hidden="1" x14ac:dyDescent="0.25"/>
    <row r="61703" hidden="1" x14ac:dyDescent="0.25"/>
    <row r="61704" hidden="1" x14ac:dyDescent="0.25"/>
    <row r="61705" hidden="1" x14ac:dyDescent="0.25"/>
    <row r="61706" hidden="1" x14ac:dyDescent="0.25"/>
    <row r="61707" hidden="1" x14ac:dyDescent="0.25"/>
    <row r="61708" hidden="1" x14ac:dyDescent="0.25"/>
    <row r="61709" hidden="1" x14ac:dyDescent="0.25"/>
    <row r="61710" hidden="1" x14ac:dyDescent="0.25"/>
    <row r="61711" hidden="1" x14ac:dyDescent="0.25"/>
    <row r="61712" hidden="1" x14ac:dyDescent="0.25"/>
    <row r="61713" hidden="1" x14ac:dyDescent="0.25"/>
    <row r="61714" hidden="1" x14ac:dyDescent="0.25"/>
    <row r="61715" hidden="1" x14ac:dyDescent="0.25"/>
    <row r="61716" hidden="1" x14ac:dyDescent="0.25"/>
    <row r="61717" hidden="1" x14ac:dyDescent="0.25"/>
    <row r="61718" hidden="1" x14ac:dyDescent="0.25"/>
    <row r="61719" hidden="1" x14ac:dyDescent="0.25"/>
    <row r="61720" hidden="1" x14ac:dyDescent="0.25"/>
    <row r="61721" hidden="1" x14ac:dyDescent="0.25"/>
    <row r="61722" hidden="1" x14ac:dyDescent="0.25"/>
    <row r="61723" hidden="1" x14ac:dyDescent="0.25"/>
    <row r="61724" hidden="1" x14ac:dyDescent="0.25"/>
    <row r="61725" hidden="1" x14ac:dyDescent="0.25"/>
    <row r="61726" hidden="1" x14ac:dyDescent="0.25"/>
    <row r="61727" hidden="1" x14ac:dyDescent="0.25"/>
    <row r="61728" hidden="1" x14ac:dyDescent="0.25"/>
    <row r="61729" hidden="1" x14ac:dyDescent="0.25"/>
    <row r="61730" hidden="1" x14ac:dyDescent="0.25"/>
    <row r="61731" hidden="1" x14ac:dyDescent="0.25"/>
    <row r="61732" hidden="1" x14ac:dyDescent="0.25"/>
    <row r="61733" hidden="1" x14ac:dyDescent="0.25"/>
    <row r="61734" hidden="1" x14ac:dyDescent="0.25"/>
    <row r="61735" hidden="1" x14ac:dyDescent="0.25"/>
    <row r="61736" hidden="1" x14ac:dyDescent="0.25"/>
    <row r="61737" hidden="1" x14ac:dyDescent="0.25"/>
    <row r="61738" hidden="1" x14ac:dyDescent="0.25"/>
    <row r="61739" hidden="1" x14ac:dyDescent="0.25"/>
    <row r="61740" hidden="1" x14ac:dyDescent="0.25"/>
    <row r="61741" hidden="1" x14ac:dyDescent="0.25"/>
    <row r="61742" hidden="1" x14ac:dyDescent="0.25"/>
    <row r="61743" hidden="1" x14ac:dyDescent="0.25"/>
    <row r="61744" hidden="1" x14ac:dyDescent="0.25"/>
    <row r="61745" hidden="1" x14ac:dyDescent="0.25"/>
    <row r="61746" hidden="1" x14ac:dyDescent="0.25"/>
    <row r="61747" hidden="1" x14ac:dyDescent="0.25"/>
    <row r="61748" hidden="1" x14ac:dyDescent="0.25"/>
    <row r="61749" hidden="1" x14ac:dyDescent="0.25"/>
    <row r="61750" hidden="1" x14ac:dyDescent="0.25"/>
    <row r="61751" hidden="1" x14ac:dyDescent="0.25"/>
    <row r="61752" hidden="1" x14ac:dyDescent="0.25"/>
    <row r="61753" hidden="1" x14ac:dyDescent="0.25"/>
    <row r="61754" hidden="1" x14ac:dyDescent="0.25"/>
    <row r="61755" hidden="1" x14ac:dyDescent="0.25"/>
    <row r="61756" hidden="1" x14ac:dyDescent="0.25"/>
    <row r="61757" hidden="1" x14ac:dyDescent="0.25"/>
    <row r="61758" hidden="1" x14ac:dyDescent="0.25"/>
    <row r="61759" hidden="1" x14ac:dyDescent="0.25"/>
    <row r="61760" hidden="1" x14ac:dyDescent="0.25"/>
    <row r="61761" hidden="1" x14ac:dyDescent="0.25"/>
    <row r="61762" hidden="1" x14ac:dyDescent="0.25"/>
    <row r="61763" hidden="1" x14ac:dyDescent="0.25"/>
    <row r="61764" hidden="1" x14ac:dyDescent="0.25"/>
    <row r="61765" hidden="1" x14ac:dyDescent="0.25"/>
    <row r="61766" hidden="1" x14ac:dyDescent="0.25"/>
    <row r="61767" hidden="1" x14ac:dyDescent="0.25"/>
    <row r="61768" hidden="1" x14ac:dyDescent="0.25"/>
    <row r="61769" hidden="1" x14ac:dyDescent="0.25"/>
    <row r="61770" hidden="1" x14ac:dyDescent="0.25"/>
    <row r="61771" hidden="1" x14ac:dyDescent="0.25"/>
    <row r="61772" hidden="1" x14ac:dyDescent="0.25"/>
    <row r="61773" hidden="1" x14ac:dyDescent="0.25"/>
    <row r="61774" hidden="1" x14ac:dyDescent="0.25"/>
    <row r="61775" hidden="1" x14ac:dyDescent="0.25"/>
    <row r="61776" hidden="1" x14ac:dyDescent="0.25"/>
    <row r="61777" hidden="1" x14ac:dyDescent="0.25"/>
    <row r="61778" hidden="1" x14ac:dyDescent="0.25"/>
    <row r="61779" hidden="1" x14ac:dyDescent="0.25"/>
    <row r="61780" hidden="1" x14ac:dyDescent="0.25"/>
    <row r="61781" hidden="1" x14ac:dyDescent="0.25"/>
    <row r="61782" hidden="1" x14ac:dyDescent="0.25"/>
    <row r="61783" hidden="1" x14ac:dyDescent="0.25"/>
    <row r="61784" hidden="1" x14ac:dyDescent="0.25"/>
    <row r="61785" hidden="1" x14ac:dyDescent="0.25"/>
    <row r="61786" hidden="1" x14ac:dyDescent="0.25"/>
    <row r="61787" hidden="1" x14ac:dyDescent="0.25"/>
    <row r="61788" hidden="1" x14ac:dyDescent="0.25"/>
    <row r="61789" hidden="1" x14ac:dyDescent="0.25"/>
    <row r="61790" hidden="1" x14ac:dyDescent="0.25"/>
    <row r="61791" hidden="1" x14ac:dyDescent="0.25"/>
    <row r="61792" hidden="1" x14ac:dyDescent="0.25"/>
    <row r="61793" hidden="1" x14ac:dyDescent="0.25"/>
    <row r="61794" hidden="1" x14ac:dyDescent="0.25"/>
    <row r="61795" hidden="1" x14ac:dyDescent="0.25"/>
    <row r="61796" hidden="1" x14ac:dyDescent="0.25"/>
    <row r="61797" hidden="1" x14ac:dyDescent="0.25"/>
    <row r="61798" hidden="1" x14ac:dyDescent="0.25"/>
    <row r="61799" hidden="1" x14ac:dyDescent="0.25"/>
    <row r="61800" hidden="1" x14ac:dyDescent="0.25"/>
    <row r="61801" hidden="1" x14ac:dyDescent="0.25"/>
    <row r="61802" hidden="1" x14ac:dyDescent="0.25"/>
    <row r="61803" hidden="1" x14ac:dyDescent="0.25"/>
    <row r="61804" hidden="1" x14ac:dyDescent="0.25"/>
    <row r="61805" hidden="1" x14ac:dyDescent="0.25"/>
    <row r="61806" hidden="1" x14ac:dyDescent="0.25"/>
    <row r="61807" hidden="1" x14ac:dyDescent="0.25"/>
    <row r="61808" hidden="1" x14ac:dyDescent="0.25"/>
    <row r="61809" hidden="1" x14ac:dyDescent="0.25"/>
    <row r="61810" hidden="1" x14ac:dyDescent="0.25"/>
    <row r="61811" hidden="1" x14ac:dyDescent="0.25"/>
    <row r="61812" hidden="1" x14ac:dyDescent="0.25"/>
    <row r="61813" hidden="1" x14ac:dyDescent="0.25"/>
    <row r="61814" hidden="1" x14ac:dyDescent="0.25"/>
    <row r="61815" hidden="1" x14ac:dyDescent="0.25"/>
    <row r="61816" hidden="1" x14ac:dyDescent="0.25"/>
    <row r="61817" hidden="1" x14ac:dyDescent="0.25"/>
    <row r="61818" hidden="1" x14ac:dyDescent="0.25"/>
    <row r="61819" hidden="1" x14ac:dyDescent="0.25"/>
    <row r="61820" hidden="1" x14ac:dyDescent="0.25"/>
    <row r="61821" hidden="1" x14ac:dyDescent="0.25"/>
    <row r="61822" hidden="1" x14ac:dyDescent="0.25"/>
    <row r="61823" hidden="1" x14ac:dyDescent="0.25"/>
    <row r="61824" hidden="1" x14ac:dyDescent="0.25"/>
    <row r="61825" hidden="1" x14ac:dyDescent="0.25"/>
    <row r="61826" hidden="1" x14ac:dyDescent="0.25"/>
    <row r="61827" hidden="1" x14ac:dyDescent="0.25"/>
    <row r="61828" hidden="1" x14ac:dyDescent="0.25"/>
    <row r="61829" hidden="1" x14ac:dyDescent="0.25"/>
    <row r="61830" hidden="1" x14ac:dyDescent="0.25"/>
    <row r="61831" hidden="1" x14ac:dyDescent="0.25"/>
    <row r="61832" hidden="1" x14ac:dyDescent="0.25"/>
    <row r="61833" hidden="1" x14ac:dyDescent="0.25"/>
    <row r="61834" hidden="1" x14ac:dyDescent="0.25"/>
    <row r="61835" hidden="1" x14ac:dyDescent="0.25"/>
    <row r="61836" hidden="1" x14ac:dyDescent="0.25"/>
    <row r="61837" hidden="1" x14ac:dyDescent="0.25"/>
    <row r="61838" hidden="1" x14ac:dyDescent="0.25"/>
    <row r="61839" hidden="1" x14ac:dyDescent="0.25"/>
    <row r="61840" hidden="1" x14ac:dyDescent="0.25"/>
    <row r="61841" hidden="1" x14ac:dyDescent="0.25"/>
    <row r="61842" hidden="1" x14ac:dyDescent="0.25"/>
    <row r="61843" hidden="1" x14ac:dyDescent="0.25"/>
    <row r="61844" hidden="1" x14ac:dyDescent="0.25"/>
    <row r="61845" hidden="1" x14ac:dyDescent="0.25"/>
    <row r="61846" hidden="1" x14ac:dyDescent="0.25"/>
    <row r="61847" hidden="1" x14ac:dyDescent="0.25"/>
    <row r="61848" hidden="1" x14ac:dyDescent="0.25"/>
    <row r="61849" hidden="1" x14ac:dyDescent="0.25"/>
    <row r="61850" hidden="1" x14ac:dyDescent="0.25"/>
    <row r="61851" hidden="1" x14ac:dyDescent="0.25"/>
    <row r="61852" hidden="1" x14ac:dyDescent="0.25"/>
    <row r="61853" hidden="1" x14ac:dyDescent="0.25"/>
    <row r="61854" hidden="1" x14ac:dyDescent="0.25"/>
    <row r="61855" hidden="1" x14ac:dyDescent="0.25"/>
    <row r="61856" hidden="1" x14ac:dyDescent="0.25"/>
    <row r="61857" hidden="1" x14ac:dyDescent="0.25"/>
    <row r="61858" hidden="1" x14ac:dyDescent="0.25"/>
    <row r="61859" hidden="1" x14ac:dyDescent="0.25"/>
    <row r="61860" hidden="1" x14ac:dyDescent="0.25"/>
    <row r="61861" hidden="1" x14ac:dyDescent="0.25"/>
    <row r="61862" hidden="1" x14ac:dyDescent="0.25"/>
    <row r="61863" hidden="1" x14ac:dyDescent="0.25"/>
    <row r="61864" hidden="1" x14ac:dyDescent="0.25"/>
    <row r="61865" hidden="1" x14ac:dyDescent="0.25"/>
    <row r="61866" hidden="1" x14ac:dyDescent="0.25"/>
    <row r="61867" hidden="1" x14ac:dyDescent="0.25"/>
    <row r="61868" hidden="1" x14ac:dyDescent="0.25"/>
    <row r="61869" hidden="1" x14ac:dyDescent="0.25"/>
    <row r="61870" hidden="1" x14ac:dyDescent="0.25"/>
    <row r="61871" hidden="1" x14ac:dyDescent="0.25"/>
    <row r="61872" hidden="1" x14ac:dyDescent="0.25"/>
    <row r="61873" hidden="1" x14ac:dyDescent="0.25"/>
    <row r="61874" hidden="1" x14ac:dyDescent="0.25"/>
    <row r="61875" hidden="1" x14ac:dyDescent="0.25"/>
    <row r="61876" hidden="1" x14ac:dyDescent="0.25"/>
    <row r="61877" hidden="1" x14ac:dyDescent="0.25"/>
    <row r="61878" hidden="1" x14ac:dyDescent="0.25"/>
    <row r="61879" hidden="1" x14ac:dyDescent="0.25"/>
    <row r="61880" hidden="1" x14ac:dyDescent="0.25"/>
    <row r="61881" hidden="1" x14ac:dyDescent="0.25"/>
    <row r="61882" hidden="1" x14ac:dyDescent="0.25"/>
    <row r="61883" hidden="1" x14ac:dyDescent="0.25"/>
    <row r="61884" hidden="1" x14ac:dyDescent="0.25"/>
    <row r="61885" hidden="1" x14ac:dyDescent="0.25"/>
    <row r="61886" hidden="1" x14ac:dyDescent="0.25"/>
    <row r="61887" hidden="1" x14ac:dyDescent="0.25"/>
    <row r="61888" hidden="1" x14ac:dyDescent="0.25"/>
    <row r="61889" hidden="1" x14ac:dyDescent="0.25"/>
    <row r="61890" hidden="1" x14ac:dyDescent="0.25"/>
    <row r="61891" hidden="1" x14ac:dyDescent="0.25"/>
    <row r="61892" hidden="1" x14ac:dyDescent="0.25"/>
    <row r="61893" hidden="1" x14ac:dyDescent="0.25"/>
    <row r="61894" hidden="1" x14ac:dyDescent="0.25"/>
    <row r="61895" hidden="1" x14ac:dyDescent="0.25"/>
    <row r="61896" hidden="1" x14ac:dyDescent="0.25"/>
    <row r="61897" hidden="1" x14ac:dyDescent="0.25"/>
    <row r="61898" hidden="1" x14ac:dyDescent="0.25"/>
    <row r="61899" hidden="1" x14ac:dyDescent="0.25"/>
    <row r="61900" hidden="1" x14ac:dyDescent="0.25"/>
    <row r="61901" hidden="1" x14ac:dyDescent="0.25"/>
    <row r="61902" hidden="1" x14ac:dyDescent="0.25"/>
    <row r="61903" hidden="1" x14ac:dyDescent="0.25"/>
    <row r="61904" hidden="1" x14ac:dyDescent="0.25"/>
    <row r="61905" hidden="1" x14ac:dyDescent="0.25"/>
    <row r="61906" hidden="1" x14ac:dyDescent="0.25"/>
    <row r="61907" hidden="1" x14ac:dyDescent="0.25"/>
    <row r="61908" hidden="1" x14ac:dyDescent="0.25"/>
    <row r="61909" hidden="1" x14ac:dyDescent="0.25"/>
    <row r="61910" hidden="1" x14ac:dyDescent="0.25"/>
    <row r="61911" hidden="1" x14ac:dyDescent="0.25"/>
    <row r="61912" hidden="1" x14ac:dyDescent="0.25"/>
    <row r="61913" hidden="1" x14ac:dyDescent="0.25"/>
    <row r="61914" hidden="1" x14ac:dyDescent="0.25"/>
    <row r="61915" hidden="1" x14ac:dyDescent="0.25"/>
    <row r="61916" hidden="1" x14ac:dyDescent="0.25"/>
    <row r="61917" hidden="1" x14ac:dyDescent="0.25"/>
    <row r="61918" hidden="1" x14ac:dyDescent="0.25"/>
    <row r="61919" hidden="1" x14ac:dyDescent="0.25"/>
    <row r="61920" hidden="1" x14ac:dyDescent="0.25"/>
    <row r="61921" hidden="1" x14ac:dyDescent="0.25"/>
    <row r="61922" hidden="1" x14ac:dyDescent="0.25"/>
    <row r="61923" hidden="1" x14ac:dyDescent="0.25"/>
    <row r="61924" hidden="1" x14ac:dyDescent="0.25"/>
    <row r="61925" hidden="1" x14ac:dyDescent="0.25"/>
    <row r="61926" hidden="1" x14ac:dyDescent="0.25"/>
    <row r="61927" hidden="1" x14ac:dyDescent="0.25"/>
    <row r="61928" hidden="1" x14ac:dyDescent="0.25"/>
    <row r="61929" hidden="1" x14ac:dyDescent="0.25"/>
    <row r="61930" hidden="1" x14ac:dyDescent="0.25"/>
    <row r="61931" hidden="1" x14ac:dyDescent="0.25"/>
    <row r="61932" hidden="1" x14ac:dyDescent="0.25"/>
    <row r="61933" hidden="1" x14ac:dyDescent="0.25"/>
    <row r="61934" hidden="1" x14ac:dyDescent="0.25"/>
    <row r="61935" hidden="1" x14ac:dyDescent="0.25"/>
    <row r="61936" hidden="1" x14ac:dyDescent="0.25"/>
    <row r="61937" hidden="1" x14ac:dyDescent="0.25"/>
    <row r="61938" hidden="1" x14ac:dyDescent="0.25"/>
    <row r="61939" hidden="1" x14ac:dyDescent="0.25"/>
    <row r="61940" hidden="1" x14ac:dyDescent="0.25"/>
    <row r="61941" hidden="1" x14ac:dyDescent="0.25"/>
    <row r="61942" hidden="1" x14ac:dyDescent="0.25"/>
    <row r="61943" hidden="1" x14ac:dyDescent="0.25"/>
    <row r="61944" hidden="1" x14ac:dyDescent="0.25"/>
    <row r="61945" hidden="1" x14ac:dyDescent="0.25"/>
    <row r="61946" hidden="1" x14ac:dyDescent="0.25"/>
    <row r="61947" hidden="1" x14ac:dyDescent="0.25"/>
    <row r="61948" hidden="1" x14ac:dyDescent="0.25"/>
    <row r="61949" hidden="1" x14ac:dyDescent="0.25"/>
    <row r="61950" hidden="1" x14ac:dyDescent="0.25"/>
    <row r="61951" hidden="1" x14ac:dyDescent="0.25"/>
    <row r="61952" hidden="1" x14ac:dyDescent="0.25"/>
    <row r="61953" hidden="1" x14ac:dyDescent="0.25"/>
    <row r="61954" hidden="1" x14ac:dyDescent="0.25"/>
    <row r="61955" hidden="1" x14ac:dyDescent="0.25"/>
    <row r="61956" hidden="1" x14ac:dyDescent="0.25"/>
    <row r="61957" hidden="1" x14ac:dyDescent="0.25"/>
    <row r="61958" hidden="1" x14ac:dyDescent="0.25"/>
    <row r="61959" hidden="1" x14ac:dyDescent="0.25"/>
    <row r="61960" hidden="1" x14ac:dyDescent="0.25"/>
    <row r="61961" hidden="1" x14ac:dyDescent="0.25"/>
    <row r="61962" hidden="1" x14ac:dyDescent="0.25"/>
    <row r="61963" hidden="1" x14ac:dyDescent="0.25"/>
    <row r="61964" hidden="1" x14ac:dyDescent="0.25"/>
    <row r="61965" hidden="1" x14ac:dyDescent="0.25"/>
    <row r="61966" hidden="1" x14ac:dyDescent="0.25"/>
    <row r="61967" hidden="1" x14ac:dyDescent="0.25"/>
    <row r="61968" hidden="1" x14ac:dyDescent="0.25"/>
    <row r="61969" hidden="1" x14ac:dyDescent="0.25"/>
    <row r="61970" hidden="1" x14ac:dyDescent="0.25"/>
    <row r="61971" hidden="1" x14ac:dyDescent="0.25"/>
    <row r="61972" hidden="1" x14ac:dyDescent="0.25"/>
    <row r="61973" hidden="1" x14ac:dyDescent="0.25"/>
    <row r="61974" hidden="1" x14ac:dyDescent="0.25"/>
    <row r="61975" hidden="1" x14ac:dyDescent="0.25"/>
    <row r="61976" hidden="1" x14ac:dyDescent="0.25"/>
    <row r="61977" hidden="1" x14ac:dyDescent="0.25"/>
    <row r="61978" hidden="1" x14ac:dyDescent="0.25"/>
    <row r="61979" hidden="1" x14ac:dyDescent="0.25"/>
    <row r="61980" hidden="1" x14ac:dyDescent="0.25"/>
    <row r="61981" hidden="1" x14ac:dyDescent="0.25"/>
    <row r="61982" hidden="1" x14ac:dyDescent="0.25"/>
    <row r="61983" hidden="1" x14ac:dyDescent="0.25"/>
    <row r="61984" hidden="1" x14ac:dyDescent="0.25"/>
    <row r="61985" hidden="1" x14ac:dyDescent="0.25"/>
    <row r="61986" hidden="1" x14ac:dyDescent="0.25"/>
    <row r="61987" hidden="1" x14ac:dyDescent="0.25"/>
    <row r="61988" hidden="1" x14ac:dyDescent="0.25"/>
    <row r="61989" hidden="1" x14ac:dyDescent="0.25"/>
    <row r="61990" hidden="1" x14ac:dyDescent="0.25"/>
    <row r="61991" hidden="1" x14ac:dyDescent="0.25"/>
    <row r="61992" hidden="1" x14ac:dyDescent="0.25"/>
    <row r="61993" hidden="1" x14ac:dyDescent="0.25"/>
    <row r="61994" hidden="1" x14ac:dyDescent="0.25"/>
    <row r="61995" hidden="1" x14ac:dyDescent="0.25"/>
    <row r="61996" hidden="1" x14ac:dyDescent="0.25"/>
    <row r="61997" hidden="1" x14ac:dyDescent="0.25"/>
    <row r="61998" hidden="1" x14ac:dyDescent="0.25"/>
    <row r="61999" hidden="1" x14ac:dyDescent="0.25"/>
    <row r="62000" hidden="1" x14ac:dyDescent="0.25"/>
    <row r="62001" hidden="1" x14ac:dyDescent="0.25"/>
    <row r="62002" hidden="1" x14ac:dyDescent="0.25"/>
    <row r="62003" hidden="1" x14ac:dyDescent="0.25"/>
    <row r="62004" hidden="1" x14ac:dyDescent="0.25"/>
    <row r="62005" hidden="1" x14ac:dyDescent="0.25"/>
    <row r="62006" hidden="1" x14ac:dyDescent="0.25"/>
    <row r="62007" hidden="1" x14ac:dyDescent="0.25"/>
    <row r="62008" hidden="1" x14ac:dyDescent="0.25"/>
    <row r="62009" hidden="1" x14ac:dyDescent="0.25"/>
    <row r="62010" hidden="1" x14ac:dyDescent="0.25"/>
    <row r="62011" hidden="1" x14ac:dyDescent="0.25"/>
    <row r="62012" hidden="1" x14ac:dyDescent="0.25"/>
    <row r="62013" hidden="1" x14ac:dyDescent="0.25"/>
    <row r="62014" hidden="1" x14ac:dyDescent="0.25"/>
    <row r="62015" hidden="1" x14ac:dyDescent="0.25"/>
    <row r="62016" hidden="1" x14ac:dyDescent="0.25"/>
    <row r="62017" hidden="1" x14ac:dyDescent="0.25"/>
    <row r="62018" hidden="1" x14ac:dyDescent="0.25"/>
    <row r="62019" hidden="1" x14ac:dyDescent="0.25"/>
    <row r="62020" hidden="1" x14ac:dyDescent="0.25"/>
    <row r="62021" hidden="1" x14ac:dyDescent="0.25"/>
    <row r="62022" hidden="1" x14ac:dyDescent="0.25"/>
    <row r="62023" hidden="1" x14ac:dyDescent="0.25"/>
    <row r="62024" hidden="1" x14ac:dyDescent="0.25"/>
    <row r="62025" hidden="1" x14ac:dyDescent="0.25"/>
    <row r="62026" hidden="1" x14ac:dyDescent="0.25"/>
    <row r="62027" hidden="1" x14ac:dyDescent="0.25"/>
    <row r="62028" hidden="1" x14ac:dyDescent="0.25"/>
    <row r="62029" hidden="1" x14ac:dyDescent="0.25"/>
    <row r="62030" hidden="1" x14ac:dyDescent="0.25"/>
    <row r="62031" hidden="1" x14ac:dyDescent="0.25"/>
    <row r="62032" hidden="1" x14ac:dyDescent="0.25"/>
    <row r="62033" hidden="1" x14ac:dyDescent="0.25"/>
    <row r="62034" hidden="1" x14ac:dyDescent="0.25"/>
    <row r="62035" hidden="1" x14ac:dyDescent="0.25"/>
    <row r="62036" hidden="1" x14ac:dyDescent="0.25"/>
    <row r="62037" hidden="1" x14ac:dyDescent="0.25"/>
    <row r="62038" hidden="1" x14ac:dyDescent="0.25"/>
    <row r="62039" hidden="1" x14ac:dyDescent="0.25"/>
    <row r="62040" hidden="1" x14ac:dyDescent="0.25"/>
    <row r="62041" hidden="1" x14ac:dyDescent="0.25"/>
    <row r="62042" hidden="1" x14ac:dyDescent="0.25"/>
    <row r="62043" hidden="1" x14ac:dyDescent="0.25"/>
    <row r="62044" hidden="1" x14ac:dyDescent="0.25"/>
    <row r="62045" hidden="1" x14ac:dyDescent="0.25"/>
    <row r="62046" hidden="1" x14ac:dyDescent="0.25"/>
    <row r="62047" hidden="1" x14ac:dyDescent="0.25"/>
    <row r="62048" hidden="1" x14ac:dyDescent="0.25"/>
    <row r="62049" hidden="1" x14ac:dyDescent="0.25"/>
    <row r="62050" hidden="1" x14ac:dyDescent="0.25"/>
    <row r="62051" hidden="1" x14ac:dyDescent="0.25"/>
    <row r="62052" hidden="1" x14ac:dyDescent="0.25"/>
    <row r="62053" hidden="1" x14ac:dyDescent="0.25"/>
    <row r="62054" hidden="1" x14ac:dyDescent="0.25"/>
    <row r="62055" hidden="1" x14ac:dyDescent="0.25"/>
    <row r="62056" hidden="1" x14ac:dyDescent="0.25"/>
    <row r="62057" hidden="1" x14ac:dyDescent="0.25"/>
    <row r="62058" hidden="1" x14ac:dyDescent="0.25"/>
    <row r="62059" hidden="1" x14ac:dyDescent="0.25"/>
    <row r="62060" hidden="1" x14ac:dyDescent="0.25"/>
    <row r="62061" hidden="1" x14ac:dyDescent="0.25"/>
    <row r="62062" hidden="1" x14ac:dyDescent="0.25"/>
    <row r="62063" hidden="1" x14ac:dyDescent="0.25"/>
    <row r="62064" hidden="1" x14ac:dyDescent="0.25"/>
    <row r="62065" hidden="1" x14ac:dyDescent="0.25"/>
    <row r="62066" hidden="1" x14ac:dyDescent="0.25"/>
    <row r="62067" hidden="1" x14ac:dyDescent="0.25"/>
    <row r="62068" hidden="1" x14ac:dyDescent="0.25"/>
    <row r="62069" hidden="1" x14ac:dyDescent="0.25"/>
    <row r="62070" hidden="1" x14ac:dyDescent="0.25"/>
    <row r="62071" hidden="1" x14ac:dyDescent="0.25"/>
    <row r="62072" hidden="1" x14ac:dyDescent="0.25"/>
    <row r="62073" hidden="1" x14ac:dyDescent="0.25"/>
    <row r="62074" hidden="1" x14ac:dyDescent="0.25"/>
    <row r="62075" hidden="1" x14ac:dyDescent="0.25"/>
    <row r="62076" hidden="1" x14ac:dyDescent="0.25"/>
    <row r="62077" hidden="1" x14ac:dyDescent="0.25"/>
    <row r="62078" hidden="1" x14ac:dyDescent="0.25"/>
    <row r="62079" hidden="1" x14ac:dyDescent="0.25"/>
    <row r="62080" hidden="1" x14ac:dyDescent="0.25"/>
    <row r="62081" hidden="1" x14ac:dyDescent="0.25"/>
    <row r="62082" hidden="1" x14ac:dyDescent="0.25"/>
    <row r="62083" hidden="1" x14ac:dyDescent="0.25"/>
    <row r="62084" hidden="1" x14ac:dyDescent="0.25"/>
    <row r="62085" hidden="1" x14ac:dyDescent="0.25"/>
    <row r="62086" hidden="1" x14ac:dyDescent="0.25"/>
    <row r="62087" hidden="1" x14ac:dyDescent="0.25"/>
    <row r="62088" hidden="1" x14ac:dyDescent="0.25"/>
    <row r="62089" hidden="1" x14ac:dyDescent="0.25"/>
    <row r="62090" hidden="1" x14ac:dyDescent="0.25"/>
    <row r="62091" hidden="1" x14ac:dyDescent="0.25"/>
    <row r="62092" hidden="1" x14ac:dyDescent="0.25"/>
    <row r="62093" hidden="1" x14ac:dyDescent="0.25"/>
    <row r="62094" hidden="1" x14ac:dyDescent="0.25"/>
    <row r="62095" hidden="1" x14ac:dyDescent="0.25"/>
    <row r="62096" hidden="1" x14ac:dyDescent="0.25"/>
    <row r="62097" hidden="1" x14ac:dyDescent="0.25"/>
    <row r="62098" hidden="1" x14ac:dyDescent="0.25"/>
    <row r="62099" hidden="1" x14ac:dyDescent="0.25"/>
    <row r="62100" hidden="1" x14ac:dyDescent="0.25"/>
    <row r="62101" hidden="1" x14ac:dyDescent="0.25"/>
    <row r="62102" hidden="1" x14ac:dyDescent="0.25"/>
    <row r="62103" hidden="1" x14ac:dyDescent="0.25"/>
    <row r="62104" hidden="1" x14ac:dyDescent="0.25"/>
    <row r="62105" hidden="1" x14ac:dyDescent="0.25"/>
    <row r="62106" hidden="1" x14ac:dyDescent="0.25"/>
    <row r="62107" hidden="1" x14ac:dyDescent="0.25"/>
    <row r="62108" hidden="1" x14ac:dyDescent="0.25"/>
    <row r="62109" hidden="1" x14ac:dyDescent="0.25"/>
    <row r="62110" hidden="1" x14ac:dyDescent="0.25"/>
    <row r="62111" hidden="1" x14ac:dyDescent="0.25"/>
    <row r="62112" hidden="1" x14ac:dyDescent="0.25"/>
    <row r="62113" hidden="1" x14ac:dyDescent="0.25"/>
    <row r="62114" hidden="1" x14ac:dyDescent="0.25"/>
    <row r="62115" hidden="1" x14ac:dyDescent="0.25"/>
    <row r="62116" hidden="1" x14ac:dyDescent="0.25"/>
    <row r="62117" hidden="1" x14ac:dyDescent="0.25"/>
    <row r="62118" hidden="1" x14ac:dyDescent="0.25"/>
    <row r="62119" hidden="1" x14ac:dyDescent="0.25"/>
    <row r="62120" hidden="1" x14ac:dyDescent="0.25"/>
    <row r="62121" hidden="1" x14ac:dyDescent="0.25"/>
    <row r="62122" hidden="1" x14ac:dyDescent="0.25"/>
    <row r="62123" hidden="1" x14ac:dyDescent="0.25"/>
    <row r="62124" hidden="1" x14ac:dyDescent="0.25"/>
    <row r="62125" hidden="1" x14ac:dyDescent="0.25"/>
    <row r="62126" hidden="1" x14ac:dyDescent="0.25"/>
    <row r="62127" hidden="1" x14ac:dyDescent="0.25"/>
    <row r="62128" hidden="1" x14ac:dyDescent="0.25"/>
    <row r="62129" hidden="1" x14ac:dyDescent="0.25"/>
    <row r="62130" hidden="1" x14ac:dyDescent="0.25"/>
    <row r="62131" hidden="1" x14ac:dyDescent="0.25"/>
    <row r="62132" hidden="1" x14ac:dyDescent="0.25"/>
    <row r="62133" hidden="1" x14ac:dyDescent="0.25"/>
    <row r="62134" hidden="1" x14ac:dyDescent="0.25"/>
    <row r="62135" hidden="1" x14ac:dyDescent="0.25"/>
    <row r="62136" hidden="1" x14ac:dyDescent="0.25"/>
    <row r="62137" hidden="1" x14ac:dyDescent="0.25"/>
    <row r="62138" hidden="1" x14ac:dyDescent="0.25"/>
    <row r="62139" hidden="1" x14ac:dyDescent="0.25"/>
    <row r="62140" hidden="1" x14ac:dyDescent="0.25"/>
    <row r="62141" hidden="1" x14ac:dyDescent="0.25"/>
    <row r="62142" hidden="1" x14ac:dyDescent="0.25"/>
    <row r="62143" hidden="1" x14ac:dyDescent="0.25"/>
    <row r="62144" hidden="1" x14ac:dyDescent="0.25"/>
    <row r="62145" hidden="1" x14ac:dyDescent="0.25"/>
    <row r="62146" hidden="1" x14ac:dyDescent="0.25"/>
    <row r="62147" hidden="1" x14ac:dyDescent="0.25"/>
    <row r="62148" hidden="1" x14ac:dyDescent="0.25"/>
    <row r="62149" hidden="1" x14ac:dyDescent="0.25"/>
    <row r="62150" hidden="1" x14ac:dyDescent="0.25"/>
    <row r="62151" hidden="1" x14ac:dyDescent="0.25"/>
    <row r="62152" hidden="1" x14ac:dyDescent="0.25"/>
    <row r="62153" hidden="1" x14ac:dyDescent="0.25"/>
    <row r="62154" hidden="1" x14ac:dyDescent="0.25"/>
    <row r="62155" hidden="1" x14ac:dyDescent="0.25"/>
    <row r="62156" hidden="1" x14ac:dyDescent="0.25"/>
    <row r="62157" hidden="1" x14ac:dyDescent="0.25"/>
    <row r="62158" hidden="1" x14ac:dyDescent="0.25"/>
    <row r="62159" hidden="1" x14ac:dyDescent="0.25"/>
    <row r="62160" hidden="1" x14ac:dyDescent="0.25"/>
    <row r="62161" hidden="1" x14ac:dyDescent="0.25"/>
    <row r="62162" hidden="1" x14ac:dyDescent="0.25"/>
    <row r="62163" hidden="1" x14ac:dyDescent="0.25"/>
    <row r="62164" hidden="1" x14ac:dyDescent="0.25"/>
    <row r="62165" hidden="1" x14ac:dyDescent="0.25"/>
    <row r="62166" hidden="1" x14ac:dyDescent="0.25"/>
    <row r="62167" hidden="1" x14ac:dyDescent="0.25"/>
    <row r="62168" hidden="1" x14ac:dyDescent="0.25"/>
    <row r="62169" hidden="1" x14ac:dyDescent="0.25"/>
    <row r="62170" hidden="1" x14ac:dyDescent="0.25"/>
    <row r="62171" hidden="1" x14ac:dyDescent="0.25"/>
    <row r="62172" hidden="1" x14ac:dyDescent="0.25"/>
    <row r="62173" hidden="1" x14ac:dyDescent="0.25"/>
    <row r="62174" hidden="1" x14ac:dyDescent="0.25"/>
    <row r="62175" hidden="1" x14ac:dyDescent="0.25"/>
    <row r="62176" hidden="1" x14ac:dyDescent="0.25"/>
    <row r="62177" hidden="1" x14ac:dyDescent="0.25"/>
    <row r="62178" hidden="1" x14ac:dyDescent="0.25"/>
    <row r="62179" hidden="1" x14ac:dyDescent="0.25"/>
    <row r="62180" hidden="1" x14ac:dyDescent="0.25"/>
    <row r="62181" hidden="1" x14ac:dyDescent="0.25"/>
    <row r="62182" hidden="1" x14ac:dyDescent="0.25"/>
    <row r="62183" hidden="1" x14ac:dyDescent="0.25"/>
    <row r="62184" hidden="1" x14ac:dyDescent="0.25"/>
    <row r="62185" hidden="1" x14ac:dyDescent="0.25"/>
    <row r="62186" hidden="1" x14ac:dyDescent="0.25"/>
    <row r="62187" hidden="1" x14ac:dyDescent="0.25"/>
    <row r="62188" hidden="1" x14ac:dyDescent="0.25"/>
    <row r="62189" hidden="1" x14ac:dyDescent="0.25"/>
    <row r="62190" hidden="1" x14ac:dyDescent="0.25"/>
    <row r="62191" hidden="1" x14ac:dyDescent="0.25"/>
    <row r="62192" hidden="1" x14ac:dyDescent="0.25"/>
    <row r="62193" hidden="1" x14ac:dyDescent="0.25"/>
    <row r="62194" hidden="1" x14ac:dyDescent="0.25"/>
    <row r="62195" hidden="1" x14ac:dyDescent="0.25"/>
    <row r="62196" hidden="1" x14ac:dyDescent="0.25"/>
    <row r="62197" hidden="1" x14ac:dyDescent="0.25"/>
    <row r="62198" hidden="1" x14ac:dyDescent="0.25"/>
    <row r="62199" hidden="1" x14ac:dyDescent="0.25"/>
    <row r="62200" hidden="1" x14ac:dyDescent="0.25"/>
    <row r="62201" hidden="1" x14ac:dyDescent="0.25"/>
    <row r="62202" hidden="1" x14ac:dyDescent="0.25"/>
    <row r="62203" hidden="1" x14ac:dyDescent="0.25"/>
    <row r="62204" hidden="1" x14ac:dyDescent="0.25"/>
    <row r="62205" hidden="1" x14ac:dyDescent="0.25"/>
    <row r="62206" hidden="1" x14ac:dyDescent="0.25"/>
    <row r="62207" hidden="1" x14ac:dyDescent="0.25"/>
    <row r="62208" hidden="1" x14ac:dyDescent="0.25"/>
    <row r="62209" hidden="1" x14ac:dyDescent="0.25"/>
    <row r="62210" hidden="1" x14ac:dyDescent="0.25"/>
    <row r="62211" hidden="1" x14ac:dyDescent="0.25"/>
    <row r="62212" hidden="1" x14ac:dyDescent="0.25"/>
    <row r="62213" hidden="1" x14ac:dyDescent="0.25"/>
    <row r="62214" hidden="1" x14ac:dyDescent="0.25"/>
    <row r="62215" hidden="1" x14ac:dyDescent="0.25"/>
    <row r="62216" hidden="1" x14ac:dyDescent="0.25"/>
    <row r="62217" hidden="1" x14ac:dyDescent="0.25"/>
    <row r="62218" hidden="1" x14ac:dyDescent="0.25"/>
    <row r="62219" hidden="1" x14ac:dyDescent="0.25"/>
    <row r="62220" hidden="1" x14ac:dyDescent="0.25"/>
    <row r="62221" hidden="1" x14ac:dyDescent="0.25"/>
    <row r="62222" hidden="1" x14ac:dyDescent="0.25"/>
    <row r="62223" hidden="1" x14ac:dyDescent="0.25"/>
    <row r="62224" hidden="1" x14ac:dyDescent="0.25"/>
    <row r="62225" hidden="1" x14ac:dyDescent="0.25"/>
    <row r="62226" hidden="1" x14ac:dyDescent="0.25"/>
    <row r="62227" hidden="1" x14ac:dyDescent="0.25"/>
    <row r="62228" hidden="1" x14ac:dyDescent="0.25"/>
    <row r="62229" hidden="1" x14ac:dyDescent="0.25"/>
    <row r="62230" hidden="1" x14ac:dyDescent="0.25"/>
    <row r="62231" hidden="1" x14ac:dyDescent="0.25"/>
    <row r="62232" hidden="1" x14ac:dyDescent="0.25"/>
    <row r="62233" hidden="1" x14ac:dyDescent="0.25"/>
    <row r="62234" hidden="1" x14ac:dyDescent="0.25"/>
    <row r="62235" hidden="1" x14ac:dyDescent="0.25"/>
    <row r="62236" hidden="1" x14ac:dyDescent="0.25"/>
    <row r="62237" hidden="1" x14ac:dyDescent="0.25"/>
    <row r="62238" hidden="1" x14ac:dyDescent="0.25"/>
    <row r="62239" hidden="1" x14ac:dyDescent="0.25"/>
    <row r="62240" hidden="1" x14ac:dyDescent="0.25"/>
    <row r="62241" hidden="1" x14ac:dyDescent="0.25"/>
    <row r="62242" hidden="1" x14ac:dyDescent="0.25"/>
    <row r="62243" hidden="1" x14ac:dyDescent="0.25"/>
    <row r="62244" hidden="1" x14ac:dyDescent="0.25"/>
    <row r="62245" hidden="1" x14ac:dyDescent="0.25"/>
    <row r="62246" hidden="1" x14ac:dyDescent="0.25"/>
    <row r="62247" hidden="1" x14ac:dyDescent="0.25"/>
    <row r="62248" hidden="1" x14ac:dyDescent="0.25"/>
    <row r="62249" hidden="1" x14ac:dyDescent="0.25"/>
    <row r="62250" hidden="1" x14ac:dyDescent="0.25"/>
    <row r="62251" hidden="1" x14ac:dyDescent="0.25"/>
    <row r="62252" hidden="1" x14ac:dyDescent="0.25"/>
    <row r="62253" hidden="1" x14ac:dyDescent="0.25"/>
    <row r="62254" hidden="1" x14ac:dyDescent="0.25"/>
    <row r="62255" hidden="1" x14ac:dyDescent="0.25"/>
    <row r="62256" hidden="1" x14ac:dyDescent="0.25"/>
    <row r="62257" hidden="1" x14ac:dyDescent="0.25"/>
    <row r="62258" hidden="1" x14ac:dyDescent="0.25"/>
    <row r="62259" hidden="1" x14ac:dyDescent="0.25"/>
    <row r="62260" hidden="1" x14ac:dyDescent="0.25"/>
    <row r="62261" hidden="1" x14ac:dyDescent="0.25"/>
    <row r="62262" hidden="1" x14ac:dyDescent="0.25"/>
    <row r="62263" hidden="1" x14ac:dyDescent="0.25"/>
    <row r="62264" hidden="1" x14ac:dyDescent="0.25"/>
    <row r="62265" hidden="1" x14ac:dyDescent="0.25"/>
    <row r="62266" hidden="1" x14ac:dyDescent="0.25"/>
    <row r="62267" hidden="1" x14ac:dyDescent="0.25"/>
    <row r="62268" hidden="1" x14ac:dyDescent="0.25"/>
    <row r="62269" hidden="1" x14ac:dyDescent="0.25"/>
    <row r="62270" hidden="1" x14ac:dyDescent="0.25"/>
    <row r="62271" hidden="1" x14ac:dyDescent="0.25"/>
    <row r="62272" hidden="1" x14ac:dyDescent="0.25"/>
    <row r="62273" hidden="1" x14ac:dyDescent="0.25"/>
    <row r="62274" hidden="1" x14ac:dyDescent="0.25"/>
    <row r="62275" hidden="1" x14ac:dyDescent="0.25"/>
    <row r="62276" hidden="1" x14ac:dyDescent="0.25"/>
    <row r="62277" hidden="1" x14ac:dyDescent="0.25"/>
    <row r="62278" hidden="1" x14ac:dyDescent="0.25"/>
    <row r="62279" hidden="1" x14ac:dyDescent="0.25"/>
    <row r="62280" hidden="1" x14ac:dyDescent="0.25"/>
    <row r="62281" hidden="1" x14ac:dyDescent="0.25"/>
    <row r="62282" hidden="1" x14ac:dyDescent="0.25"/>
    <row r="62283" hidden="1" x14ac:dyDescent="0.25"/>
    <row r="62284" hidden="1" x14ac:dyDescent="0.25"/>
    <row r="62285" hidden="1" x14ac:dyDescent="0.25"/>
    <row r="62286" hidden="1" x14ac:dyDescent="0.25"/>
    <row r="62287" hidden="1" x14ac:dyDescent="0.25"/>
    <row r="62288" hidden="1" x14ac:dyDescent="0.25"/>
    <row r="62289" hidden="1" x14ac:dyDescent="0.25"/>
    <row r="62290" hidden="1" x14ac:dyDescent="0.25"/>
    <row r="62291" hidden="1" x14ac:dyDescent="0.25"/>
    <row r="62292" hidden="1" x14ac:dyDescent="0.25"/>
    <row r="62293" hidden="1" x14ac:dyDescent="0.25"/>
    <row r="62294" hidden="1" x14ac:dyDescent="0.25"/>
    <row r="62295" hidden="1" x14ac:dyDescent="0.25"/>
    <row r="62296" hidden="1" x14ac:dyDescent="0.25"/>
    <row r="62297" hidden="1" x14ac:dyDescent="0.25"/>
    <row r="62298" hidden="1" x14ac:dyDescent="0.25"/>
    <row r="62299" hidden="1" x14ac:dyDescent="0.25"/>
    <row r="62300" hidden="1" x14ac:dyDescent="0.25"/>
    <row r="62301" hidden="1" x14ac:dyDescent="0.25"/>
    <row r="62302" hidden="1" x14ac:dyDescent="0.25"/>
    <row r="62303" hidden="1" x14ac:dyDescent="0.25"/>
    <row r="62304" hidden="1" x14ac:dyDescent="0.25"/>
    <row r="62305" hidden="1" x14ac:dyDescent="0.25"/>
    <row r="62306" hidden="1" x14ac:dyDescent="0.25"/>
    <row r="62307" hidden="1" x14ac:dyDescent="0.25"/>
    <row r="62308" hidden="1" x14ac:dyDescent="0.25"/>
    <row r="62309" hidden="1" x14ac:dyDescent="0.25"/>
    <row r="62310" hidden="1" x14ac:dyDescent="0.25"/>
    <row r="62311" hidden="1" x14ac:dyDescent="0.25"/>
    <row r="62312" hidden="1" x14ac:dyDescent="0.25"/>
    <row r="62313" hidden="1" x14ac:dyDescent="0.25"/>
    <row r="62314" hidden="1" x14ac:dyDescent="0.25"/>
    <row r="62315" hidden="1" x14ac:dyDescent="0.25"/>
    <row r="62316" hidden="1" x14ac:dyDescent="0.25"/>
    <row r="62317" hidden="1" x14ac:dyDescent="0.25"/>
    <row r="62318" hidden="1" x14ac:dyDescent="0.25"/>
    <row r="62319" hidden="1" x14ac:dyDescent="0.25"/>
    <row r="62320" hidden="1" x14ac:dyDescent="0.25"/>
    <row r="62321" hidden="1" x14ac:dyDescent="0.25"/>
    <row r="62322" hidden="1" x14ac:dyDescent="0.25"/>
    <row r="62323" hidden="1" x14ac:dyDescent="0.25"/>
    <row r="62324" hidden="1" x14ac:dyDescent="0.25"/>
    <row r="62325" hidden="1" x14ac:dyDescent="0.25"/>
    <row r="62326" hidden="1" x14ac:dyDescent="0.25"/>
    <row r="62327" hidden="1" x14ac:dyDescent="0.25"/>
    <row r="62328" hidden="1" x14ac:dyDescent="0.25"/>
    <row r="62329" hidden="1" x14ac:dyDescent="0.25"/>
    <row r="62330" hidden="1" x14ac:dyDescent="0.25"/>
    <row r="62331" hidden="1" x14ac:dyDescent="0.25"/>
    <row r="62332" hidden="1" x14ac:dyDescent="0.25"/>
    <row r="62333" hidden="1" x14ac:dyDescent="0.25"/>
    <row r="62334" hidden="1" x14ac:dyDescent="0.25"/>
    <row r="62335" hidden="1" x14ac:dyDescent="0.25"/>
    <row r="62336" hidden="1" x14ac:dyDescent="0.25"/>
    <row r="62337" hidden="1" x14ac:dyDescent="0.25"/>
    <row r="62338" hidden="1" x14ac:dyDescent="0.25"/>
    <row r="62339" hidden="1" x14ac:dyDescent="0.25"/>
    <row r="62340" hidden="1" x14ac:dyDescent="0.25"/>
    <row r="62341" hidden="1" x14ac:dyDescent="0.25"/>
    <row r="62342" hidden="1" x14ac:dyDescent="0.25"/>
    <row r="62343" hidden="1" x14ac:dyDescent="0.25"/>
    <row r="62344" hidden="1" x14ac:dyDescent="0.25"/>
    <row r="62345" hidden="1" x14ac:dyDescent="0.25"/>
    <row r="62346" hidden="1" x14ac:dyDescent="0.25"/>
    <row r="62347" hidden="1" x14ac:dyDescent="0.25"/>
    <row r="62348" hidden="1" x14ac:dyDescent="0.25"/>
    <row r="62349" hidden="1" x14ac:dyDescent="0.25"/>
    <row r="62350" hidden="1" x14ac:dyDescent="0.25"/>
    <row r="62351" hidden="1" x14ac:dyDescent="0.25"/>
    <row r="62352" hidden="1" x14ac:dyDescent="0.25"/>
    <row r="62353" hidden="1" x14ac:dyDescent="0.25"/>
    <row r="62354" hidden="1" x14ac:dyDescent="0.25"/>
    <row r="62355" hidden="1" x14ac:dyDescent="0.25"/>
    <row r="62356" hidden="1" x14ac:dyDescent="0.25"/>
    <row r="62357" hidden="1" x14ac:dyDescent="0.25"/>
    <row r="62358" hidden="1" x14ac:dyDescent="0.25"/>
    <row r="62359" hidden="1" x14ac:dyDescent="0.25"/>
    <row r="62360" hidden="1" x14ac:dyDescent="0.25"/>
    <row r="62361" hidden="1" x14ac:dyDescent="0.25"/>
    <row r="62362" hidden="1" x14ac:dyDescent="0.25"/>
    <row r="62363" hidden="1" x14ac:dyDescent="0.25"/>
    <row r="62364" hidden="1" x14ac:dyDescent="0.25"/>
    <row r="62365" hidden="1" x14ac:dyDescent="0.25"/>
    <row r="62366" hidden="1" x14ac:dyDescent="0.25"/>
    <row r="62367" hidden="1" x14ac:dyDescent="0.25"/>
    <row r="62368" hidden="1" x14ac:dyDescent="0.25"/>
    <row r="62369" hidden="1" x14ac:dyDescent="0.25"/>
    <row r="62370" hidden="1" x14ac:dyDescent="0.25"/>
    <row r="62371" hidden="1" x14ac:dyDescent="0.25"/>
    <row r="62372" hidden="1" x14ac:dyDescent="0.25"/>
    <row r="62373" hidden="1" x14ac:dyDescent="0.25"/>
    <row r="62374" hidden="1" x14ac:dyDescent="0.25"/>
    <row r="62375" hidden="1" x14ac:dyDescent="0.25"/>
    <row r="62376" hidden="1" x14ac:dyDescent="0.25"/>
    <row r="62377" hidden="1" x14ac:dyDescent="0.25"/>
    <row r="62378" hidden="1" x14ac:dyDescent="0.25"/>
    <row r="62379" hidden="1" x14ac:dyDescent="0.25"/>
    <row r="62380" hidden="1" x14ac:dyDescent="0.25"/>
    <row r="62381" hidden="1" x14ac:dyDescent="0.25"/>
    <row r="62382" hidden="1" x14ac:dyDescent="0.25"/>
    <row r="62383" hidden="1" x14ac:dyDescent="0.25"/>
    <row r="62384" hidden="1" x14ac:dyDescent="0.25"/>
    <row r="62385" hidden="1" x14ac:dyDescent="0.25"/>
    <row r="62386" hidden="1" x14ac:dyDescent="0.25"/>
    <row r="62387" hidden="1" x14ac:dyDescent="0.25"/>
    <row r="62388" hidden="1" x14ac:dyDescent="0.25"/>
    <row r="62389" hidden="1" x14ac:dyDescent="0.25"/>
    <row r="62390" hidden="1" x14ac:dyDescent="0.25"/>
    <row r="62391" hidden="1" x14ac:dyDescent="0.25"/>
    <row r="62392" hidden="1" x14ac:dyDescent="0.25"/>
    <row r="62393" hidden="1" x14ac:dyDescent="0.25"/>
    <row r="62394" hidden="1" x14ac:dyDescent="0.25"/>
    <row r="62395" hidden="1" x14ac:dyDescent="0.25"/>
    <row r="62396" hidden="1" x14ac:dyDescent="0.25"/>
    <row r="62397" hidden="1" x14ac:dyDescent="0.25"/>
    <row r="62398" hidden="1" x14ac:dyDescent="0.25"/>
    <row r="62399" hidden="1" x14ac:dyDescent="0.25"/>
    <row r="62400" hidden="1" x14ac:dyDescent="0.25"/>
    <row r="62401" hidden="1" x14ac:dyDescent="0.25"/>
    <row r="62402" hidden="1" x14ac:dyDescent="0.25"/>
    <row r="62403" hidden="1" x14ac:dyDescent="0.25"/>
    <row r="62404" hidden="1" x14ac:dyDescent="0.25"/>
    <row r="62405" hidden="1" x14ac:dyDescent="0.25"/>
    <row r="62406" hidden="1" x14ac:dyDescent="0.25"/>
    <row r="62407" hidden="1" x14ac:dyDescent="0.25"/>
    <row r="62408" hidden="1" x14ac:dyDescent="0.25"/>
    <row r="62409" hidden="1" x14ac:dyDescent="0.25"/>
    <row r="62410" hidden="1" x14ac:dyDescent="0.25"/>
    <row r="62411" hidden="1" x14ac:dyDescent="0.25"/>
    <row r="62412" hidden="1" x14ac:dyDescent="0.25"/>
    <row r="62413" hidden="1" x14ac:dyDescent="0.25"/>
    <row r="62414" hidden="1" x14ac:dyDescent="0.25"/>
    <row r="62415" hidden="1" x14ac:dyDescent="0.25"/>
    <row r="62416" hidden="1" x14ac:dyDescent="0.25"/>
    <row r="62417" hidden="1" x14ac:dyDescent="0.25"/>
    <row r="62418" hidden="1" x14ac:dyDescent="0.25"/>
    <row r="62419" hidden="1" x14ac:dyDescent="0.25"/>
    <row r="62420" hidden="1" x14ac:dyDescent="0.25"/>
    <row r="62421" hidden="1" x14ac:dyDescent="0.25"/>
    <row r="62422" hidden="1" x14ac:dyDescent="0.25"/>
    <row r="62423" hidden="1" x14ac:dyDescent="0.25"/>
    <row r="62424" hidden="1" x14ac:dyDescent="0.25"/>
    <row r="62425" hidden="1" x14ac:dyDescent="0.25"/>
    <row r="62426" hidden="1" x14ac:dyDescent="0.25"/>
    <row r="62427" hidden="1" x14ac:dyDescent="0.25"/>
    <row r="62428" hidden="1" x14ac:dyDescent="0.25"/>
    <row r="62429" hidden="1" x14ac:dyDescent="0.25"/>
    <row r="62430" hidden="1" x14ac:dyDescent="0.25"/>
    <row r="62431" hidden="1" x14ac:dyDescent="0.25"/>
    <row r="62432" hidden="1" x14ac:dyDescent="0.25"/>
    <row r="62433" hidden="1" x14ac:dyDescent="0.25"/>
    <row r="62434" hidden="1" x14ac:dyDescent="0.25"/>
    <row r="62435" hidden="1" x14ac:dyDescent="0.25"/>
    <row r="62436" hidden="1" x14ac:dyDescent="0.25"/>
    <row r="62437" hidden="1" x14ac:dyDescent="0.25"/>
    <row r="62438" hidden="1" x14ac:dyDescent="0.25"/>
    <row r="62439" hidden="1" x14ac:dyDescent="0.25"/>
    <row r="62440" hidden="1" x14ac:dyDescent="0.25"/>
    <row r="62441" hidden="1" x14ac:dyDescent="0.25"/>
    <row r="62442" hidden="1" x14ac:dyDescent="0.25"/>
    <row r="62443" hidden="1" x14ac:dyDescent="0.25"/>
    <row r="62444" hidden="1" x14ac:dyDescent="0.25"/>
    <row r="62445" hidden="1" x14ac:dyDescent="0.25"/>
    <row r="62446" hidden="1" x14ac:dyDescent="0.25"/>
    <row r="62447" hidden="1" x14ac:dyDescent="0.25"/>
    <row r="62448" hidden="1" x14ac:dyDescent="0.25"/>
    <row r="62449" hidden="1" x14ac:dyDescent="0.25"/>
    <row r="62450" hidden="1" x14ac:dyDescent="0.25"/>
    <row r="62451" hidden="1" x14ac:dyDescent="0.25"/>
    <row r="62452" hidden="1" x14ac:dyDescent="0.25"/>
    <row r="62453" hidden="1" x14ac:dyDescent="0.25"/>
    <row r="62454" hidden="1" x14ac:dyDescent="0.25"/>
    <row r="62455" hidden="1" x14ac:dyDescent="0.25"/>
    <row r="62456" hidden="1" x14ac:dyDescent="0.25"/>
    <row r="62457" hidden="1" x14ac:dyDescent="0.25"/>
    <row r="62458" hidden="1" x14ac:dyDescent="0.25"/>
    <row r="62459" hidden="1" x14ac:dyDescent="0.25"/>
    <row r="62460" hidden="1" x14ac:dyDescent="0.25"/>
    <row r="62461" hidden="1" x14ac:dyDescent="0.25"/>
    <row r="62462" hidden="1" x14ac:dyDescent="0.25"/>
    <row r="62463" hidden="1" x14ac:dyDescent="0.25"/>
    <row r="62464" hidden="1" x14ac:dyDescent="0.25"/>
    <row r="62465" hidden="1" x14ac:dyDescent="0.25"/>
    <row r="62466" hidden="1" x14ac:dyDescent="0.25"/>
    <row r="62467" hidden="1" x14ac:dyDescent="0.25"/>
    <row r="62468" hidden="1" x14ac:dyDescent="0.25"/>
    <row r="62469" hidden="1" x14ac:dyDescent="0.25"/>
    <row r="62470" hidden="1" x14ac:dyDescent="0.25"/>
    <row r="62471" hidden="1" x14ac:dyDescent="0.25"/>
    <row r="62472" hidden="1" x14ac:dyDescent="0.25"/>
    <row r="62473" hidden="1" x14ac:dyDescent="0.25"/>
    <row r="62474" hidden="1" x14ac:dyDescent="0.25"/>
    <row r="62475" hidden="1" x14ac:dyDescent="0.25"/>
    <row r="62476" hidden="1" x14ac:dyDescent="0.25"/>
    <row r="62477" hidden="1" x14ac:dyDescent="0.25"/>
    <row r="62478" hidden="1" x14ac:dyDescent="0.25"/>
    <row r="62479" hidden="1" x14ac:dyDescent="0.25"/>
    <row r="62480" hidden="1" x14ac:dyDescent="0.25"/>
    <row r="62481" hidden="1" x14ac:dyDescent="0.25"/>
    <row r="62482" hidden="1" x14ac:dyDescent="0.25"/>
    <row r="62483" hidden="1" x14ac:dyDescent="0.25"/>
    <row r="62484" hidden="1" x14ac:dyDescent="0.25"/>
    <row r="62485" hidden="1" x14ac:dyDescent="0.25"/>
    <row r="62486" hidden="1" x14ac:dyDescent="0.25"/>
    <row r="62487" hidden="1" x14ac:dyDescent="0.25"/>
    <row r="62488" hidden="1" x14ac:dyDescent="0.25"/>
    <row r="62489" hidden="1" x14ac:dyDescent="0.25"/>
    <row r="62490" hidden="1" x14ac:dyDescent="0.25"/>
    <row r="62491" hidden="1" x14ac:dyDescent="0.25"/>
    <row r="62492" hidden="1" x14ac:dyDescent="0.25"/>
    <row r="62493" hidden="1" x14ac:dyDescent="0.25"/>
    <row r="62494" hidden="1" x14ac:dyDescent="0.25"/>
    <row r="62495" hidden="1" x14ac:dyDescent="0.25"/>
    <row r="62496" hidden="1" x14ac:dyDescent="0.25"/>
    <row r="62497" hidden="1" x14ac:dyDescent="0.25"/>
    <row r="62498" hidden="1" x14ac:dyDescent="0.25"/>
    <row r="62499" hidden="1" x14ac:dyDescent="0.25"/>
    <row r="62500" hidden="1" x14ac:dyDescent="0.25"/>
    <row r="62501" hidden="1" x14ac:dyDescent="0.25"/>
    <row r="62502" hidden="1" x14ac:dyDescent="0.25"/>
    <row r="62503" hidden="1" x14ac:dyDescent="0.25"/>
    <row r="62504" hidden="1" x14ac:dyDescent="0.25"/>
    <row r="62505" hidden="1" x14ac:dyDescent="0.25"/>
    <row r="62506" hidden="1" x14ac:dyDescent="0.25"/>
    <row r="62507" hidden="1" x14ac:dyDescent="0.25"/>
    <row r="62508" hidden="1" x14ac:dyDescent="0.25"/>
    <row r="62509" hidden="1" x14ac:dyDescent="0.25"/>
    <row r="62510" hidden="1" x14ac:dyDescent="0.25"/>
    <row r="62511" hidden="1" x14ac:dyDescent="0.25"/>
    <row r="62512" hidden="1" x14ac:dyDescent="0.25"/>
    <row r="62513" hidden="1" x14ac:dyDescent="0.25"/>
    <row r="62514" hidden="1" x14ac:dyDescent="0.25"/>
    <row r="62515" hidden="1" x14ac:dyDescent="0.25"/>
    <row r="62516" hidden="1" x14ac:dyDescent="0.25"/>
    <row r="62517" hidden="1" x14ac:dyDescent="0.25"/>
    <row r="62518" hidden="1" x14ac:dyDescent="0.25"/>
    <row r="62519" hidden="1" x14ac:dyDescent="0.25"/>
    <row r="62520" hidden="1" x14ac:dyDescent="0.25"/>
    <row r="62521" hidden="1" x14ac:dyDescent="0.25"/>
    <row r="62522" hidden="1" x14ac:dyDescent="0.25"/>
    <row r="62523" hidden="1" x14ac:dyDescent="0.25"/>
    <row r="62524" hidden="1" x14ac:dyDescent="0.25"/>
    <row r="62525" hidden="1" x14ac:dyDescent="0.25"/>
    <row r="62526" hidden="1" x14ac:dyDescent="0.25"/>
    <row r="62527" hidden="1" x14ac:dyDescent="0.25"/>
    <row r="62528" hidden="1" x14ac:dyDescent="0.25"/>
    <row r="62529" hidden="1" x14ac:dyDescent="0.25"/>
    <row r="62530" hidden="1" x14ac:dyDescent="0.25"/>
    <row r="62531" hidden="1" x14ac:dyDescent="0.25"/>
    <row r="62532" hidden="1" x14ac:dyDescent="0.25"/>
    <row r="62533" hidden="1" x14ac:dyDescent="0.25"/>
    <row r="62534" hidden="1" x14ac:dyDescent="0.25"/>
    <row r="62535" hidden="1" x14ac:dyDescent="0.25"/>
    <row r="62536" hidden="1" x14ac:dyDescent="0.25"/>
    <row r="62537" hidden="1" x14ac:dyDescent="0.25"/>
    <row r="62538" hidden="1" x14ac:dyDescent="0.25"/>
    <row r="62539" hidden="1" x14ac:dyDescent="0.25"/>
    <row r="62540" hidden="1" x14ac:dyDescent="0.25"/>
    <row r="62541" hidden="1" x14ac:dyDescent="0.25"/>
    <row r="62542" hidden="1" x14ac:dyDescent="0.25"/>
    <row r="62543" hidden="1" x14ac:dyDescent="0.25"/>
    <row r="62544" hidden="1" x14ac:dyDescent="0.25"/>
    <row r="62545" hidden="1" x14ac:dyDescent="0.25"/>
    <row r="62546" hidden="1" x14ac:dyDescent="0.25"/>
    <row r="62547" hidden="1" x14ac:dyDescent="0.25"/>
    <row r="62548" hidden="1" x14ac:dyDescent="0.25"/>
    <row r="62549" hidden="1" x14ac:dyDescent="0.25"/>
    <row r="62550" hidden="1" x14ac:dyDescent="0.25"/>
    <row r="62551" hidden="1" x14ac:dyDescent="0.25"/>
    <row r="62552" hidden="1" x14ac:dyDescent="0.25"/>
    <row r="62553" hidden="1" x14ac:dyDescent="0.25"/>
    <row r="62554" hidden="1" x14ac:dyDescent="0.25"/>
    <row r="62555" hidden="1" x14ac:dyDescent="0.25"/>
    <row r="62556" hidden="1" x14ac:dyDescent="0.25"/>
    <row r="62557" hidden="1" x14ac:dyDescent="0.25"/>
    <row r="62558" hidden="1" x14ac:dyDescent="0.25"/>
    <row r="62559" hidden="1" x14ac:dyDescent="0.25"/>
    <row r="62560" hidden="1" x14ac:dyDescent="0.25"/>
    <row r="62561" hidden="1" x14ac:dyDescent="0.25"/>
    <row r="62562" hidden="1" x14ac:dyDescent="0.25"/>
    <row r="62563" hidden="1" x14ac:dyDescent="0.25"/>
    <row r="62564" hidden="1" x14ac:dyDescent="0.25"/>
    <row r="62565" hidden="1" x14ac:dyDescent="0.25"/>
    <row r="62566" hidden="1" x14ac:dyDescent="0.25"/>
    <row r="62567" hidden="1" x14ac:dyDescent="0.25"/>
    <row r="62568" hidden="1" x14ac:dyDescent="0.25"/>
    <row r="62569" hidden="1" x14ac:dyDescent="0.25"/>
    <row r="62570" hidden="1" x14ac:dyDescent="0.25"/>
    <row r="62571" hidden="1" x14ac:dyDescent="0.25"/>
    <row r="62572" hidden="1" x14ac:dyDescent="0.25"/>
    <row r="62573" hidden="1" x14ac:dyDescent="0.25"/>
    <row r="62574" hidden="1" x14ac:dyDescent="0.25"/>
    <row r="62575" hidden="1" x14ac:dyDescent="0.25"/>
    <row r="62576" hidden="1" x14ac:dyDescent="0.25"/>
    <row r="62577" hidden="1" x14ac:dyDescent="0.25"/>
    <row r="62578" hidden="1" x14ac:dyDescent="0.25"/>
    <row r="62579" hidden="1" x14ac:dyDescent="0.25"/>
    <row r="62580" hidden="1" x14ac:dyDescent="0.25"/>
    <row r="62581" hidden="1" x14ac:dyDescent="0.25"/>
    <row r="62582" hidden="1" x14ac:dyDescent="0.25"/>
    <row r="62583" hidden="1" x14ac:dyDescent="0.25"/>
    <row r="62584" hidden="1" x14ac:dyDescent="0.25"/>
    <row r="62585" hidden="1" x14ac:dyDescent="0.25"/>
    <row r="62586" hidden="1" x14ac:dyDescent="0.25"/>
    <row r="62587" hidden="1" x14ac:dyDescent="0.25"/>
    <row r="62588" hidden="1" x14ac:dyDescent="0.25"/>
    <row r="62589" hidden="1" x14ac:dyDescent="0.25"/>
    <row r="62590" hidden="1" x14ac:dyDescent="0.25"/>
    <row r="62591" hidden="1" x14ac:dyDescent="0.25"/>
    <row r="62592" hidden="1" x14ac:dyDescent="0.25"/>
    <row r="62593" hidden="1" x14ac:dyDescent="0.25"/>
    <row r="62594" hidden="1" x14ac:dyDescent="0.25"/>
    <row r="62595" hidden="1" x14ac:dyDescent="0.25"/>
    <row r="62596" hidden="1" x14ac:dyDescent="0.25"/>
    <row r="62597" hidden="1" x14ac:dyDescent="0.25"/>
    <row r="62598" hidden="1" x14ac:dyDescent="0.25"/>
    <row r="62599" hidden="1" x14ac:dyDescent="0.25"/>
    <row r="62600" hidden="1" x14ac:dyDescent="0.25"/>
    <row r="62601" hidden="1" x14ac:dyDescent="0.25"/>
    <row r="62602" hidden="1" x14ac:dyDescent="0.25"/>
    <row r="62603" hidden="1" x14ac:dyDescent="0.25"/>
    <row r="62604" hidden="1" x14ac:dyDescent="0.25"/>
    <row r="62605" hidden="1" x14ac:dyDescent="0.25"/>
    <row r="62606" hidden="1" x14ac:dyDescent="0.25"/>
    <row r="62607" hidden="1" x14ac:dyDescent="0.25"/>
    <row r="62608" hidden="1" x14ac:dyDescent="0.25"/>
    <row r="62609" hidden="1" x14ac:dyDescent="0.25"/>
    <row r="62610" hidden="1" x14ac:dyDescent="0.25"/>
    <row r="62611" hidden="1" x14ac:dyDescent="0.25"/>
    <row r="62612" hidden="1" x14ac:dyDescent="0.25"/>
    <row r="62613" hidden="1" x14ac:dyDescent="0.25"/>
    <row r="62614" hidden="1" x14ac:dyDescent="0.25"/>
    <row r="62615" hidden="1" x14ac:dyDescent="0.25"/>
    <row r="62616" hidden="1" x14ac:dyDescent="0.25"/>
    <row r="62617" hidden="1" x14ac:dyDescent="0.25"/>
    <row r="62618" hidden="1" x14ac:dyDescent="0.25"/>
    <row r="62619" hidden="1" x14ac:dyDescent="0.25"/>
    <row r="62620" hidden="1" x14ac:dyDescent="0.25"/>
    <row r="62621" hidden="1" x14ac:dyDescent="0.25"/>
    <row r="62622" hidden="1" x14ac:dyDescent="0.25"/>
    <row r="62623" hidden="1" x14ac:dyDescent="0.25"/>
    <row r="62624" hidden="1" x14ac:dyDescent="0.25"/>
    <row r="62625" hidden="1" x14ac:dyDescent="0.25"/>
    <row r="62626" hidden="1" x14ac:dyDescent="0.25"/>
    <row r="62627" hidden="1" x14ac:dyDescent="0.25"/>
    <row r="62628" hidden="1" x14ac:dyDescent="0.25"/>
    <row r="62629" hidden="1" x14ac:dyDescent="0.25"/>
    <row r="62630" hidden="1" x14ac:dyDescent="0.25"/>
    <row r="62631" hidden="1" x14ac:dyDescent="0.25"/>
    <row r="62632" hidden="1" x14ac:dyDescent="0.25"/>
    <row r="62633" hidden="1" x14ac:dyDescent="0.25"/>
    <row r="62634" hidden="1" x14ac:dyDescent="0.25"/>
    <row r="62635" hidden="1" x14ac:dyDescent="0.25"/>
    <row r="62636" hidden="1" x14ac:dyDescent="0.25"/>
    <row r="62637" hidden="1" x14ac:dyDescent="0.25"/>
    <row r="62638" hidden="1" x14ac:dyDescent="0.25"/>
    <row r="62639" hidden="1" x14ac:dyDescent="0.25"/>
    <row r="62640" hidden="1" x14ac:dyDescent="0.25"/>
    <row r="62641" hidden="1" x14ac:dyDescent="0.25"/>
    <row r="62642" hidden="1" x14ac:dyDescent="0.25"/>
    <row r="62643" hidden="1" x14ac:dyDescent="0.25"/>
    <row r="62644" hidden="1" x14ac:dyDescent="0.25"/>
    <row r="62645" hidden="1" x14ac:dyDescent="0.25"/>
    <row r="62646" hidden="1" x14ac:dyDescent="0.25"/>
    <row r="62647" hidden="1" x14ac:dyDescent="0.25"/>
    <row r="62648" hidden="1" x14ac:dyDescent="0.25"/>
    <row r="62649" hidden="1" x14ac:dyDescent="0.25"/>
    <row r="62650" hidden="1" x14ac:dyDescent="0.25"/>
    <row r="62651" hidden="1" x14ac:dyDescent="0.25"/>
    <row r="62652" hidden="1" x14ac:dyDescent="0.25"/>
    <row r="62653" hidden="1" x14ac:dyDescent="0.25"/>
    <row r="62654" hidden="1" x14ac:dyDescent="0.25"/>
    <row r="62655" hidden="1" x14ac:dyDescent="0.25"/>
    <row r="62656" hidden="1" x14ac:dyDescent="0.25"/>
    <row r="62657" hidden="1" x14ac:dyDescent="0.25"/>
    <row r="62658" hidden="1" x14ac:dyDescent="0.25"/>
    <row r="62659" hidden="1" x14ac:dyDescent="0.25"/>
    <row r="62660" hidden="1" x14ac:dyDescent="0.25"/>
    <row r="62661" hidden="1" x14ac:dyDescent="0.25"/>
    <row r="62662" hidden="1" x14ac:dyDescent="0.25"/>
    <row r="62663" hidden="1" x14ac:dyDescent="0.25"/>
    <row r="62664" hidden="1" x14ac:dyDescent="0.25"/>
    <row r="62665" hidden="1" x14ac:dyDescent="0.25"/>
    <row r="62666" hidden="1" x14ac:dyDescent="0.25"/>
    <row r="62667" hidden="1" x14ac:dyDescent="0.25"/>
    <row r="62668" hidden="1" x14ac:dyDescent="0.25"/>
    <row r="62669" hidden="1" x14ac:dyDescent="0.25"/>
    <row r="62670" hidden="1" x14ac:dyDescent="0.25"/>
    <row r="62671" hidden="1" x14ac:dyDescent="0.25"/>
    <row r="62672" hidden="1" x14ac:dyDescent="0.25"/>
    <row r="62673" hidden="1" x14ac:dyDescent="0.25"/>
    <row r="62674" hidden="1" x14ac:dyDescent="0.25"/>
    <row r="62675" hidden="1" x14ac:dyDescent="0.25"/>
    <row r="62676" hidden="1" x14ac:dyDescent="0.25"/>
    <row r="62677" hidden="1" x14ac:dyDescent="0.25"/>
    <row r="62678" hidden="1" x14ac:dyDescent="0.25"/>
    <row r="62679" hidden="1" x14ac:dyDescent="0.25"/>
    <row r="62680" hidden="1" x14ac:dyDescent="0.25"/>
    <row r="62681" hidden="1" x14ac:dyDescent="0.25"/>
    <row r="62682" hidden="1" x14ac:dyDescent="0.25"/>
    <row r="62683" hidden="1" x14ac:dyDescent="0.25"/>
    <row r="62684" hidden="1" x14ac:dyDescent="0.25"/>
    <row r="62685" hidden="1" x14ac:dyDescent="0.25"/>
    <row r="62686" hidden="1" x14ac:dyDescent="0.25"/>
    <row r="62687" hidden="1" x14ac:dyDescent="0.25"/>
    <row r="62688" hidden="1" x14ac:dyDescent="0.25"/>
    <row r="62689" hidden="1" x14ac:dyDescent="0.25"/>
    <row r="62690" hidden="1" x14ac:dyDescent="0.25"/>
    <row r="62691" hidden="1" x14ac:dyDescent="0.25"/>
    <row r="62692" hidden="1" x14ac:dyDescent="0.25"/>
    <row r="62693" hidden="1" x14ac:dyDescent="0.25"/>
    <row r="62694" hidden="1" x14ac:dyDescent="0.25"/>
    <row r="62695" hidden="1" x14ac:dyDescent="0.25"/>
    <row r="62696" hidden="1" x14ac:dyDescent="0.25"/>
    <row r="62697" hidden="1" x14ac:dyDescent="0.25"/>
    <row r="62698" hidden="1" x14ac:dyDescent="0.25"/>
    <row r="62699" hidden="1" x14ac:dyDescent="0.25"/>
    <row r="62700" hidden="1" x14ac:dyDescent="0.25"/>
    <row r="62701" hidden="1" x14ac:dyDescent="0.25"/>
    <row r="62702" hidden="1" x14ac:dyDescent="0.25"/>
    <row r="62703" hidden="1" x14ac:dyDescent="0.25"/>
    <row r="62704" hidden="1" x14ac:dyDescent="0.25"/>
    <row r="62705" hidden="1" x14ac:dyDescent="0.25"/>
    <row r="62706" hidden="1" x14ac:dyDescent="0.25"/>
    <row r="62707" hidden="1" x14ac:dyDescent="0.25"/>
    <row r="62708" hidden="1" x14ac:dyDescent="0.25"/>
    <row r="62709" hidden="1" x14ac:dyDescent="0.25"/>
    <row r="62710" hidden="1" x14ac:dyDescent="0.25"/>
    <row r="62711" hidden="1" x14ac:dyDescent="0.25"/>
    <row r="62712" hidden="1" x14ac:dyDescent="0.25"/>
    <row r="62713" hidden="1" x14ac:dyDescent="0.25"/>
    <row r="62714" hidden="1" x14ac:dyDescent="0.25"/>
    <row r="62715" hidden="1" x14ac:dyDescent="0.25"/>
    <row r="62716" hidden="1" x14ac:dyDescent="0.25"/>
    <row r="62717" hidden="1" x14ac:dyDescent="0.25"/>
    <row r="62718" hidden="1" x14ac:dyDescent="0.25"/>
    <row r="62719" hidden="1" x14ac:dyDescent="0.25"/>
    <row r="62720" hidden="1" x14ac:dyDescent="0.25"/>
    <row r="62721" hidden="1" x14ac:dyDescent="0.25"/>
    <row r="62722" hidden="1" x14ac:dyDescent="0.25"/>
    <row r="62723" hidden="1" x14ac:dyDescent="0.25"/>
    <row r="62724" hidden="1" x14ac:dyDescent="0.25"/>
    <row r="62725" hidden="1" x14ac:dyDescent="0.25"/>
    <row r="62726" hidden="1" x14ac:dyDescent="0.25"/>
    <row r="62727" hidden="1" x14ac:dyDescent="0.25"/>
    <row r="62728" hidden="1" x14ac:dyDescent="0.25"/>
    <row r="62729" hidden="1" x14ac:dyDescent="0.25"/>
    <row r="62730" hidden="1" x14ac:dyDescent="0.25"/>
    <row r="62731" hidden="1" x14ac:dyDescent="0.25"/>
    <row r="62732" hidden="1" x14ac:dyDescent="0.25"/>
    <row r="62733" hidden="1" x14ac:dyDescent="0.25"/>
    <row r="62734" hidden="1" x14ac:dyDescent="0.25"/>
    <row r="62735" hidden="1" x14ac:dyDescent="0.25"/>
    <row r="62736" hidden="1" x14ac:dyDescent="0.25"/>
    <row r="62737" hidden="1" x14ac:dyDescent="0.25"/>
    <row r="62738" hidden="1" x14ac:dyDescent="0.25"/>
    <row r="62739" hidden="1" x14ac:dyDescent="0.25"/>
    <row r="62740" hidden="1" x14ac:dyDescent="0.25"/>
    <row r="62741" hidden="1" x14ac:dyDescent="0.25"/>
    <row r="62742" hidden="1" x14ac:dyDescent="0.25"/>
    <row r="62743" hidden="1" x14ac:dyDescent="0.25"/>
    <row r="62744" hidden="1" x14ac:dyDescent="0.25"/>
    <row r="62745" hidden="1" x14ac:dyDescent="0.25"/>
    <row r="62746" hidden="1" x14ac:dyDescent="0.25"/>
    <row r="62747" hidden="1" x14ac:dyDescent="0.25"/>
    <row r="62748" hidden="1" x14ac:dyDescent="0.25"/>
    <row r="62749" hidden="1" x14ac:dyDescent="0.25"/>
    <row r="62750" hidden="1" x14ac:dyDescent="0.25"/>
    <row r="62751" hidden="1" x14ac:dyDescent="0.25"/>
    <row r="62752" hidden="1" x14ac:dyDescent="0.25"/>
    <row r="62753" hidden="1" x14ac:dyDescent="0.25"/>
    <row r="62754" hidden="1" x14ac:dyDescent="0.25"/>
    <row r="62755" hidden="1" x14ac:dyDescent="0.25"/>
    <row r="62756" hidden="1" x14ac:dyDescent="0.25"/>
    <row r="62757" hidden="1" x14ac:dyDescent="0.25"/>
    <row r="62758" hidden="1" x14ac:dyDescent="0.25"/>
    <row r="62759" hidden="1" x14ac:dyDescent="0.25"/>
    <row r="62760" hidden="1" x14ac:dyDescent="0.25"/>
    <row r="62761" hidden="1" x14ac:dyDescent="0.25"/>
    <row r="62762" hidden="1" x14ac:dyDescent="0.25"/>
    <row r="62763" hidden="1" x14ac:dyDescent="0.25"/>
    <row r="62764" hidden="1" x14ac:dyDescent="0.25"/>
    <row r="62765" hidden="1" x14ac:dyDescent="0.25"/>
    <row r="62766" hidden="1" x14ac:dyDescent="0.25"/>
    <row r="62767" hidden="1" x14ac:dyDescent="0.25"/>
    <row r="62768" hidden="1" x14ac:dyDescent="0.25"/>
    <row r="62769" hidden="1" x14ac:dyDescent="0.25"/>
    <row r="62770" hidden="1" x14ac:dyDescent="0.25"/>
    <row r="62771" hidden="1" x14ac:dyDescent="0.25"/>
    <row r="62772" hidden="1" x14ac:dyDescent="0.25"/>
    <row r="62773" hidden="1" x14ac:dyDescent="0.25"/>
    <row r="62774" hidden="1" x14ac:dyDescent="0.25"/>
    <row r="62775" hidden="1" x14ac:dyDescent="0.25"/>
    <row r="62776" hidden="1" x14ac:dyDescent="0.25"/>
    <row r="62777" hidden="1" x14ac:dyDescent="0.25"/>
    <row r="62778" hidden="1" x14ac:dyDescent="0.25"/>
    <row r="62779" hidden="1" x14ac:dyDescent="0.25"/>
    <row r="62780" hidden="1" x14ac:dyDescent="0.25"/>
    <row r="62781" hidden="1" x14ac:dyDescent="0.25"/>
    <row r="62782" hidden="1" x14ac:dyDescent="0.25"/>
    <row r="62783" hidden="1" x14ac:dyDescent="0.25"/>
    <row r="62784" hidden="1" x14ac:dyDescent="0.25"/>
    <row r="62785" hidden="1" x14ac:dyDescent="0.25"/>
    <row r="62786" hidden="1" x14ac:dyDescent="0.25"/>
    <row r="62787" hidden="1" x14ac:dyDescent="0.25"/>
    <row r="62788" hidden="1" x14ac:dyDescent="0.25"/>
    <row r="62789" hidden="1" x14ac:dyDescent="0.25"/>
    <row r="62790" hidden="1" x14ac:dyDescent="0.25"/>
    <row r="62791" hidden="1" x14ac:dyDescent="0.25"/>
    <row r="62792" hidden="1" x14ac:dyDescent="0.25"/>
    <row r="62793" hidden="1" x14ac:dyDescent="0.25"/>
    <row r="62794" hidden="1" x14ac:dyDescent="0.25"/>
    <row r="62795" hidden="1" x14ac:dyDescent="0.25"/>
    <row r="62796" hidden="1" x14ac:dyDescent="0.25"/>
    <row r="62797" hidden="1" x14ac:dyDescent="0.25"/>
    <row r="62798" hidden="1" x14ac:dyDescent="0.25"/>
    <row r="62799" hidden="1" x14ac:dyDescent="0.25"/>
    <row r="62800" hidden="1" x14ac:dyDescent="0.25"/>
    <row r="62801" hidden="1" x14ac:dyDescent="0.25"/>
    <row r="62802" hidden="1" x14ac:dyDescent="0.25"/>
    <row r="62803" hidden="1" x14ac:dyDescent="0.25"/>
    <row r="62804" hidden="1" x14ac:dyDescent="0.25"/>
    <row r="62805" hidden="1" x14ac:dyDescent="0.25"/>
    <row r="62806" hidden="1" x14ac:dyDescent="0.25"/>
    <row r="62807" hidden="1" x14ac:dyDescent="0.25"/>
    <row r="62808" hidden="1" x14ac:dyDescent="0.25"/>
    <row r="62809" hidden="1" x14ac:dyDescent="0.25"/>
    <row r="62810" hidden="1" x14ac:dyDescent="0.25"/>
    <row r="62811" hidden="1" x14ac:dyDescent="0.25"/>
    <row r="62812" hidden="1" x14ac:dyDescent="0.25"/>
    <row r="62813" hidden="1" x14ac:dyDescent="0.25"/>
    <row r="62814" hidden="1" x14ac:dyDescent="0.25"/>
    <row r="62815" hidden="1" x14ac:dyDescent="0.25"/>
    <row r="62816" hidden="1" x14ac:dyDescent="0.25"/>
    <row r="62817" hidden="1" x14ac:dyDescent="0.25"/>
    <row r="62818" hidden="1" x14ac:dyDescent="0.25"/>
    <row r="62819" hidden="1" x14ac:dyDescent="0.25"/>
    <row r="62820" hidden="1" x14ac:dyDescent="0.25"/>
    <row r="62821" hidden="1" x14ac:dyDescent="0.25"/>
    <row r="62822" hidden="1" x14ac:dyDescent="0.25"/>
    <row r="62823" hidden="1" x14ac:dyDescent="0.25"/>
    <row r="62824" hidden="1" x14ac:dyDescent="0.25"/>
    <row r="62825" hidden="1" x14ac:dyDescent="0.25"/>
    <row r="62826" hidden="1" x14ac:dyDescent="0.25"/>
    <row r="62827" hidden="1" x14ac:dyDescent="0.25"/>
    <row r="62828" hidden="1" x14ac:dyDescent="0.25"/>
    <row r="62829" hidden="1" x14ac:dyDescent="0.25"/>
    <row r="62830" hidden="1" x14ac:dyDescent="0.25"/>
    <row r="62831" hidden="1" x14ac:dyDescent="0.25"/>
    <row r="62832" hidden="1" x14ac:dyDescent="0.25"/>
    <row r="62833" hidden="1" x14ac:dyDescent="0.25"/>
    <row r="62834" hidden="1" x14ac:dyDescent="0.25"/>
    <row r="62835" hidden="1" x14ac:dyDescent="0.25"/>
    <row r="62836" hidden="1" x14ac:dyDescent="0.25"/>
    <row r="62837" hidden="1" x14ac:dyDescent="0.25"/>
    <row r="62838" hidden="1" x14ac:dyDescent="0.25"/>
    <row r="62839" hidden="1" x14ac:dyDescent="0.25"/>
    <row r="62840" hidden="1" x14ac:dyDescent="0.25"/>
    <row r="62841" hidden="1" x14ac:dyDescent="0.25"/>
    <row r="62842" hidden="1" x14ac:dyDescent="0.25"/>
    <row r="62843" hidden="1" x14ac:dyDescent="0.25"/>
    <row r="62844" hidden="1" x14ac:dyDescent="0.25"/>
    <row r="62845" hidden="1" x14ac:dyDescent="0.25"/>
    <row r="62846" hidden="1" x14ac:dyDescent="0.25"/>
    <row r="62847" hidden="1" x14ac:dyDescent="0.25"/>
    <row r="62848" hidden="1" x14ac:dyDescent="0.25"/>
    <row r="62849" hidden="1" x14ac:dyDescent="0.25"/>
    <row r="62850" hidden="1" x14ac:dyDescent="0.25"/>
    <row r="62851" hidden="1" x14ac:dyDescent="0.25"/>
    <row r="62852" hidden="1" x14ac:dyDescent="0.25"/>
    <row r="62853" hidden="1" x14ac:dyDescent="0.25"/>
    <row r="62854" hidden="1" x14ac:dyDescent="0.25"/>
    <row r="62855" hidden="1" x14ac:dyDescent="0.25"/>
    <row r="62856" hidden="1" x14ac:dyDescent="0.25"/>
    <row r="62857" hidden="1" x14ac:dyDescent="0.25"/>
    <row r="62858" hidden="1" x14ac:dyDescent="0.25"/>
    <row r="62859" hidden="1" x14ac:dyDescent="0.25"/>
    <row r="62860" hidden="1" x14ac:dyDescent="0.25"/>
    <row r="62861" hidden="1" x14ac:dyDescent="0.25"/>
    <row r="62862" hidden="1" x14ac:dyDescent="0.25"/>
    <row r="62863" hidden="1" x14ac:dyDescent="0.25"/>
    <row r="62864" hidden="1" x14ac:dyDescent="0.25"/>
    <row r="62865" hidden="1" x14ac:dyDescent="0.25"/>
    <row r="62866" hidden="1" x14ac:dyDescent="0.25"/>
    <row r="62867" hidden="1" x14ac:dyDescent="0.25"/>
    <row r="62868" hidden="1" x14ac:dyDescent="0.25"/>
    <row r="62869" hidden="1" x14ac:dyDescent="0.25"/>
    <row r="62870" hidden="1" x14ac:dyDescent="0.25"/>
    <row r="62871" hidden="1" x14ac:dyDescent="0.25"/>
    <row r="62872" hidden="1" x14ac:dyDescent="0.25"/>
    <row r="62873" hidden="1" x14ac:dyDescent="0.25"/>
    <row r="62874" hidden="1" x14ac:dyDescent="0.25"/>
    <row r="62875" hidden="1" x14ac:dyDescent="0.25"/>
    <row r="62876" hidden="1" x14ac:dyDescent="0.25"/>
    <row r="62877" hidden="1" x14ac:dyDescent="0.25"/>
    <row r="62878" hidden="1" x14ac:dyDescent="0.25"/>
    <row r="62879" hidden="1" x14ac:dyDescent="0.25"/>
    <row r="62880" hidden="1" x14ac:dyDescent="0.25"/>
    <row r="62881" hidden="1" x14ac:dyDescent="0.25"/>
    <row r="62882" hidden="1" x14ac:dyDescent="0.25"/>
    <row r="62883" hidden="1" x14ac:dyDescent="0.25"/>
    <row r="62884" hidden="1" x14ac:dyDescent="0.25"/>
    <row r="62885" hidden="1" x14ac:dyDescent="0.25"/>
    <row r="62886" hidden="1" x14ac:dyDescent="0.25"/>
    <row r="62887" hidden="1" x14ac:dyDescent="0.25"/>
    <row r="62888" hidden="1" x14ac:dyDescent="0.25"/>
    <row r="62889" hidden="1" x14ac:dyDescent="0.25"/>
    <row r="62890" hidden="1" x14ac:dyDescent="0.25"/>
    <row r="62891" hidden="1" x14ac:dyDescent="0.25"/>
    <row r="62892" hidden="1" x14ac:dyDescent="0.25"/>
    <row r="62893" hidden="1" x14ac:dyDescent="0.25"/>
    <row r="62894" hidden="1" x14ac:dyDescent="0.25"/>
    <row r="62895" hidden="1" x14ac:dyDescent="0.25"/>
    <row r="62896" hidden="1" x14ac:dyDescent="0.25"/>
    <row r="62897" hidden="1" x14ac:dyDescent="0.25"/>
    <row r="62898" hidden="1" x14ac:dyDescent="0.25"/>
    <row r="62899" hidden="1" x14ac:dyDescent="0.25"/>
    <row r="62900" hidden="1" x14ac:dyDescent="0.25"/>
    <row r="62901" hidden="1" x14ac:dyDescent="0.25"/>
    <row r="62902" hidden="1" x14ac:dyDescent="0.25"/>
    <row r="62903" hidden="1" x14ac:dyDescent="0.25"/>
    <row r="62904" hidden="1" x14ac:dyDescent="0.25"/>
    <row r="62905" hidden="1" x14ac:dyDescent="0.25"/>
    <row r="62906" hidden="1" x14ac:dyDescent="0.25"/>
    <row r="62907" hidden="1" x14ac:dyDescent="0.25"/>
    <row r="62908" hidden="1" x14ac:dyDescent="0.25"/>
    <row r="62909" hidden="1" x14ac:dyDescent="0.25"/>
    <row r="62910" hidden="1" x14ac:dyDescent="0.25"/>
    <row r="62911" hidden="1" x14ac:dyDescent="0.25"/>
    <row r="62912" hidden="1" x14ac:dyDescent="0.25"/>
    <row r="62913" hidden="1" x14ac:dyDescent="0.25"/>
    <row r="62914" hidden="1" x14ac:dyDescent="0.25"/>
    <row r="62915" hidden="1" x14ac:dyDescent="0.25"/>
    <row r="62916" hidden="1" x14ac:dyDescent="0.25"/>
    <row r="62917" hidden="1" x14ac:dyDescent="0.25"/>
    <row r="62918" hidden="1" x14ac:dyDescent="0.25"/>
    <row r="62919" hidden="1" x14ac:dyDescent="0.25"/>
    <row r="62920" hidden="1" x14ac:dyDescent="0.25"/>
    <row r="62921" hidden="1" x14ac:dyDescent="0.25"/>
    <row r="62922" hidden="1" x14ac:dyDescent="0.25"/>
    <row r="62923" hidden="1" x14ac:dyDescent="0.25"/>
    <row r="62924" hidden="1" x14ac:dyDescent="0.25"/>
    <row r="62925" hidden="1" x14ac:dyDescent="0.25"/>
    <row r="62926" hidden="1" x14ac:dyDescent="0.25"/>
    <row r="62927" hidden="1" x14ac:dyDescent="0.25"/>
    <row r="62928" hidden="1" x14ac:dyDescent="0.25"/>
    <row r="62929" hidden="1" x14ac:dyDescent="0.25"/>
    <row r="62930" hidden="1" x14ac:dyDescent="0.25"/>
    <row r="62931" hidden="1" x14ac:dyDescent="0.25"/>
    <row r="62932" hidden="1" x14ac:dyDescent="0.25"/>
    <row r="62933" hidden="1" x14ac:dyDescent="0.25"/>
    <row r="62934" hidden="1" x14ac:dyDescent="0.25"/>
    <row r="62935" hidden="1" x14ac:dyDescent="0.25"/>
    <row r="62936" hidden="1" x14ac:dyDescent="0.25"/>
    <row r="62937" hidden="1" x14ac:dyDescent="0.25"/>
    <row r="62938" hidden="1" x14ac:dyDescent="0.25"/>
    <row r="62939" hidden="1" x14ac:dyDescent="0.25"/>
    <row r="62940" hidden="1" x14ac:dyDescent="0.25"/>
    <row r="62941" hidden="1" x14ac:dyDescent="0.25"/>
    <row r="62942" hidden="1" x14ac:dyDescent="0.25"/>
    <row r="62943" hidden="1" x14ac:dyDescent="0.25"/>
    <row r="62944" hidden="1" x14ac:dyDescent="0.25"/>
    <row r="62945" hidden="1" x14ac:dyDescent="0.25"/>
    <row r="62946" hidden="1" x14ac:dyDescent="0.25"/>
    <row r="62947" hidden="1" x14ac:dyDescent="0.25"/>
    <row r="62948" hidden="1" x14ac:dyDescent="0.25"/>
    <row r="62949" hidden="1" x14ac:dyDescent="0.25"/>
    <row r="62950" hidden="1" x14ac:dyDescent="0.25"/>
    <row r="62951" hidden="1" x14ac:dyDescent="0.25"/>
    <row r="62952" hidden="1" x14ac:dyDescent="0.25"/>
    <row r="62953" hidden="1" x14ac:dyDescent="0.25"/>
    <row r="62954" hidden="1" x14ac:dyDescent="0.25"/>
    <row r="62955" hidden="1" x14ac:dyDescent="0.25"/>
    <row r="62956" hidden="1" x14ac:dyDescent="0.25"/>
    <row r="62957" hidden="1" x14ac:dyDescent="0.25"/>
    <row r="62958" hidden="1" x14ac:dyDescent="0.25"/>
    <row r="62959" hidden="1" x14ac:dyDescent="0.25"/>
    <row r="62960" hidden="1" x14ac:dyDescent="0.25"/>
    <row r="62961" hidden="1" x14ac:dyDescent="0.25"/>
    <row r="62962" hidden="1" x14ac:dyDescent="0.25"/>
    <row r="62963" hidden="1" x14ac:dyDescent="0.25"/>
    <row r="62964" hidden="1" x14ac:dyDescent="0.25"/>
    <row r="62965" hidden="1" x14ac:dyDescent="0.25"/>
    <row r="62966" hidden="1" x14ac:dyDescent="0.25"/>
    <row r="62967" hidden="1" x14ac:dyDescent="0.25"/>
    <row r="62968" hidden="1" x14ac:dyDescent="0.25"/>
    <row r="62969" hidden="1" x14ac:dyDescent="0.25"/>
    <row r="62970" hidden="1" x14ac:dyDescent="0.25"/>
    <row r="62971" hidden="1" x14ac:dyDescent="0.25"/>
    <row r="62972" hidden="1" x14ac:dyDescent="0.25"/>
    <row r="62973" hidden="1" x14ac:dyDescent="0.25"/>
    <row r="62974" hidden="1" x14ac:dyDescent="0.25"/>
    <row r="62975" hidden="1" x14ac:dyDescent="0.25"/>
    <row r="62976" hidden="1" x14ac:dyDescent="0.25"/>
    <row r="62977" hidden="1" x14ac:dyDescent="0.25"/>
    <row r="62978" hidden="1" x14ac:dyDescent="0.25"/>
    <row r="62979" hidden="1" x14ac:dyDescent="0.25"/>
    <row r="62980" hidden="1" x14ac:dyDescent="0.25"/>
    <row r="62981" hidden="1" x14ac:dyDescent="0.25"/>
    <row r="62982" hidden="1" x14ac:dyDescent="0.25"/>
    <row r="62983" hidden="1" x14ac:dyDescent="0.25"/>
    <row r="62984" hidden="1" x14ac:dyDescent="0.25"/>
    <row r="62985" hidden="1" x14ac:dyDescent="0.25"/>
    <row r="62986" hidden="1" x14ac:dyDescent="0.25"/>
    <row r="62987" hidden="1" x14ac:dyDescent="0.25"/>
    <row r="62988" hidden="1" x14ac:dyDescent="0.25"/>
    <row r="62989" hidden="1" x14ac:dyDescent="0.25"/>
    <row r="62990" hidden="1" x14ac:dyDescent="0.25"/>
    <row r="62991" hidden="1" x14ac:dyDescent="0.25"/>
    <row r="62992" hidden="1" x14ac:dyDescent="0.25"/>
    <row r="62993" hidden="1" x14ac:dyDescent="0.25"/>
    <row r="62994" hidden="1" x14ac:dyDescent="0.25"/>
    <row r="62995" hidden="1" x14ac:dyDescent="0.25"/>
    <row r="62996" hidden="1" x14ac:dyDescent="0.25"/>
    <row r="62997" hidden="1" x14ac:dyDescent="0.25"/>
    <row r="62998" hidden="1" x14ac:dyDescent="0.25"/>
    <row r="62999" hidden="1" x14ac:dyDescent="0.25"/>
    <row r="63000" hidden="1" x14ac:dyDescent="0.25"/>
    <row r="63001" hidden="1" x14ac:dyDescent="0.25"/>
    <row r="63002" hidden="1" x14ac:dyDescent="0.25"/>
    <row r="63003" hidden="1" x14ac:dyDescent="0.25"/>
    <row r="63004" hidden="1" x14ac:dyDescent="0.25"/>
    <row r="63005" hidden="1" x14ac:dyDescent="0.25"/>
    <row r="63006" hidden="1" x14ac:dyDescent="0.25"/>
    <row r="63007" hidden="1" x14ac:dyDescent="0.25"/>
    <row r="63008" hidden="1" x14ac:dyDescent="0.25"/>
    <row r="63009" hidden="1" x14ac:dyDescent="0.25"/>
    <row r="63010" hidden="1" x14ac:dyDescent="0.25"/>
    <row r="63011" hidden="1" x14ac:dyDescent="0.25"/>
    <row r="63012" hidden="1" x14ac:dyDescent="0.25"/>
    <row r="63013" hidden="1" x14ac:dyDescent="0.25"/>
    <row r="63014" hidden="1" x14ac:dyDescent="0.25"/>
    <row r="63015" hidden="1" x14ac:dyDescent="0.25"/>
    <row r="63016" hidden="1" x14ac:dyDescent="0.25"/>
    <row r="63017" hidden="1" x14ac:dyDescent="0.25"/>
    <row r="63018" hidden="1" x14ac:dyDescent="0.25"/>
    <row r="63019" hidden="1" x14ac:dyDescent="0.25"/>
    <row r="63020" hidden="1" x14ac:dyDescent="0.25"/>
    <row r="63021" hidden="1" x14ac:dyDescent="0.25"/>
    <row r="63022" hidden="1" x14ac:dyDescent="0.25"/>
    <row r="63023" hidden="1" x14ac:dyDescent="0.25"/>
    <row r="63024" hidden="1" x14ac:dyDescent="0.25"/>
    <row r="63025" hidden="1" x14ac:dyDescent="0.25"/>
    <row r="63026" hidden="1" x14ac:dyDescent="0.25"/>
    <row r="63027" hidden="1" x14ac:dyDescent="0.25"/>
    <row r="63028" hidden="1" x14ac:dyDescent="0.25"/>
    <row r="63029" hidden="1" x14ac:dyDescent="0.25"/>
    <row r="63030" hidden="1" x14ac:dyDescent="0.25"/>
    <row r="63031" hidden="1" x14ac:dyDescent="0.25"/>
    <row r="63032" hidden="1" x14ac:dyDescent="0.25"/>
    <row r="63033" hidden="1" x14ac:dyDescent="0.25"/>
    <row r="63034" hidden="1" x14ac:dyDescent="0.25"/>
    <row r="63035" hidden="1" x14ac:dyDescent="0.25"/>
    <row r="63036" hidden="1" x14ac:dyDescent="0.25"/>
    <row r="63037" hidden="1" x14ac:dyDescent="0.25"/>
    <row r="63038" hidden="1" x14ac:dyDescent="0.25"/>
    <row r="63039" hidden="1" x14ac:dyDescent="0.25"/>
    <row r="63040" hidden="1" x14ac:dyDescent="0.25"/>
    <row r="63041" hidden="1" x14ac:dyDescent="0.25"/>
    <row r="63042" hidden="1" x14ac:dyDescent="0.25"/>
    <row r="63043" hidden="1" x14ac:dyDescent="0.25"/>
    <row r="63044" hidden="1" x14ac:dyDescent="0.25"/>
    <row r="63045" hidden="1" x14ac:dyDescent="0.25"/>
    <row r="63046" hidden="1" x14ac:dyDescent="0.25"/>
    <row r="63047" hidden="1" x14ac:dyDescent="0.25"/>
    <row r="63048" hidden="1" x14ac:dyDescent="0.25"/>
    <row r="63049" hidden="1" x14ac:dyDescent="0.25"/>
    <row r="63050" hidden="1" x14ac:dyDescent="0.25"/>
    <row r="63051" hidden="1" x14ac:dyDescent="0.25"/>
    <row r="63052" hidden="1" x14ac:dyDescent="0.25"/>
    <row r="63053" hidden="1" x14ac:dyDescent="0.25"/>
    <row r="63054" hidden="1" x14ac:dyDescent="0.25"/>
    <row r="63055" hidden="1" x14ac:dyDescent="0.25"/>
    <row r="63056" hidden="1" x14ac:dyDescent="0.25"/>
    <row r="63057" hidden="1" x14ac:dyDescent="0.25"/>
    <row r="63058" hidden="1" x14ac:dyDescent="0.25"/>
    <row r="63059" hidden="1" x14ac:dyDescent="0.25"/>
    <row r="63060" hidden="1" x14ac:dyDescent="0.25"/>
    <row r="63061" hidden="1" x14ac:dyDescent="0.25"/>
    <row r="63062" hidden="1" x14ac:dyDescent="0.25"/>
    <row r="63063" hidden="1" x14ac:dyDescent="0.25"/>
    <row r="63064" hidden="1" x14ac:dyDescent="0.25"/>
    <row r="63065" hidden="1" x14ac:dyDescent="0.25"/>
    <row r="63066" hidden="1" x14ac:dyDescent="0.25"/>
    <row r="63067" hidden="1" x14ac:dyDescent="0.25"/>
    <row r="63068" hidden="1" x14ac:dyDescent="0.25"/>
    <row r="63069" hidden="1" x14ac:dyDescent="0.25"/>
    <row r="63070" hidden="1" x14ac:dyDescent="0.25"/>
    <row r="63071" hidden="1" x14ac:dyDescent="0.25"/>
    <row r="63072" hidden="1" x14ac:dyDescent="0.25"/>
    <row r="63073" hidden="1" x14ac:dyDescent="0.25"/>
    <row r="63074" hidden="1" x14ac:dyDescent="0.25"/>
    <row r="63075" hidden="1" x14ac:dyDescent="0.25"/>
    <row r="63076" hidden="1" x14ac:dyDescent="0.25"/>
    <row r="63077" hidden="1" x14ac:dyDescent="0.25"/>
    <row r="63078" hidden="1" x14ac:dyDescent="0.25"/>
    <row r="63079" hidden="1" x14ac:dyDescent="0.25"/>
    <row r="63080" hidden="1" x14ac:dyDescent="0.25"/>
    <row r="63081" hidden="1" x14ac:dyDescent="0.25"/>
    <row r="63082" hidden="1" x14ac:dyDescent="0.25"/>
    <row r="63083" hidden="1" x14ac:dyDescent="0.25"/>
    <row r="63084" hidden="1" x14ac:dyDescent="0.25"/>
    <row r="63085" hidden="1" x14ac:dyDescent="0.25"/>
    <row r="63086" hidden="1" x14ac:dyDescent="0.25"/>
    <row r="63087" hidden="1" x14ac:dyDescent="0.25"/>
    <row r="63088" hidden="1" x14ac:dyDescent="0.25"/>
    <row r="63089" hidden="1" x14ac:dyDescent="0.25"/>
    <row r="63090" hidden="1" x14ac:dyDescent="0.25"/>
    <row r="63091" hidden="1" x14ac:dyDescent="0.25"/>
    <row r="63092" hidden="1" x14ac:dyDescent="0.25"/>
    <row r="63093" hidden="1" x14ac:dyDescent="0.25"/>
    <row r="63094" hidden="1" x14ac:dyDescent="0.25"/>
    <row r="63095" hidden="1" x14ac:dyDescent="0.25"/>
    <row r="63096" hidden="1" x14ac:dyDescent="0.25"/>
    <row r="63097" hidden="1" x14ac:dyDescent="0.25"/>
    <row r="63098" hidden="1" x14ac:dyDescent="0.25"/>
    <row r="63099" hidden="1" x14ac:dyDescent="0.25"/>
    <row r="63100" hidden="1" x14ac:dyDescent="0.25"/>
    <row r="63101" hidden="1" x14ac:dyDescent="0.25"/>
    <row r="63102" hidden="1" x14ac:dyDescent="0.25"/>
    <row r="63103" hidden="1" x14ac:dyDescent="0.25"/>
    <row r="63104" hidden="1" x14ac:dyDescent="0.25"/>
    <row r="63105" hidden="1" x14ac:dyDescent="0.25"/>
    <row r="63106" hidden="1" x14ac:dyDescent="0.25"/>
    <row r="63107" hidden="1" x14ac:dyDescent="0.25"/>
    <row r="63108" hidden="1" x14ac:dyDescent="0.25"/>
    <row r="63109" hidden="1" x14ac:dyDescent="0.25"/>
    <row r="63110" hidden="1" x14ac:dyDescent="0.25"/>
    <row r="63111" hidden="1" x14ac:dyDescent="0.25"/>
    <row r="63112" hidden="1" x14ac:dyDescent="0.25"/>
    <row r="63113" hidden="1" x14ac:dyDescent="0.25"/>
    <row r="63114" hidden="1" x14ac:dyDescent="0.25"/>
    <row r="63115" hidden="1" x14ac:dyDescent="0.25"/>
    <row r="63116" hidden="1" x14ac:dyDescent="0.25"/>
    <row r="63117" hidden="1" x14ac:dyDescent="0.25"/>
    <row r="63118" hidden="1" x14ac:dyDescent="0.25"/>
    <row r="63119" hidden="1" x14ac:dyDescent="0.25"/>
    <row r="63120" hidden="1" x14ac:dyDescent="0.25"/>
    <row r="63121" hidden="1" x14ac:dyDescent="0.25"/>
    <row r="63122" hidden="1" x14ac:dyDescent="0.25"/>
    <row r="63123" hidden="1" x14ac:dyDescent="0.25"/>
    <row r="63124" hidden="1" x14ac:dyDescent="0.25"/>
    <row r="63125" hidden="1" x14ac:dyDescent="0.25"/>
    <row r="63126" hidden="1" x14ac:dyDescent="0.25"/>
    <row r="63127" hidden="1" x14ac:dyDescent="0.25"/>
    <row r="63128" hidden="1" x14ac:dyDescent="0.25"/>
    <row r="63129" hidden="1" x14ac:dyDescent="0.25"/>
    <row r="63130" hidden="1" x14ac:dyDescent="0.25"/>
    <row r="63131" hidden="1" x14ac:dyDescent="0.25"/>
    <row r="63132" hidden="1" x14ac:dyDescent="0.25"/>
    <row r="63133" hidden="1" x14ac:dyDescent="0.25"/>
    <row r="63134" hidden="1" x14ac:dyDescent="0.25"/>
    <row r="63135" hidden="1" x14ac:dyDescent="0.25"/>
    <row r="63136" hidden="1" x14ac:dyDescent="0.25"/>
    <row r="63137" hidden="1" x14ac:dyDescent="0.25"/>
    <row r="63138" hidden="1" x14ac:dyDescent="0.25"/>
    <row r="63139" hidden="1" x14ac:dyDescent="0.25"/>
    <row r="63140" hidden="1" x14ac:dyDescent="0.25"/>
    <row r="63141" hidden="1" x14ac:dyDescent="0.25"/>
    <row r="63142" hidden="1" x14ac:dyDescent="0.25"/>
    <row r="63143" hidden="1" x14ac:dyDescent="0.25"/>
    <row r="63144" hidden="1" x14ac:dyDescent="0.25"/>
    <row r="63145" hidden="1" x14ac:dyDescent="0.25"/>
    <row r="63146" hidden="1" x14ac:dyDescent="0.25"/>
    <row r="63147" hidden="1" x14ac:dyDescent="0.25"/>
    <row r="63148" hidden="1" x14ac:dyDescent="0.25"/>
    <row r="63149" hidden="1" x14ac:dyDescent="0.25"/>
    <row r="63150" hidden="1" x14ac:dyDescent="0.25"/>
    <row r="63151" hidden="1" x14ac:dyDescent="0.25"/>
    <row r="63152" hidden="1" x14ac:dyDescent="0.25"/>
    <row r="63153" hidden="1" x14ac:dyDescent="0.25"/>
    <row r="63154" hidden="1" x14ac:dyDescent="0.25"/>
    <row r="63155" hidden="1" x14ac:dyDescent="0.25"/>
    <row r="63156" hidden="1" x14ac:dyDescent="0.25"/>
    <row r="63157" hidden="1" x14ac:dyDescent="0.25"/>
    <row r="63158" hidden="1" x14ac:dyDescent="0.25"/>
    <row r="63159" hidden="1" x14ac:dyDescent="0.25"/>
    <row r="63160" hidden="1" x14ac:dyDescent="0.25"/>
    <row r="63161" hidden="1" x14ac:dyDescent="0.25"/>
    <row r="63162" hidden="1" x14ac:dyDescent="0.25"/>
    <row r="63163" hidden="1" x14ac:dyDescent="0.25"/>
    <row r="63164" hidden="1" x14ac:dyDescent="0.25"/>
    <row r="63165" hidden="1" x14ac:dyDescent="0.25"/>
    <row r="63166" hidden="1" x14ac:dyDescent="0.25"/>
    <row r="63167" hidden="1" x14ac:dyDescent="0.25"/>
    <row r="63168" hidden="1" x14ac:dyDescent="0.25"/>
    <row r="63169" hidden="1" x14ac:dyDescent="0.25"/>
    <row r="63170" hidden="1" x14ac:dyDescent="0.25"/>
    <row r="63171" hidden="1" x14ac:dyDescent="0.25"/>
    <row r="63172" hidden="1" x14ac:dyDescent="0.25"/>
    <row r="63173" hidden="1" x14ac:dyDescent="0.25"/>
    <row r="63174" hidden="1" x14ac:dyDescent="0.25"/>
    <row r="63175" hidden="1" x14ac:dyDescent="0.25"/>
    <row r="63176" hidden="1" x14ac:dyDescent="0.25"/>
    <row r="63177" hidden="1" x14ac:dyDescent="0.25"/>
    <row r="63178" hidden="1" x14ac:dyDescent="0.25"/>
    <row r="63179" hidden="1" x14ac:dyDescent="0.25"/>
    <row r="63180" hidden="1" x14ac:dyDescent="0.25"/>
    <row r="63181" hidden="1" x14ac:dyDescent="0.25"/>
    <row r="63182" hidden="1" x14ac:dyDescent="0.25"/>
    <row r="63183" hidden="1" x14ac:dyDescent="0.25"/>
    <row r="63184" hidden="1" x14ac:dyDescent="0.25"/>
    <row r="63185" hidden="1" x14ac:dyDescent="0.25"/>
    <row r="63186" hidden="1" x14ac:dyDescent="0.25"/>
    <row r="63187" hidden="1" x14ac:dyDescent="0.25"/>
    <row r="63188" hidden="1" x14ac:dyDescent="0.25"/>
    <row r="63189" hidden="1" x14ac:dyDescent="0.25"/>
    <row r="63190" hidden="1" x14ac:dyDescent="0.25"/>
    <row r="63191" hidden="1" x14ac:dyDescent="0.25"/>
    <row r="63192" hidden="1" x14ac:dyDescent="0.25"/>
    <row r="63193" hidden="1" x14ac:dyDescent="0.25"/>
    <row r="63194" hidden="1" x14ac:dyDescent="0.25"/>
    <row r="63195" hidden="1" x14ac:dyDescent="0.25"/>
    <row r="63196" hidden="1" x14ac:dyDescent="0.25"/>
    <row r="63197" hidden="1" x14ac:dyDescent="0.25"/>
    <row r="63198" hidden="1" x14ac:dyDescent="0.25"/>
    <row r="63199" hidden="1" x14ac:dyDescent="0.25"/>
    <row r="63200" hidden="1" x14ac:dyDescent="0.25"/>
    <row r="63201" hidden="1" x14ac:dyDescent="0.25"/>
    <row r="63202" hidden="1" x14ac:dyDescent="0.25"/>
    <row r="63203" hidden="1" x14ac:dyDescent="0.25"/>
    <row r="63204" hidden="1" x14ac:dyDescent="0.25"/>
    <row r="63205" hidden="1" x14ac:dyDescent="0.25"/>
    <row r="63206" hidden="1" x14ac:dyDescent="0.25"/>
    <row r="63207" hidden="1" x14ac:dyDescent="0.25"/>
    <row r="63208" hidden="1" x14ac:dyDescent="0.25"/>
    <row r="63209" hidden="1" x14ac:dyDescent="0.25"/>
    <row r="63210" hidden="1" x14ac:dyDescent="0.25"/>
    <row r="63211" hidden="1" x14ac:dyDescent="0.25"/>
    <row r="63212" hidden="1" x14ac:dyDescent="0.25"/>
    <row r="63213" hidden="1" x14ac:dyDescent="0.25"/>
    <row r="63214" hidden="1" x14ac:dyDescent="0.25"/>
    <row r="63215" hidden="1" x14ac:dyDescent="0.25"/>
    <row r="63216" hidden="1" x14ac:dyDescent="0.25"/>
    <row r="63217" hidden="1" x14ac:dyDescent="0.25"/>
    <row r="63218" hidden="1" x14ac:dyDescent="0.25"/>
    <row r="63219" hidden="1" x14ac:dyDescent="0.25"/>
    <row r="63220" hidden="1" x14ac:dyDescent="0.25"/>
    <row r="63221" hidden="1" x14ac:dyDescent="0.25"/>
    <row r="63222" hidden="1" x14ac:dyDescent="0.25"/>
    <row r="63223" hidden="1" x14ac:dyDescent="0.25"/>
    <row r="63224" hidden="1" x14ac:dyDescent="0.25"/>
    <row r="63225" hidden="1" x14ac:dyDescent="0.25"/>
    <row r="63226" hidden="1" x14ac:dyDescent="0.25"/>
    <row r="63227" hidden="1" x14ac:dyDescent="0.25"/>
    <row r="63228" hidden="1" x14ac:dyDescent="0.25"/>
    <row r="63229" hidden="1" x14ac:dyDescent="0.25"/>
    <row r="63230" hidden="1" x14ac:dyDescent="0.25"/>
    <row r="63231" hidden="1" x14ac:dyDescent="0.25"/>
    <row r="63232" hidden="1" x14ac:dyDescent="0.25"/>
    <row r="63233" hidden="1" x14ac:dyDescent="0.25"/>
    <row r="63234" hidden="1" x14ac:dyDescent="0.25"/>
    <row r="63235" hidden="1" x14ac:dyDescent="0.25"/>
    <row r="63236" hidden="1" x14ac:dyDescent="0.25"/>
    <row r="63237" hidden="1" x14ac:dyDescent="0.25"/>
    <row r="63238" hidden="1" x14ac:dyDescent="0.25"/>
    <row r="63239" hidden="1" x14ac:dyDescent="0.25"/>
    <row r="63240" hidden="1" x14ac:dyDescent="0.25"/>
    <row r="63241" hidden="1" x14ac:dyDescent="0.25"/>
    <row r="63242" hidden="1" x14ac:dyDescent="0.25"/>
    <row r="63243" hidden="1" x14ac:dyDescent="0.25"/>
    <row r="63244" hidden="1" x14ac:dyDescent="0.25"/>
    <row r="63245" hidden="1" x14ac:dyDescent="0.25"/>
    <row r="63246" hidden="1" x14ac:dyDescent="0.25"/>
    <row r="63247" hidden="1" x14ac:dyDescent="0.25"/>
    <row r="63248" hidden="1" x14ac:dyDescent="0.25"/>
    <row r="63249" hidden="1" x14ac:dyDescent="0.25"/>
    <row r="63250" hidden="1" x14ac:dyDescent="0.25"/>
    <row r="63251" hidden="1" x14ac:dyDescent="0.25"/>
    <row r="63252" hidden="1" x14ac:dyDescent="0.25"/>
    <row r="63253" hidden="1" x14ac:dyDescent="0.25"/>
    <row r="63254" hidden="1" x14ac:dyDescent="0.25"/>
    <row r="63255" hidden="1" x14ac:dyDescent="0.25"/>
    <row r="63256" hidden="1" x14ac:dyDescent="0.25"/>
    <row r="63257" hidden="1" x14ac:dyDescent="0.25"/>
    <row r="63258" hidden="1" x14ac:dyDescent="0.25"/>
    <row r="63259" hidden="1" x14ac:dyDescent="0.25"/>
    <row r="63260" hidden="1" x14ac:dyDescent="0.25"/>
    <row r="63261" hidden="1" x14ac:dyDescent="0.25"/>
    <row r="63262" hidden="1" x14ac:dyDescent="0.25"/>
    <row r="63263" hidden="1" x14ac:dyDescent="0.25"/>
    <row r="63264" hidden="1" x14ac:dyDescent="0.25"/>
    <row r="63265" hidden="1" x14ac:dyDescent="0.25"/>
    <row r="63266" hidden="1" x14ac:dyDescent="0.25"/>
    <row r="63267" hidden="1" x14ac:dyDescent="0.25"/>
    <row r="63268" hidden="1" x14ac:dyDescent="0.25"/>
    <row r="63269" hidden="1" x14ac:dyDescent="0.25"/>
    <row r="63270" hidden="1" x14ac:dyDescent="0.25"/>
    <row r="63271" hidden="1" x14ac:dyDescent="0.25"/>
    <row r="63272" hidden="1" x14ac:dyDescent="0.25"/>
    <row r="63273" hidden="1" x14ac:dyDescent="0.25"/>
    <row r="63274" hidden="1" x14ac:dyDescent="0.25"/>
    <row r="63275" hidden="1" x14ac:dyDescent="0.25"/>
    <row r="63276" hidden="1" x14ac:dyDescent="0.25"/>
    <row r="63277" hidden="1" x14ac:dyDescent="0.25"/>
    <row r="63278" hidden="1" x14ac:dyDescent="0.25"/>
    <row r="63279" hidden="1" x14ac:dyDescent="0.25"/>
    <row r="63280" hidden="1" x14ac:dyDescent="0.25"/>
    <row r="63281" hidden="1" x14ac:dyDescent="0.25"/>
    <row r="63282" hidden="1" x14ac:dyDescent="0.25"/>
    <row r="63283" hidden="1" x14ac:dyDescent="0.25"/>
    <row r="63284" hidden="1" x14ac:dyDescent="0.25"/>
    <row r="63285" hidden="1" x14ac:dyDescent="0.25"/>
    <row r="63286" hidden="1" x14ac:dyDescent="0.25"/>
    <row r="63287" hidden="1" x14ac:dyDescent="0.25"/>
    <row r="63288" hidden="1" x14ac:dyDescent="0.25"/>
    <row r="63289" hidden="1" x14ac:dyDescent="0.25"/>
    <row r="63290" hidden="1" x14ac:dyDescent="0.25"/>
    <row r="63291" hidden="1" x14ac:dyDescent="0.25"/>
    <row r="63292" hidden="1" x14ac:dyDescent="0.25"/>
    <row r="63293" hidden="1" x14ac:dyDescent="0.25"/>
    <row r="63294" hidden="1" x14ac:dyDescent="0.25"/>
    <row r="63295" hidden="1" x14ac:dyDescent="0.25"/>
    <row r="63296" hidden="1" x14ac:dyDescent="0.25"/>
    <row r="63297" hidden="1" x14ac:dyDescent="0.25"/>
    <row r="63298" hidden="1" x14ac:dyDescent="0.25"/>
    <row r="63299" hidden="1" x14ac:dyDescent="0.25"/>
    <row r="63300" hidden="1" x14ac:dyDescent="0.25"/>
    <row r="63301" hidden="1" x14ac:dyDescent="0.25"/>
    <row r="63302" hidden="1" x14ac:dyDescent="0.25"/>
    <row r="63303" hidden="1" x14ac:dyDescent="0.25"/>
    <row r="63304" hidden="1" x14ac:dyDescent="0.25"/>
    <row r="63305" hidden="1" x14ac:dyDescent="0.25"/>
    <row r="63306" hidden="1" x14ac:dyDescent="0.25"/>
    <row r="63307" hidden="1" x14ac:dyDescent="0.25"/>
    <row r="63308" hidden="1" x14ac:dyDescent="0.25"/>
    <row r="63309" hidden="1" x14ac:dyDescent="0.25"/>
    <row r="63310" hidden="1" x14ac:dyDescent="0.25"/>
    <row r="63311" hidden="1" x14ac:dyDescent="0.25"/>
    <row r="63312" hidden="1" x14ac:dyDescent="0.25"/>
    <row r="63313" hidden="1" x14ac:dyDescent="0.25"/>
    <row r="63314" hidden="1" x14ac:dyDescent="0.25"/>
    <row r="63315" hidden="1" x14ac:dyDescent="0.25"/>
    <row r="63316" hidden="1" x14ac:dyDescent="0.25"/>
    <row r="63317" hidden="1" x14ac:dyDescent="0.25"/>
    <row r="63318" hidden="1" x14ac:dyDescent="0.25"/>
    <row r="63319" hidden="1" x14ac:dyDescent="0.25"/>
    <row r="63320" hidden="1" x14ac:dyDescent="0.25"/>
    <row r="63321" hidden="1" x14ac:dyDescent="0.25"/>
    <row r="63322" hidden="1" x14ac:dyDescent="0.25"/>
    <row r="63323" hidden="1" x14ac:dyDescent="0.25"/>
    <row r="63324" hidden="1" x14ac:dyDescent="0.25"/>
    <row r="63325" hidden="1" x14ac:dyDescent="0.25"/>
    <row r="63326" hidden="1" x14ac:dyDescent="0.25"/>
    <row r="63327" hidden="1" x14ac:dyDescent="0.25"/>
    <row r="63328" hidden="1" x14ac:dyDescent="0.25"/>
    <row r="63329" hidden="1" x14ac:dyDescent="0.25"/>
    <row r="63330" hidden="1" x14ac:dyDescent="0.25"/>
    <row r="63331" hidden="1" x14ac:dyDescent="0.25"/>
    <row r="63332" hidden="1" x14ac:dyDescent="0.25"/>
    <row r="63333" hidden="1" x14ac:dyDescent="0.25"/>
    <row r="63334" hidden="1" x14ac:dyDescent="0.25"/>
    <row r="63335" hidden="1" x14ac:dyDescent="0.25"/>
    <row r="63336" hidden="1" x14ac:dyDescent="0.25"/>
    <row r="63337" hidden="1" x14ac:dyDescent="0.25"/>
    <row r="63338" hidden="1" x14ac:dyDescent="0.25"/>
    <row r="63339" hidden="1" x14ac:dyDescent="0.25"/>
    <row r="63340" hidden="1" x14ac:dyDescent="0.25"/>
    <row r="63341" hidden="1" x14ac:dyDescent="0.25"/>
    <row r="63342" hidden="1" x14ac:dyDescent="0.25"/>
    <row r="63343" hidden="1" x14ac:dyDescent="0.25"/>
    <row r="63344" hidden="1" x14ac:dyDescent="0.25"/>
    <row r="63345" hidden="1" x14ac:dyDescent="0.25"/>
    <row r="63346" hidden="1" x14ac:dyDescent="0.25"/>
    <row r="63347" hidden="1" x14ac:dyDescent="0.25"/>
    <row r="63348" hidden="1" x14ac:dyDescent="0.25"/>
    <row r="63349" hidden="1" x14ac:dyDescent="0.25"/>
    <row r="63350" hidden="1" x14ac:dyDescent="0.25"/>
    <row r="63351" hidden="1" x14ac:dyDescent="0.25"/>
    <row r="63352" hidden="1" x14ac:dyDescent="0.25"/>
    <row r="63353" hidden="1" x14ac:dyDescent="0.25"/>
    <row r="63354" hidden="1" x14ac:dyDescent="0.25"/>
    <row r="63355" hidden="1" x14ac:dyDescent="0.25"/>
    <row r="63356" hidden="1" x14ac:dyDescent="0.25"/>
    <row r="63357" hidden="1" x14ac:dyDescent="0.25"/>
    <row r="63358" hidden="1" x14ac:dyDescent="0.25"/>
    <row r="63359" hidden="1" x14ac:dyDescent="0.25"/>
    <row r="63360" hidden="1" x14ac:dyDescent="0.25"/>
    <row r="63361" hidden="1" x14ac:dyDescent="0.25"/>
    <row r="63362" hidden="1" x14ac:dyDescent="0.25"/>
    <row r="63363" hidden="1" x14ac:dyDescent="0.25"/>
    <row r="63364" hidden="1" x14ac:dyDescent="0.25"/>
    <row r="63365" hidden="1" x14ac:dyDescent="0.25"/>
    <row r="63366" hidden="1" x14ac:dyDescent="0.25"/>
    <row r="63367" hidden="1" x14ac:dyDescent="0.25"/>
    <row r="63368" hidden="1" x14ac:dyDescent="0.25"/>
    <row r="63369" hidden="1" x14ac:dyDescent="0.25"/>
    <row r="63370" hidden="1" x14ac:dyDescent="0.25"/>
    <row r="63371" hidden="1" x14ac:dyDescent="0.25"/>
    <row r="63372" hidden="1" x14ac:dyDescent="0.25"/>
    <row r="63373" hidden="1" x14ac:dyDescent="0.25"/>
    <row r="63374" hidden="1" x14ac:dyDescent="0.25"/>
    <row r="63375" hidden="1" x14ac:dyDescent="0.25"/>
    <row r="63376" hidden="1" x14ac:dyDescent="0.25"/>
    <row r="63377" hidden="1" x14ac:dyDescent="0.25"/>
    <row r="63378" hidden="1" x14ac:dyDescent="0.25"/>
    <row r="63379" hidden="1" x14ac:dyDescent="0.25"/>
    <row r="63380" hidden="1" x14ac:dyDescent="0.25"/>
    <row r="63381" hidden="1" x14ac:dyDescent="0.25"/>
    <row r="63382" hidden="1" x14ac:dyDescent="0.25"/>
    <row r="63383" hidden="1" x14ac:dyDescent="0.25"/>
    <row r="63384" hidden="1" x14ac:dyDescent="0.25"/>
    <row r="63385" hidden="1" x14ac:dyDescent="0.25"/>
    <row r="63386" hidden="1" x14ac:dyDescent="0.25"/>
    <row r="63387" hidden="1" x14ac:dyDescent="0.25"/>
    <row r="63388" hidden="1" x14ac:dyDescent="0.25"/>
    <row r="63389" hidden="1" x14ac:dyDescent="0.25"/>
    <row r="63390" hidden="1" x14ac:dyDescent="0.25"/>
    <row r="63391" hidden="1" x14ac:dyDescent="0.25"/>
    <row r="63392" hidden="1" x14ac:dyDescent="0.25"/>
    <row r="63393" hidden="1" x14ac:dyDescent="0.25"/>
    <row r="63394" hidden="1" x14ac:dyDescent="0.25"/>
    <row r="63395" hidden="1" x14ac:dyDescent="0.25"/>
    <row r="63396" hidden="1" x14ac:dyDescent="0.25"/>
    <row r="63397" hidden="1" x14ac:dyDescent="0.25"/>
    <row r="63398" hidden="1" x14ac:dyDescent="0.25"/>
    <row r="63399" hidden="1" x14ac:dyDescent="0.25"/>
    <row r="63400" hidden="1" x14ac:dyDescent="0.25"/>
    <row r="63401" hidden="1" x14ac:dyDescent="0.25"/>
    <row r="63402" hidden="1" x14ac:dyDescent="0.25"/>
    <row r="63403" hidden="1" x14ac:dyDescent="0.25"/>
    <row r="63404" hidden="1" x14ac:dyDescent="0.25"/>
    <row r="63405" hidden="1" x14ac:dyDescent="0.25"/>
    <row r="63406" hidden="1" x14ac:dyDescent="0.25"/>
    <row r="63407" hidden="1" x14ac:dyDescent="0.25"/>
    <row r="63408" hidden="1" x14ac:dyDescent="0.25"/>
    <row r="63409" hidden="1" x14ac:dyDescent="0.25"/>
    <row r="63410" hidden="1" x14ac:dyDescent="0.25"/>
    <row r="63411" hidden="1" x14ac:dyDescent="0.25"/>
    <row r="63412" hidden="1" x14ac:dyDescent="0.25"/>
    <row r="63413" hidden="1" x14ac:dyDescent="0.25"/>
    <row r="63414" hidden="1" x14ac:dyDescent="0.25"/>
    <row r="63415" hidden="1" x14ac:dyDescent="0.25"/>
    <row r="63416" hidden="1" x14ac:dyDescent="0.25"/>
    <row r="63417" hidden="1" x14ac:dyDescent="0.25"/>
    <row r="63418" hidden="1" x14ac:dyDescent="0.25"/>
    <row r="63419" hidden="1" x14ac:dyDescent="0.25"/>
    <row r="63420" hidden="1" x14ac:dyDescent="0.25"/>
    <row r="63421" hidden="1" x14ac:dyDescent="0.25"/>
    <row r="63422" hidden="1" x14ac:dyDescent="0.25"/>
    <row r="63423" hidden="1" x14ac:dyDescent="0.25"/>
    <row r="63424" hidden="1" x14ac:dyDescent="0.25"/>
    <row r="63425" hidden="1" x14ac:dyDescent="0.25"/>
    <row r="63426" hidden="1" x14ac:dyDescent="0.25"/>
    <row r="63427" hidden="1" x14ac:dyDescent="0.25"/>
    <row r="63428" hidden="1" x14ac:dyDescent="0.25"/>
    <row r="63429" hidden="1" x14ac:dyDescent="0.25"/>
    <row r="63430" hidden="1" x14ac:dyDescent="0.25"/>
    <row r="63431" hidden="1" x14ac:dyDescent="0.25"/>
    <row r="63432" hidden="1" x14ac:dyDescent="0.25"/>
    <row r="63433" hidden="1" x14ac:dyDescent="0.25"/>
    <row r="63434" hidden="1" x14ac:dyDescent="0.25"/>
    <row r="63435" hidden="1" x14ac:dyDescent="0.25"/>
    <row r="63436" hidden="1" x14ac:dyDescent="0.25"/>
    <row r="63437" hidden="1" x14ac:dyDescent="0.25"/>
    <row r="63438" hidden="1" x14ac:dyDescent="0.25"/>
    <row r="63439" hidden="1" x14ac:dyDescent="0.25"/>
    <row r="63440" hidden="1" x14ac:dyDescent="0.25"/>
    <row r="63441" hidden="1" x14ac:dyDescent="0.25"/>
    <row r="63442" hidden="1" x14ac:dyDescent="0.25"/>
    <row r="63443" hidden="1" x14ac:dyDescent="0.25"/>
    <row r="63444" hidden="1" x14ac:dyDescent="0.25"/>
    <row r="63445" hidden="1" x14ac:dyDescent="0.25"/>
    <row r="63446" hidden="1" x14ac:dyDescent="0.25"/>
    <row r="63447" hidden="1" x14ac:dyDescent="0.25"/>
    <row r="63448" hidden="1" x14ac:dyDescent="0.25"/>
    <row r="63449" hidden="1" x14ac:dyDescent="0.25"/>
    <row r="63450" hidden="1" x14ac:dyDescent="0.25"/>
    <row r="63451" hidden="1" x14ac:dyDescent="0.25"/>
    <row r="63452" hidden="1" x14ac:dyDescent="0.25"/>
    <row r="63453" hidden="1" x14ac:dyDescent="0.25"/>
    <row r="63454" hidden="1" x14ac:dyDescent="0.25"/>
    <row r="63455" hidden="1" x14ac:dyDescent="0.25"/>
    <row r="63456" hidden="1" x14ac:dyDescent="0.25"/>
    <row r="63457" hidden="1" x14ac:dyDescent="0.25"/>
    <row r="63458" hidden="1" x14ac:dyDescent="0.25"/>
    <row r="63459" hidden="1" x14ac:dyDescent="0.25"/>
    <row r="63460" hidden="1" x14ac:dyDescent="0.25"/>
    <row r="63461" hidden="1" x14ac:dyDescent="0.25"/>
    <row r="63462" hidden="1" x14ac:dyDescent="0.25"/>
    <row r="63463" hidden="1" x14ac:dyDescent="0.25"/>
    <row r="63464" hidden="1" x14ac:dyDescent="0.25"/>
    <row r="63465" hidden="1" x14ac:dyDescent="0.25"/>
    <row r="63466" hidden="1" x14ac:dyDescent="0.25"/>
    <row r="63467" hidden="1" x14ac:dyDescent="0.25"/>
    <row r="63468" hidden="1" x14ac:dyDescent="0.25"/>
    <row r="63469" hidden="1" x14ac:dyDescent="0.25"/>
    <row r="63470" hidden="1" x14ac:dyDescent="0.25"/>
    <row r="63471" hidden="1" x14ac:dyDescent="0.25"/>
    <row r="63472" hidden="1" x14ac:dyDescent="0.25"/>
    <row r="63473" hidden="1" x14ac:dyDescent="0.25"/>
    <row r="63474" hidden="1" x14ac:dyDescent="0.25"/>
    <row r="63475" hidden="1" x14ac:dyDescent="0.25"/>
    <row r="63476" hidden="1" x14ac:dyDescent="0.25"/>
    <row r="63477" hidden="1" x14ac:dyDescent="0.25"/>
    <row r="63478" hidden="1" x14ac:dyDescent="0.25"/>
    <row r="63479" hidden="1" x14ac:dyDescent="0.25"/>
    <row r="63480" hidden="1" x14ac:dyDescent="0.25"/>
    <row r="63481" hidden="1" x14ac:dyDescent="0.25"/>
    <row r="63482" hidden="1" x14ac:dyDescent="0.25"/>
    <row r="63483" hidden="1" x14ac:dyDescent="0.25"/>
    <row r="63484" hidden="1" x14ac:dyDescent="0.25"/>
    <row r="63485" hidden="1" x14ac:dyDescent="0.25"/>
    <row r="63486" hidden="1" x14ac:dyDescent="0.25"/>
    <row r="63487" hidden="1" x14ac:dyDescent="0.25"/>
    <row r="63488" hidden="1" x14ac:dyDescent="0.25"/>
    <row r="63489" hidden="1" x14ac:dyDescent="0.25"/>
    <row r="63490" hidden="1" x14ac:dyDescent="0.25"/>
    <row r="63491" hidden="1" x14ac:dyDescent="0.25"/>
    <row r="63492" hidden="1" x14ac:dyDescent="0.25"/>
    <row r="63493" hidden="1" x14ac:dyDescent="0.25"/>
    <row r="63494" hidden="1" x14ac:dyDescent="0.25"/>
    <row r="63495" hidden="1" x14ac:dyDescent="0.25"/>
    <row r="63496" hidden="1" x14ac:dyDescent="0.25"/>
    <row r="63497" hidden="1" x14ac:dyDescent="0.25"/>
    <row r="63498" hidden="1" x14ac:dyDescent="0.25"/>
    <row r="63499" hidden="1" x14ac:dyDescent="0.25"/>
    <row r="63500" hidden="1" x14ac:dyDescent="0.25"/>
    <row r="63501" hidden="1" x14ac:dyDescent="0.25"/>
    <row r="63502" hidden="1" x14ac:dyDescent="0.25"/>
    <row r="63503" hidden="1" x14ac:dyDescent="0.25"/>
    <row r="63504" hidden="1" x14ac:dyDescent="0.25"/>
    <row r="63505" hidden="1" x14ac:dyDescent="0.25"/>
    <row r="63506" hidden="1" x14ac:dyDescent="0.25"/>
    <row r="63507" hidden="1" x14ac:dyDescent="0.25"/>
    <row r="63508" hidden="1" x14ac:dyDescent="0.25"/>
    <row r="63509" hidden="1" x14ac:dyDescent="0.25"/>
    <row r="63510" hidden="1" x14ac:dyDescent="0.25"/>
    <row r="63511" hidden="1" x14ac:dyDescent="0.25"/>
    <row r="63512" hidden="1" x14ac:dyDescent="0.25"/>
    <row r="63513" hidden="1" x14ac:dyDescent="0.25"/>
    <row r="63514" hidden="1" x14ac:dyDescent="0.25"/>
    <row r="63515" hidden="1" x14ac:dyDescent="0.25"/>
    <row r="63516" hidden="1" x14ac:dyDescent="0.25"/>
    <row r="63517" hidden="1" x14ac:dyDescent="0.25"/>
    <row r="63518" hidden="1" x14ac:dyDescent="0.25"/>
    <row r="63519" hidden="1" x14ac:dyDescent="0.25"/>
    <row r="63520" hidden="1" x14ac:dyDescent="0.25"/>
    <row r="63521" hidden="1" x14ac:dyDescent="0.25"/>
    <row r="63522" hidden="1" x14ac:dyDescent="0.25"/>
    <row r="63523" hidden="1" x14ac:dyDescent="0.25"/>
    <row r="63524" hidden="1" x14ac:dyDescent="0.25"/>
    <row r="63525" hidden="1" x14ac:dyDescent="0.25"/>
    <row r="63526" hidden="1" x14ac:dyDescent="0.25"/>
    <row r="63527" hidden="1" x14ac:dyDescent="0.25"/>
    <row r="63528" hidden="1" x14ac:dyDescent="0.25"/>
    <row r="63529" hidden="1" x14ac:dyDescent="0.25"/>
    <row r="63530" hidden="1" x14ac:dyDescent="0.25"/>
    <row r="63531" hidden="1" x14ac:dyDescent="0.25"/>
    <row r="63532" hidden="1" x14ac:dyDescent="0.25"/>
    <row r="63533" hidden="1" x14ac:dyDescent="0.25"/>
    <row r="63534" hidden="1" x14ac:dyDescent="0.25"/>
    <row r="63535" hidden="1" x14ac:dyDescent="0.25"/>
    <row r="63536" hidden="1" x14ac:dyDescent="0.25"/>
    <row r="63537" hidden="1" x14ac:dyDescent="0.25"/>
    <row r="63538" hidden="1" x14ac:dyDescent="0.25"/>
    <row r="63539" hidden="1" x14ac:dyDescent="0.25"/>
    <row r="63540" hidden="1" x14ac:dyDescent="0.25"/>
    <row r="63541" hidden="1" x14ac:dyDescent="0.25"/>
    <row r="63542" hidden="1" x14ac:dyDescent="0.25"/>
    <row r="63543" hidden="1" x14ac:dyDescent="0.25"/>
    <row r="63544" hidden="1" x14ac:dyDescent="0.25"/>
    <row r="63545" hidden="1" x14ac:dyDescent="0.25"/>
    <row r="63546" hidden="1" x14ac:dyDescent="0.25"/>
    <row r="63547" hidden="1" x14ac:dyDescent="0.25"/>
    <row r="63548" hidden="1" x14ac:dyDescent="0.25"/>
    <row r="63549" hidden="1" x14ac:dyDescent="0.25"/>
    <row r="63550" hidden="1" x14ac:dyDescent="0.25"/>
    <row r="63551" hidden="1" x14ac:dyDescent="0.25"/>
    <row r="63552" hidden="1" x14ac:dyDescent="0.25"/>
    <row r="63553" hidden="1" x14ac:dyDescent="0.25"/>
    <row r="63554" hidden="1" x14ac:dyDescent="0.25"/>
    <row r="63555" hidden="1" x14ac:dyDescent="0.25"/>
    <row r="63556" hidden="1" x14ac:dyDescent="0.25"/>
    <row r="63557" hidden="1" x14ac:dyDescent="0.25"/>
    <row r="63558" hidden="1" x14ac:dyDescent="0.25"/>
    <row r="63559" hidden="1" x14ac:dyDescent="0.25"/>
    <row r="63560" hidden="1" x14ac:dyDescent="0.25"/>
    <row r="63561" hidden="1" x14ac:dyDescent="0.25"/>
    <row r="63562" hidden="1" x14ac:dyDescent="0.25"/>
    <row r="63563" hidden="1" x14ac:dyDescent="0.25"/>
    <row r="63564" hidden="1" x14ac:dyDescent="0.25"/>
    <row r="63565" hidden="1" x14ac:dyDescent="0.25"/>
    <row r="63566" hidden="1" x14ac:dyDescent="0.25"/>
    <row r="63567" hidden="1" x14ac:dyDescent="0.25"/>
    <row r="63568" hidden="1" x14ac:dyDescent="0.25"/>
    <row r="63569" hidden="1" x14ac:dyDescent="0.25"/>
    <row r="63570" hidden="1" x14ac:dyDescent="0.25"/>
    <row r="63571" hidden="1" x14ac:dyDescent="0.25"/>
    <row r="63572" hidden="1" x14ac:dyDescent="0.25"/>
    <row r="63573" hidden="1" x14ac:dyDescent="0.25"/>
    <row r="63574" hidden="1" x14ac:dyDescent="0.25"/>
    <row r="63575" hidden="1" x14ac:dyDescent="0.25"/>
    <row r="63576" hidden="1" x14ac:dyDescent="0.25"/>
    <row r="63577" hidden="1" x14ac:dyDescent="0.25"/>
    <row r="63578" hidden="1" x14ac:dyDescent="0.25"/>
    <row r="63579" hidden="1" x14ac:dyDescent="0.25"/>
    <row r="63580" hidden="1" x14ac:dyDescent="0.25"/>
    <row r="63581" hidden="1" x14ac:dyDescent="0.25"/>
    <row r="63582" hidden="1" x14ac:dyDescent="0.25"/>
    <row r="63583" hidden="1" x14ac:dyDescent="0.25"/>
    <row r="63584" hidden="1" x14ac:dyDescent="0.25"/>
    <row r="63585" hidden="1" x14ac:dyDescent="0.25"/>
    <row r="63586" hidden="1" x14ac:dyDescent="0.25"/>
    <row r="63587" hidden="1" x14ac:dyDescent="0.25"/>
    <row r="63588" hidden="1" x14ac:dyDescent="0.25"/>
    <row r="63589" hidden="1" x14ac:dyDescent="0.25"/>
    <row r="63590" hidden="1" x14ac:dyDescent="0.25"/>
    <row r="63591" hidden="1" x14ac:dyDescent="0.25"/>
    <row r="63592" hidden="1" x14ac:dyDescent="0.25"/>
    <row r="63593" hidden="1" x14ac:dyDescent="0.25"/>
    <row r="63594" hidden="1" x14ac:dyDescent="0.25"/>
    <row r="63595" hidden="1" x14ac:dyDescent="0.25"/>
    <row r="63596" hidden="1" x14ac:dyDescent="0.25"/>
    <row r="63597" hidden="1" x14ac:dyDescent="0.25"/>
    <row r="63598" hidden="1" x14ac:dyDescent="0.25"/>
    <row r="63599" hidden="1" x14ac:dyDescent="0.25"/>
    <row r="63600" hidden="1" x14ac:dyDescent="0.25"/>
    <row r="63601" hidden="1" x14ac:dyDescent="0.25"/>
    <row r="63602" hidden="1" x14ac:dyDescent="0.25"/>
    <row r="63603" hidden="1" x14ac:dyDescent="0.25"/>
    <row r="63604" hidden="1" x14ac:dyDescent="0.25"/>
    <row r="63605" hidden="1" x14ac:dyDescent="0.25"/>
    <row r="63606" hidden="1" x14ac:dyDescent="0.25"/>
    <row r="63607" hidden="1" x14ac:dyDescent="0.25"/>
    <row r="63608" hidden="1" x14ac:dyDescent="0.25"/>
    <row r="63609" hidden="1" x14ac:dyDescent="0.25"/>
    <row r="63610" hidden="1" x14ac:dyDescent="0.25"/>
    <row r="63611" hidden="1" x14ac:dyDescent="0.25"/>
    <row r="63612" hidden="1" x14ac:dyDescent="0.25"/>
    <row r="63613" hidden="1" x14ac:dyDescent="0.25"/>
    <row r="63614" hidden="1" x14ac:dyDescent="0.25"/>
    <row r="63615" hidden="1" x14ac:dyDescent="0.25"/>
    <row r="63616" hidden="1" x14ac:dyDescent="0.25"/>
    <row r="63617" hidden="1" x14ac:dyDescent="0.25"/>
    <row r="63618" hidden="1" x14ac:dyDescent="0.25"/>
    <row r="63619" hidden="1" x14ac:dyDescent="0.25"/>
    <row r="63620" hidden="1" x14ac:dyDescent="0.25"/>
    <row r="63621" hidden="1" x14ac:dyDescent="0.25"/>
    <row r="63622" hidden="1" x14ac:dyDescent="0.25"/>
    <row r="63623" hidden="1" x14ac:dyDescent="0.25"/>
    <row r="63624" hidden="1" x14ac:dyDescent="0.25"/>
    <row r="63625" hidden="1" x14ac:dyDescent="0.25"/>
    <row r="63626" hidden="1" x14ac:dyDescent="0.25"/>
    <row r="63627" hidden="1" x14ac:dyDescent="0.25"/>
    <row r="63628" hidden="1" x14ac:dyDescent="0.25"/>
    <row r="63629" hidden="1" x14ac:dyDescent="0.25"/>
    <row r="63630" hidden="1" x14ac:dyDescent="0.25"/>
    <row r="63631" hidden="1" x14ac:dyDescent="0.25"/>
    <row r="63632" hidden="1" x14ac:dyDescent="0.25"/>
    <row r="63633" hidden="1" x14ac:dyDescent="0.25"/>
    <row r="63634" hidden="1" x14ac:dyDescent="0.25"/>
    <row r="63635" hidden="1" x14ac:dyDescent="0.25"/>
    <row r="63636" hidden="1" x14ac:dyDescent="0.25"/>
    <row r="63637" hidden="1" x14ac:dyDescent="0.25"/>
    <row r="63638" hidden="1" x14ac:dyDescent="0.25"/>
    <row r="63639" hidden="1" x14ac:dyDescent="0.25"/>
    <row r="63640" hidden="1" x14ac:dyDescent="0.25"/>
    <row r="63641" hidden="1" x14ac:dyDescent="0.25"/>
    <row r="63642" hidden="1" x14ac:dyDescent="0.25"/>
    <row r="63643" hidden="1" x14ac:dyDescent="0.25"/>
    <row r="63644" hidden="1" x14ac:dyDescent="0.25"/>
    <row r="63645" hidden="1" x14ac:dyDescent="0.25"/>
    <row r="63646" hidden="1" x14ac:dyDescent="0.25"/>
    <row r="63647" hidden="1" x14ac:dyDescent="0.25"/>
    <row r="63648" hidden="1" x14ac:dyDescent="0.25"/>
    <row r="63649" hidden="1" x14ac:dyDescent="0.25"/>
    <row r="63650" hidden="1" x14ac:dyDescent="0.25"/>
    <row r="63651" hidden="1" x14ac:dyDescent="0.25"/>
    <row r="63652" hidden="1" x14ac:dyDescent="0.25"/>
    <row r="63653" hidden="1" x14ac:dyDescent="0.25"/>
    <row r="63654" hidden="1" x14ac:dyDescent="0.25"/>
    <row r="63655" hidden="1" x14ac:dyDescent="0.25"/>
    <row r="63656" hidden="1" x14ac:dyDescent="0.25"/>
    <row r="63657" hidden="1" x14ac:dyDescent="0.25"/>
    <row r="63658" hidden="1" x14ac:dyDescent="0.25"/>
    <row r="63659" hidden="1" x14ac:dyDescent="0.25"/>
    <row r="63660" hidden="1" x14ac:dyDescent="0.25"/>
    <row r="63661" hidden="1" x14ac:dyDescent="0.25"/>
    <row r="63662" hidden="1" x14ac:dyDescent="0.25"/>
    <row r="63663" hidden="1" x14ac:dyDescent="0.25"/>
    <row r="63664" hidden="1" x14ac:dyDescent="0.25"/>
    <row r="63665" hidden="1" x14ac:dyDescent="0.25"/>
    <row r="63666" hidden="1" x14ac:dyDescent="0.25"/>
    <row r="63667" hidden="1" x14ac:dyDescent="0.25"/>
    <row r="63668" hidden="1" x14ac:dyDescent="0.25"/>
    <row r="63669" hidden="1" x14ac:dyDescent="0.25"/>
    <row r="63670" hidden="1" x14ac:dyDescent="0.25"/>
    <row r="63671" hidden="1" x14ac:dyDescent="0.25"/>
    <row r="63672" hidden="1" x14ac:dyDescent="0.25"/>
    <row r="63673" hidden="1" x14ac:dyDescent="0.25"/>
    <row r="63674" hidden="1" x14ac:dyDescent="0.25"/>
    <row r="63675" hidden="1" x14ac:dyDescent="0.25"/>
    <row r="63676" hidden="1" x14ac:dyDescent="0.25"/>
    <row r="63677" hidden="1" x14ac:dyDescent="0.25"/>
    <row r="63678" hidden="1" x14ac:dyDescent="0.25"/>
    <row r="63679" hidden="1" x14ac:dyDescent="0.25"/>
    <row r="63680" hidden="1" x14ac:dyDescent="0.25"/>
    <row r="63681" hidden="1" x14ac:dyDescent="0.25"/>
    <row r="63682" hidden="1" x14ac:dyDescent="0.25"/>
    <row r="63683" hidden="1" x14ac:dyDescent="0.25"/>
    <row r="63684" hidden="1" x14ac:dyDescent="0.25"/>
    <row r="63685" hidden="1" x14ac:dyDescent="0.25"/>
    <row r="63686" hidden="1" x14ac:dyDescent="0.25"/>
    <row r="63687" hidden="1" x14ac:dyDescent="0.25"/>
    <row r="63688" hidden="1" x14ac:dyDescent="0.25"/>
    <row r="63689" hidden="1" x14ac:dyDescent="0.25"/>
    <row r="63690" hidden="1" x14ac:dyDescent="0.25"/>
    <row r="63691" hidden="1" x14ac:dyDescent="0.25"/>
    <row r="63692" hidden="1" x14ac:dyDescent="0.25"/>
    <row r="63693" hidden="1" x14ac:dyDescent="0.25"/>
    <row r="63694" hidden="1" x14ac:dyDescent="0.25"/>
    <row r="63695" hidden="1" x14ac:dyDescent="0.25"/>
    <row r="63696" hidden="1" x14ac:dyDescent="0.25"/>
    <row r="63697" hidden="1" x14ac:dyDescent="0.25"/>
    <row r="63698" hidden="1" x14ac:dyDescent="0.25"/>
    <row r="63699" hidden="1" x14ac:dyDescent="0.25"/>
    <row r="63700" hidden="1" x14ac:dyDescent="0.25"/>
    <row r="63701" hidden="1" x14ac:dyDescent="0.25"/>
    <row r="63702" hidden="1" x14ac:dyDescent="0.25"/>
    <row r="63703" hidden="1" x14ac:dyDescent="0.25"/>
    <row r="63704" hidden="1" x14ac:dyDescent="0.25"/>
    <row r="63705" hidden="1" x14ac:dyDescent="0.25"/>
    <row r="63706" hidden="1" x14ac:dyDescent="0.25"/>
    <row r="63707" hidden="1" x14ac:dyDescent="0.25"/>
    <row r="63708" hidden="1" x14ac:dyDescent="0.25"/>
    <row r="63709" hidden="1" x14ac:dyDescent="0.25"/>
    <row r="63710" hidden="1" x14ac:dyDescent="0.25"/>
    <row r="63711" hidden="1" x14ac:dyDescent="0.25"/>
    <row r="63712" hidden="1" x14ac:dyDescent="0.25"/>
    <row r="63713" hidden="1" x14ac:dyDescent="0.25"/>
    <row r="63714" hidden="1" x14ac:dyDescent="0.25"/>
    <row r="63715" hidden="1" x14ac:dyDescent="0.25"/>
    <row r="63716" hidden="1" x14ac:dyDescent="0.25"/>
    <row r="63717" hidden="1" x14ac:dyDescent="0.25"/>
    <row r="63718" hidden="1" x14ac:dyDescent="0.25"/>
    <row r="63719" hidden="1" x14ac:dyDescent="0.25"/>
    <row r="63720" hidden="1" x14ac:dyDescent="0.25"/>
    <row r="63721" hidden="1" x14ac:dyDescent="0.25"/>
    <row r="63722" hidden="1" x14ac:dyDescent="0.25"/>
    <row r="63723" hidden="1" x14ac:dyDescent="0.25"/>
    <row r="63724" hidden="1" x14ac:dyDescent="0.25"/>
    <row r="63725" hidden="1" x14ac:dyDescent="0.25"/>
    <row r="63726" hidden="1" x14ac:dyDescent="0.25"/>
    <row r="63727" hidden="1" x14ac:dyDescent="0.25"/>
    <row r="63728" hidden="1" x14ac:dyDescent="0.25"/>
    <row r="63729" hidden="1" x14ac:dyDescent="0.25"/>
    <row r="63730" hidden="1" x14ac:dyDescent="0.25"/>
    <row r="63731" hidden="1" x14ac:dyDescent="0.25"/>
    <row r="63732" hidden="1" x14ac:dyDescent="0.25"/>
    <row r="63733" hidden="1" x14ac:dyDescent="0.25"/>
    <row r="63734" hidden="1" x14ac:dyDescent="0.25"/>
    <row r="63735" hidden="1" x14ac:dyDescent="0.25"/>
    <row r="63736" hidden="1" x14ac:dyDescent="0.25"/>
    <row r="63737" hidden="1" x14ac:dyDescent="0.25"/>
    <row r="63738" hidden="1" x14ac:dyDescent="0.25"/>
    <row r="63739" hidden="1" x14ac:dyDescent="0.25"/>
    <row r="63740" hidden="1" x14ac:dyDescent="0.25"/>
    <row r="63741" hidden="1" x14ac:dyDescent="0.25"/>
    <row r="63742" hidden="1" x14ac:dyDescent="0.25"/>
    <row r="63743" hidden="1" x14ac:dyDescent="0.25"/>
    <row r="63744" hidden="1" x14ac:dyDescent="0.25"/>
    <row r="63745" hidden="1" x14ac:dyDescent="0.25"/>
    <row r="63746" hidden="1" x14ac:dyDescent="0.25"/>
    <row r="63747" hidden="1" x14ac:dyDescent="0.25"/>
    <row r="63748" hidden="1" x14ac:dyDescent="0.25"/>
    <row r="63749" hidden="1" x14ac:dyDescent="0.25"/>
    <row r="63750" hidden="1" x14ac:dyDescent="0.25"/>
    <row r="63751" hidden="1" x14ac:dyDescent="0.25"/>
    <row r="63752" hidden="1" x14ac:dyDescent="0.25"/>
    <row r="63753" hidden="1" x14ac:dyDescent="0.25"/>
    <row r="63754" hidden="1" x14ac:dyDescent="0.25"/>
    <row r="63755" hidden="1" x14ac:dyDescent="0.25"/>
    <row r="63756" hidden="1" x14ac:dyDescent="0.25"/>
    <row r="63757" hidden="1" x14ac:dyDescent="0.25"/>
    <row r="63758" hidden="1" x14ac:dyDescent="0.25"/>
    <row r="63759" hidden="1" x14ac:dyDescent="0.25"/>
    <row r="63760" hidden="1" x14ac:dyDescent="0.25"/>
    <row r="63761" hidden="1" x14ac:dyDescent="0.25"/>
    <row r="63762" hidden="1" x14ac:dyDescent="0.25"/>
    <row r="63763" hidden="1" x14ac:dyDescent="0.25"/>
    <row r="63764" hidden="1" x14ac:dyDescent="0.25"/>
    <row r="63765" hidden="1" x14ac:dyDescent="0.25"/>
    <row r="63766" hidden="1" x14ac:dyDescent="0.25"/>
    <row r="63767" hidden="1" x14ac:dyDescent="0.25"/>
    <row r="63768" hidden="1" x14ac:dyDescent="0.25"/>
    <row r="63769" hidden="1" x14ac:dyDescent="0.25"/>
    <row r="63770" hidden="1" x14ac:dyDescent="0.25"/>
    <row r="63771" hidden="1" x14ac:dyDescent="0.25"/>
    <row r="63772" hidden="1" x14ac:dyDescent="0.25"/>
    <row r="63773" hidden="1" x14ac:dyDescent="0.25"/>
    <row r="63774" hidden="1" x14ac:dyDescent="0.25"/>
    <row r="63775" hidden="1" x14ac:dyDescent="0.25"/>
    <row r="63776" hidden="1" x14ac:dyDescent="0.25"/>
    <row r="63777" hidden="1" x14ac:dyDescent="0.25"/>
    <row r="63778" hidden="1" x14ac:dyDescent="0.25"/>
    <row r="63779" hidden="1" x14ac:dyDescent="0.25"/>
    <row r="63780" hidden="1" x14ac:dyDescent="0.25"/>
    <row r="63781" hidden="1" x14ac:dyDescent="0.25"/>
    <row r="63782" hidden="1" x14ac:dyDescent="0.25"/>
    <row r="63783" hidden="1" x14ac:dyDescent="0.25"/>
    <row r="63784" hidden="1" x14ac:dyDescent="0.25"/>
    <row r="63785" hidden="1" x14ac:dyDescent="0.25"/>
    <row r="63786" hidden="1" x14ac:dyDescent="0.25"/>
    <row r="63787" hidden="1" x14ac:dyDescent="0.25"/>
    <row r="63788" hidden="1" x14ac:dyDescent="0.25"/>
    <row r="63789" hidden="1" x14ac:dyDescent="0.25"/>
    <row r="63790" hidden="1" x14ac:dyDescent="0.25"/>
    <row r="63791" hidden="1" x14ac:dyDescent="0.25"/>
    <row r="63792" hidden="1" x14ac:dyDescent="0.25"/>
    <row r="63793" hidden="1" x14ac:dyDescent="0.25"/>
    <row r="63794" hidden="1" x14ac:dyDescent="0.25"/>
    <row r="63795" hidden="1" x14ac:dyDescent="0.25"/>
    <row r="63796" hidden="1" x14ac:dyDescent="0.25"/>
    <row r="63797" hidden="1" x14ac:dyDescent="0.25"/>
    <row r="63798" hidden="1" x14ac:dyDescent="0.25"/>
    <row r="63799" hidden="1" x14ac:dyDescent="0.25"/>
    <row r="63800" hidden="1" x14ac:dyDescent="0.25"/>
    <row r="63801" hidden="1" x14ac:dyDescent="0.25"/>
    <row r="63802" hidden="1" x14ac:dyDescent="0.25"/>
    <row r="63803" hidden="1" x14ac:dyDescent="0.25"/>
    <row r="63804" hidden="1" x14ac:dyDescent="0.25"/>
    <row r="63805" hidden="1" x14ac:dyDescent="0.25"/>
    <row r="63806" hidden="1" x14ac:dyDescent="0.25"/>
    <row r="63807" hidden="1" x14ac:dyDescent="0.25"/>
    <row r="63808" hidden="1" x14ac:dyDescent="0.25"/>
    <row r="63809" hidden="1" x14ac:dyDescent="0.25"/>
    <row r="63810" hidden="1" x14ac:dyDescent="0.25"/>
    <row r="63811" hidden="1" x14ac:dyDescent="0.25"/>
    <row r="63812" hidden="1" x14ac:dyDescent="0.25"/>
    <row r="63813" hidden="1" x14ac:dyDescent="0.25"/>
    <row r="63814" hidden="1" x14ac:dyDescent="0.25"/>
    <row r="63815" hidden="1" x14ac:dyDescent="0.25"/>
    <row r="63816" hidden="1" x14ac:dyDescent="0.25"/>
    <row r="63817" hidden="1" x14ac:dyDescent="0.25"/>
    <row r="63818" hidden="1" x14ac:dyDescent="0.25"/>
    <row r="63819" hidden="1" x14ac:dyDescent="0.25"/>
    <row r="63820" hidden="1" x14ac:dyDescent="0.25"/>
    <row r="63821" hidden="1" x14ac:dyDescent="0.25"/>
    <row r="63822" hidden="1" x14ac:dyDescent="0.25"/>
    <row r="63823" hidden="1" x14ac:dyDescent="0.25"/>
    <row r="63824" hidden="1" x14ac:dyDescent="0.25"/>
    <row r="63825" hidden="1" x14ac:dyDescent="0.25"/>
    <row r="63826" hidden="1" x14ac:dyDescent="0.25"/>
    <row r="63827" hidden="1" x14ac:dyDescent="0.25"/>
    <row r="63828" hidden="1" x14ac:dyDescent="0.25"/>
    <row r="63829" hidden="1" x14ac:dyDescent="0.25"/>
    <row r="63830" hidden="1" x14ac:dyDescent="0.25"/>
    <row r="63831" hidden="1" x14ac:dyDescent="0.25"/>
    <row r="63832" hidden="1" x14ac:dyDescent="0.25"/>
    <row r="63833" hidden="1" x14ac:dyDescent="0.25"/>
    <row r="63834" hidden="1" x14ac:dyDescent="0.25"/>
    <row r="63835" hidden="1" x14ac:dyDescent="0.25"/>
    <row r="63836" hidden="1" x14ac:dyDescent="0.25"/>
    <row r="63837" hidden="1" x14ac:dyDescent="0.25"/>
    <row r="63838" hidden="1" x14ac:dyDescent="0.25"/>
    <row r="63839" hidden="1" x14ac:dyDescent="0.25"/>
    <row r="63840" hidden="1" x14ac:dyDescent="0.25"/>
    <row r="63841" hidden="1" x14ac:dyDescent="0.25"/>
    <row r="63842" hidden="1" x14ac:dyDescent="0.25"/>
    <row r="63843" hidden="1" x14ac:dyDescent="0.25"/>
    <row r="63844" hidden="1" x14ac:dyDescent="0.25"/>
    <row r="63845" hidden="1" x14ac:dyDescent="0.25"/>
    <row r="63846" hidden="1" x14ac:dyDescent="0.25"/>
    <row r="63847" hidden="1" x14ac:dyDescent="0.25"/>
    <row r="63848" hidden="1" x14ac:dyDescent="0.25"/>
    <row r="63849" hidden="1" x14ac:dyDescent="0.25"/>
    <row r="63850" hidden="1" x14ac:dyDescent="0.25"/>
    <row r="63851" hidden="1" x14ac:dyDescent="0.25"/>
    <row r="63852" hidden="1" x14ac:dyDescent="0.25"/>
    <row r="63853" hidden="1" x14ac:dyDescent="0.25"/>
    <row r="63854" hidden="1" x14ac:dyDescent="0.25"/>
    <row r="63855" hidden="1" x14ac:dyDescent="0.25"/>
    <row r="63856" hidden="1" x14ac:dyDescent="0.25"/>
    <row r="63857" hidden="1" x14ac:dyDescent="0.25"/>
    <row r="63858" hidden="1" x14ac:dyDescent="0.25"/>
    <row r="63859" hidden="1" x14ac:dyDescent="0.25"/>
    <row r="63860" hidden="1" x14ac:dyDescent="0.25"/>
    <row r="63861" hidden="1" x14ac:dyDescent="0.25"/>
    <row r="63862" hidden="1" x14ac:dyDescent="0.25"/>
    <row r="63863" hidden="1" x14ac:dyDescent="0.25"/>
    <row r="63864" hidden="1" x14ac:dyDescent="0.25"/>
    <row r="63865" hidden="1" x14ac:dyDescent="0.25"/>
    <row r="63866" hidden="1" x14ac:dyDescent="0.25"/>
    <row r="63867" hidden="1" x14ac:dyDescent="0.25"/>
    <row r="63868" hidden="1" x14ac:dyDescent="0.25"/>
    <row r="63869" hidden="1" x14ac:dyDescent="0.25"/>
    <row r="63870" hidden="1" x14ac:dyDescent="0.25"/>
    <row r="63871" hidden="1" x14ac:dyDescent="0.25"/>
    <row r="63872" hidden="1" x14ac:dyDescent="0.25"/>
    <row r="63873" hidden="1" x14ac:dyDescent="0.25"/>
    <row r="63874" hidden="1" x14ac:dyDescent="0.25"/>
    <row r="63875" hidden="1" x14ac:dyDescent="0.25"/>
    <row r="63876" hidden="1" x14ac:dyDescent="0.25"/>
    <row r="63877" hidden="1" x14ac:dyDescent="0.25"/>
    <row r="63878" hidden="1" x14ac:dyDescent="0.25"/>
    <row r="63879" hidden="1" x14ac:dyDescent="0.25"/>
    <row r="63880" hidden="1" x14ac:dyDescent="0.25"/>
    <row r="63881" hidden="1" x14ac:dyDescent="0.25"/>
    <row r="63882" hidden="1" x14ac:dyDescent="0.25"/>
    <row r="63883" hidden="1" x14ac:dyDescent="0.25"/>
    <row r="63884" hidden="1" x14ac:dyDescent="0.25"/>
    <row r="63885" hidden="1" x14ac:dyDescent="0.25"/>
    <row r="63886" hidden="1" x14ac:dyDescent="0.25"/>
    <row r="63887" hidden="1" x14ac:dyDescent="0.25"/>
    <row r="63888" hidden="1" x14ac:dyDescent="0.25"/>
    <row r="63889" hidden="1" x14ac:dyDescent="0.25"/>
    <row r="63890" hidden="1" x14ac:dyDescent="0.25"/>
    <row r="63891" hidden="1" x14ac:dyDescent="0.25"/>
    <row r="63892" hidden="1" x14ac:dyDescent="0.25"/>
    <row r="63893" hidden="1" x14ac:dyDescent="0.25"/>
    <row r="63894" hidden="1" x14ac:dyDescent="0.25"/>
    <row r="63895" hidden="1" x14ac:dyDescent="0.25"/>
    <row r="63896" hidden="1" x14ac:dyDescent="0.25"/>
    <row r="63897" hidden="1" x14ac:dyDescent="0.25"/>
    <row r="63898" hidden="1" x14ac:dyDescent="0.25"/>
    <row r="63899" hidden="1" x14ac:dyDescent="0.25"/>
    <row r="63900" hidden="1" x14ac:dyDescent="0.25"/>
    <row r="63901" hidden="1" x14ac:dyDescent="0.25"/>
    <row r="63902" hidden="1" x14ac:dyDescent="0.25"/>
    <row r="63903" hidden="1" x14ac:dyDescent="0.25"/>
    <row r="63904" hidden="1" x14ac:dyDescent="0.25"/>
    <row r="63905" hidden="1" x14ac:dyDescent="0.25"/>
    <row r="63906" hidden="1" x14ac:dyDescent="0.25"/>
    <row r="63907" hidden="1" x14ac:dyDescent="0.25"/>
    <row r="63908" hidden="1" x14ac:dyDescent="0.25"/>
    <row r="63909" hidden="1" x14ac:dyDescent="0.25"/>
    <row r="63910" hidden="1" x14ac:dyDescent="0.25"/>
    <row r="63911" hidden="1" x14ac:dyDescent="0.25"/>
    <row r="63912" hidden="1" x14ac:dyDescent="0.25"/>
    <row r="63913" hidden="1" x14ac:dyDescent="0.25"/>
    <row r="63914" hidden="1" x14ac:dyDescent="0.25"/>
    <row r="63915" hidden="1" x14ac:dyDescent="0.25"/>
    <row r="63916" hidden="1" x14ac:dyDescent="0.25"/>
    <row r="63917" hidden="1" x14ac:dyDescent="0.25"/>
    <row r="63918" hidden="1" x14ac:dyDescent="0.25"/>
    <row r="63919" hidden="1" x14ac:dyDescent="0.25"/>
    <row r="63920" hidden="1" x14ac:dyDescent="0.25"/>
    <row r="63921" hidden="1" x14ac:dyDescent="0.25"/>
    <row r="63922" hidden="1" x14ac:dyDescent="0.25"/>
    <row r="63923" hidden="1" x14ac:dyDescent="0.25"/>
    <row r="63924" hidden="1" x14ac:dyDescent="0.25"/>
    <row r="63925" hidden="1" x14ac:dyDescent="0.25"/>
    <row r="63926" hidden="1" x14ac:dyDescent="0.25"/>
    <row r="63927" hidden="1" x14ac:dyDescent="0.25"/>
    <row r="63928" hidden="1" x14ac:dyDescent="0.25"/>
    <row r="63929" hidden="1" x14ac:dyDescent="0.25"/>
    <row r="63930" hidden="1" x14ac:dyDescent="0.25"/>
    <row r="63931" hidden="1" x14ac:dyDescent="0.25"/>
    <row r="63932" hidden="1" x14ac:dyDescent="0.25"/>
    <row r="63933" hidden="1" x14ac:dyDescent="0.25"/>
    <row r="63934" hidden="1" x14ac:dyDescent="0.25"/>
    <row r="63935" hidden="1" x14ac:dyDescent="0.25"/>
    <row r="63936" hidden="1" x14ac:dyDescent="0.25"/>
    <row r="63937" hidden="1" x14ac:dyDescent="0.25"/>
    <row r="63938" hidden="1" x14ac:dyDescent="0.25"/>
    <row r="63939" hidden="1" x14ac:dyDescent="0.25"/>
    <row r="63940" hidden="1" x14ac:dyDescent="0.25"/>
    <row r="63941" hidden="1" x14ac:dyDescent="0.25"/>
    <row r="63942" hidden="1" x14ac:dyDescent="0.25"/>
    <row r="63943" hidden="1" x14ac:dyDescent="0.25"/>
    <row r="63944" hidden="1" x14ac:dyDescent="0.25"/>
    <row r="63945" hidden="1" x14ac:dyDescent="0.25"/>
    <row r="63946" hidden="1" x14ac:dyDescent="0.25"/>
    <row r="63947" hidden="1" x14ac:dyDescent="0.25"/>
    <row r="63948" hidden="1" x14ac:dyDescent="0.25"/>
    <row r="63949" hidden="1" x14ac:dyDescent="0.25"/>
    <row r="63950" hidden="1" x14ac:dyDescent="0.25"/>
    <row r="63951" hidden="1" x14ac:dyDescent="0.25"/>
    <row r="63952" hidden="1" x14ac:dyDescent="0.25"/>
    <row r="63953" hidden="1" x14ac:dyDescent="0.25"/>
    <row r="63954" hidden="1" x14ac:dyDescent="0.25"/>
    <row r="63955" hidden="1" x14ac:dyDescent="0.25"/>
    <row r="63956" hidden="1" x14ac:dyDescent="0.25"/>
    <row r="63957" hidden="1" x14ac:dyDescent="0.25"/>
    <row r="63958" hidden="1" x14ac:dyDescent="0.25"/>
    <row r="63959" hidden="1" x14ac:dyDescent="0.25"/>
    <row r="63960" hidden="1" x14ac:dyDescent="0.25"/>
    <row r="63961" hidden="1" x14ac:dyDescent="0.25"/>
    <row r="63962" hidden="1" x14ac:dyDescent="0.25"/>
    <row r="63963" hidden="1" x14ac:dyDescent="0.25"/>
    <row r="63964" hidden="1" x14ac:dyDescent="0.25"/>
    <row r="63965" hidden="1" x14ac:dyDescent="0.25"/>
    <row r="63966" hidden="1" x14ac:dyDescent="0.25"/>
    <row r="63967" hidden="1" x14ac:dyDescent="0.25"/>
    <row r="63968" hidden="1" x14ac:dyDescent="0.25"/>
    <row r="63969" hidden="1" x14ac:dyDescent="0.25"/>
    <row r="63970" hidden="1" x14ac:dyDescent="0.25"/>
    <row r="63971" hidden="1" x14ac:dyDescent="0.25"/>
    <row r="63972" hidden="1" x14ac:dyDescent="0.25"/>
    <row r="63973" hidden="1" x14ac:dyDescent="0.25"/>
    <row r="63974" hidden="1" x14ac:dyDescent="0.25"/>
    <row r="63975" hidden="1" x14ac:dyDescent="0.25"/>
    <row r="63976" hidden="1" x14ac:dyDescent="0.25"/>
    <row r="63977" hidden="1" x14ac:dyDescent="0.25"/>
    <row r="63978" hidden="1" x14ac:dyDescent="0.25"/>
    <row r="63979" hidden="1" x14ac:dyDescent="0.25"/>
    <row r="63980" hidden="1" x14ac:dyDescent="0.25"/>
    <row r="63981" hidden="1" x14ac:dyDescent="0.25"/>
    <row r="63982" hidden="1" x14ac:dyDescent="0.25"/>
    <row r="63983" hidden="1" x14ac:dyDescent="0.25"/>
    <row r="63984" hidden="1" x14ac:dyDescent="0.25"/>
    <row r="63985" hidden="1" x14ac:dyDescent="0.25"/>
    <row r="63986" hidden="1" x14ac:dyDescent="0.25"/>
    <row r="63987" hidden="1" x14ac:dyDescent="0.25"/>
    <row r="63988" hidden="1" x14ac:dyDescent="0.25"/>
    <row r="63989" hidden="1" x14ac:dyDescent="0.25"/>
    <row r="63990" hidden="1" x14ac:dyDescent="0.25"/>
    <row r="63991" hidden="1" x14ac:dyDescent="0.25"/>
    <row r="63992" hidden="1" x14ac:dyDescent="0.25"/>
    <row r="63993" hidden="1" x14ac:dyDescent="0.25"/>
    <row r="63994" hidden="1" x14ac:dyDescent="0.25"/>
    <row r="63995" hidden="1" x14ac:dyDescent="0.25"/>
    <row r="63996" hidden="1" x14ac:dyDescent="0.25"/>
    <row r="63997" hidden="1" x14ac:dyDescent="0.25"/>
    <row r="63998" hidden="1" x14ac:dyDescent="0.25"/>
    <row r="63999" hidden="1" x14ac:dyDescent="0.25"/>
    <row r="64000" hidden="1" x14ac:dyDescent="0.25"/>
    <row r="64001" hidden="1" x14ac:dyDescent="0.25"/>
    <row r="64002" hidden="1" x14ac:dyDescent="0.25"/>
    <row r="64003" hidden="1" x14ac:dyDescent="0.25"/>
    <row r="64004" hidden="1" x14ac:dyDescent="0.25"/>
    <row r="64005" hidden="1" x14ac:dyDescent="0.25"/>
    <row r="64006" hidden="1" x14ac:dyDescent="0.25"/>
    <row r="64007" hidden="1" x14ac:dyDescent="0.25"/>
    <row r="64008" hidden="1" x14ac:dyDescent="0.25"/>
    <row r="64009" hidden="1" x14ac:dyDescent="0.25"/>
    <row r="64010" hidden="1" x14ac:dyDescent="0.25"/>
    <row r="64011" hidden="1" x14ac:dyDescent="0.25"/>
    <row r="64012" hidden="1" x14ac:dyDescent="0.25"/>
    <row r="64013" hidden="1" x14ac:dyDescent="0.25"/>
    <row r="64014" hidden="1" x14ac:dyDescent="0.25"/>
    <row r="64015" hidden="1" x14ac:dyDescent="0.25"/>
    <row r="64016" hidden="1" x14ac:dyDescent="0.25"/>
    <row r="64017" hidden="1" x14ac:dyDescent="0.25"/>
    <row r="64018" hidden="1" x14ac:dyDescent="0.25"/>
    <row r="64019" hidden="1" x14ac:dyDescent="0.25"/>
    <row r="64020" hidden="1" x14ac:dyDescent="0.25"/>
    <row r="64021" hidden="1" x14ac:dyDescent="0.25"/>
    <row r="64022" hidden="1" x14ac:dyDescent="0.25"/>
    <row r="64023" hidden="1" x14ac:dyDescent="0.25"/>
    <row r="64024" hidden="1" x14ac:dyDescent="0.25"/>
    <row r="64025" hidden="1" x14ac:dyDescent="0.25"/>
    <row r="64026" hidden="1" x14ac:dyDescent="0.25"/>
    <row r="64027" hidden="1" x14ac:dyDescent="0.25"/>
    <row r="64028" hidden="1" x14ac:dyDescent="0.25"/>
    <row r="64029" hidden="1" x14ac:dyDescent="0.25"/>
    <row r="64030" hidden="1" x14ac:dyDescent="0.25"/>
    <row r="64031" hidden="1" x14ac:dyDescent="0.25"/>
    <row r="64032" hidden="1" x14ac:dyDescent="0.25"/>
    <row r="64033" hidden="1" x14ac:dyDescent="0.25"/>
    <row r="64034" hidden="1" x14ac:dyDescent="0.25"/>
    <row r="64035" hidden="1" x14ac:dyDescent="0.25"/>
    <row r="64036" hidden="1" x14ac:dyDescent="0.25"/>
    <row r="64037" hidden="1" x14ac:dyDescent="0.25"/>
    <row r="64038" hidden="1" x14ac:dyDescent="0.25"/>
    <row r="64039" hidden="1" x14ac:dyDescent="0.25"/>
    <row r="64040" hidden="1" x14ac:dyDescent="0.25"/>
    <row r="64041" hidden="1" x14ac:dyDescent="0.25"/>
    <row r="64042" hidden="1" x14ac:dyDescent="0.25"/>
    <row r="64043" hidden="1" x14ac:dyDescent="0.25"/>
    <row r="64044" hidden="1" x14ac:dyDescent="0.25"/>
    <row r="64045" hidden="1" x14ac:dyDescent="0.25"/>
    <row r="64046" hidden="1" x14ac:dyDescent="0.25"/>
    <row r="64047" hidden="1" x14ac:dyDescent="0.25"/>
    <row r="64048" hidden="1" x14ac:dyDescent="0.25"/>
    <row r="64049" hidden="1" x14ac:dyDescent="0.25"/>
    <row r="64050" hidden="1" x14ac:dyDescent="0.25"/>
    <row r="64051" hidden="1" x14ac:dyDescent="0.25"/>
    <row r="64052" hidden="1" x14ac:dyDescent="0.25"/>
    <row r="64053" hidden="1" x14ac:dyDescent="0.25"/>
    <row r="64054" hidden="1" x14ac:dyDescent="0.25"/>
    <row r="64055" hidden="1" x14ac:dyDescent="0.25"/>
    <row r="64056" hidden="1" x14ac:dyDescent="0.25"/>
    <row r="64057" hidden="1" x14ac:dyDescent="0.25"/>
    <row r="64058" hidden="1" x14ac:dyDescent="0.25"/>
    <row r="64059" hidden="1" x14ac:dyDescent="0.25"/>
    <row r="64060" hidden="1" x14ac:dyDescent="0.25"/>
    <row r="64061" hidden="1" x14ac:dyDescent="0.25"/>
    <row r="64062" hidden="1" x14ac:dyDescent="0.25"/>
    <row r="64063" hidden="1" x14ac:dyDescent="0.25"/>
    <row r="64064" hidden="1" x14ac:dyDescent="0.25"/>
    <row r="64065" hidden="1" x14ac:dyDescent="0.25"/>
    <row r="64066" hidden="1" x14ac:dyDescent="0.25"/>
    <row r="64067" hidden="1" x14ac:dyDescent="0.25"/>
    <row r="64068" hidden="1" x14ac:dyDescent="0.25"/>
    <row r="64069" hidden="1" x14ac:dyDescent="0.25"/>
    <row r="64070" hidden="1" x14ac:dyDescent="0.25"/>
    <row r="64071" hidden="1" x14ac:dyDescent="0.25"/>
    <row r="64072" hidden="1" x14ac:dyDescent="0.25"/>
    <row r="64073" hidden="1" x14ac:dyDescent="0.25"/>
    <row r="64074" hidden="1" x14ac:dyDescent="0.25"/>
    <row r="64075" hidden="1" x14ac:dyDescent="0.25"/>
    <row r="64076" hidden="1" x14ac:dyDescent="0.25"/>
    <row r="64077" hidden="1" x14ac:dyDescent="0.25"/>
    <row r="64078" hidden="1" x14ac:dyDescent="0.25"/>
    <row r="64079" hidden="1" x14ac:dyDescent="0.25"/>
    <row r="64080" hidden="1" x14ac:dyDescent="0.25"/>
    <row r="64081" hidden="1" x14ac:dyDescent="0.25"/>
    <row r="64082" hidden="1" x14ac:dyDescent="0.25"/>
    <row r="64083" hidden="1" x14ac:dyDescent="0.25"/>
    <row r="64084" hidden="1" x14ac:dyDescent="0.25"/>
    <row r="64085" hidden="1" x14ac:dyDescent="0.25"/>
    <row r="64086" hidden="1" x14ac:dyDescent="0.25"/>
    <row r="64087" hidden="1" x14ac:dyDescent="0.25"/>
    <row r="64088" hidden="1" x14ac:dyDescent="0.25"/>
    <row r="64089" hidden="1" x14ac:dyDescent="0.25"/>
    <row r="64090" hidden="1" x14ac:dyDescent="0.25"/>
    <row r="64091" hidden="1" x14ac:dyDescent="0.25"/>
    <row r="64092" hidden="1" x14ac:dyDescent="0.25"/>
    <row r="64093" hidden="1" x14ac:dyDescent="0.25"/>
    <row r="64094" hidden="1" x14ac:dyDescent="0.25"/>
    <row r="64095" hidden="1" x14ac:dyDescent="0.25"/>
    <row r="64096" hidden="1" x14ac:dyDescent="0.25"/>
    <row r="64097" hidden="1" x14ac:dyDescent="0.25"/>
    <row r="64098" hidden="1" x14ac:dyDescent="0.25"/>
    <row r="64099" hidden="1" x14ac:dyDescent="0.25"/>
    <row r="64100" hidden="1" x14ac:dyDescent="0.25"/>
    <row r="64101" hidden="1" x14ac:dyDescent="0.25"/>
    <row r="64102" hidden="1" x14ac:dyDescent="0.25"/>
    <row r="64103" hidden="1" x14ac:dyDescent="0.25"/>
    <row r="64104" hidden="1" x14ac:dyDescent="0.25"/>
    <row r="64105" hidden="1" x14ac:dyDescent="0.25"/>
    <row r="64106" hidden="1" x14ac:dyDescent="0.25"/>
    <row r="64107" hidden="1" x14ac:dyDescent="0.25"/>
    <row r="64108" hidden="1" x14ac:dyDescent="0.25"/>
    <row r="64109" hidden="1" x14ac:dyDescent="0.25"/>
    <row r="64110" hidden="1" x14ac:dyDescent="0.25"/>
    <row r="64111" hidden="1" x14ac:dyDescent="0.25"/>
    <row r="64112" hidden="1" x14ac:dyDescent="0.25"/>
    <row r="64113" hidden="1" x14ac:dyDescent="0.25"/>
    <row r="64114" hidden="1" x14ac:dyDescent="0.25"/>
    <row r="64115" hidden="1" x14ac:dyDescent="0.25"/>
    <row r="64116" hidden="1" x14ac:dyDescent="0.25"/>
    <row r="64117" hidden="1" x14ac:dyDescent="0.25"/>
    <row r="64118" hidden="1" x14ac:dyDescent="0.25"/>
    <row r="64119" hidden="1" x14ac:dyDescent="0.25"/>
    <row r="64120" hidden="1" x14ac:dyDescent="0.25"/>
    <row r="64121" hidden="1" x14ac:dyDescent="0.25"/>
    <row r="64122" hidden="1" x14ac:dyDescent="0.25"/>
    <row r="64123" hidden="1" x14ac:dyDescent="0.25"/>
    <row r="64124" hidden="1" x14ac:dyDescent="0.25"/>
    <row r="64125" hidden="1" x14ac:dyDescent="0.25"/>
    <row r="64126" hidden="1" x14ac:dyDescent="0.25"/>
    <row r="64127" hidden="1" x14ac:dyDescent="0.25"/>
    <row r="64128" hidden="1" x14ac:dyDescent="0.25"/>
    <row r="64129" hidden="1" x14ac:dyDescent="0.25"/>
    <row r="64130" hidden="1" x14ac:dyDescent="0.25"/>
    <row r="64131" hidden="1" x14ac:dyDescent="0.25"/>
    <row r="64132" hidden="1" x14ac:dyDescent="0.25"/>
    <row r="64133" hidden="1" x14ac:dyDescent="0.25"/>
    <row r="64134" hidden="1" x14ac:dyDescent="0.25"/>
    <row r="64135" hidden="1" x14ac:dyDescent="0.25"/>
    <row r="64136" hidden="1" x14ac:dyDescent="0.25"/>
    <row r="64137" hidden="1" x14ac:dyDescent="0.25"/>
    <row r="64138" hidden="1" x14ac:dyDescent="0.25"/>
    <row r="64139" hidden="1" x14ac:dyDescent="0.25"/>
    <row r="64140" hidden="1" x14ac:dyDescent="0.25"/>
    <row r="64141" hidden="1" x14ac:dyDescent="0.25"/>
    <row r="64142" hidden="1" x14ac:dyDescent="0.25"/>
    <row r="64143" hidden="1" x14ac:dyDescent="0.25"/>
    <row r="64144" hidden="1" x14ac:dyDescent="0.25"/>
    <row r="64145" hidden="1" x14ac:dyDescent="0.25"/>
    <row r="64146" hidden="1" x14ac:dyDescent="0.25"/>
    <row r="64147" hidden="1" x14ac:dyDescent="0.25"/>
    <row r="64148" hidden="1" x14ac:dyDescent="0.25"/>
    <row r="64149" hidden="1" x14ac:dyDescent="0.25"/>
    <row r="64150" hidden="1" x14ac:dyDescent="0.25"/>
    <row r="64151" hidden="1" x14ac:dyDescent="0.25"/>
    <row r="64152" hidden="1" x14ac:dyDescent="0.25"/>
    <row r="64153" hidden="1" x14ac:dyDescent="0.25"/>
    <row r="64154" hidden="1" x14ac:dyDescent="0.25"/>
    <row r="64155" hidden="1" x14ac:dyDescent="0.25"/>
    <row r="64156" hidden="1" x14ac:dyDescent="0.25"/>
    <row r="64157" hidden="1" x14ac:dyDescent="0.25"/>
    <row r="64158" hidden="1" x14ac:dyDescent="0.25"/>
    <row r="64159" hidden="1" x14ac:dyDescent="0.25"/>
    <row r="64160" hidden="1" x14ac:dyDescent="0.25"/>
    <row r="64161" hidden="1" x14ac:dyDescent="0.25"/>
    <row r="64162" hidden="1" x14ac:dyDescent="0.25"/>
    <row r="64163" hidden="1" x14ac:dyDescent="0.25"/>
    <row r="64164" hidden="1" x14ac:dyDescent="0.25"/>
    <row r="64165" hidden="1" x14ac:dyDescent="0.25"/>
    <row r="64166" hidden="1" x14ac:dyDescent="0.25"/>
    <row r="64167" hidden="1" x14ac:dyDescent="0.25"/>
    <row r="64168" hidden="1" x14ac:dyDescent="0.25"/>
    <row r="64169" hidden="1" x14ac:dyDescent="0.25"/>
    <row r="64170" hidden="1" x14ac:dyDescent="0.25"/>
    <row r="64171" hidden="1" x14ac:dyDescent="0.25"/>
    <row r="64172" hidden="1" x14ac:dyDescent="0.25"/>
    <row r="64173" hidden="1" x14ac:dyDescent="0.25"/>
    <row r="64174" hidden="1" x14ac:dyDescent="0.25"/>
    <row r="64175" hidden="1" x14ac:dyDescent="0.25"/>
    <row r="64176" hidden="1" x14ac:dyDescent="0.25"/>
    <row r="64177" hidden="1" x14ac:dyDescent="0.25"/>
    <row r="64178" hidden="1" x14ac:dyDescent="0.25"/>
    <row r="64179" hidden="1" x14ac:dyDescent="0.25"/>
    <row r="64180" hidden="1" x14ac:dyDescent="0.25"/>
    <row r="64181" hidden="1" x14ac:dyDescent="0.25"/>
    <row r="64182" hidden="1" x14ac:dyDescent="0.25"/>
    <row r="64183" hidden="1" x14ac:dyDescent="0.25"/>
    <row r="64184" hidden="1" x14ac:dyDescent="0.25"/>
    <row r="64185" hidden="1" x14ac:dyDescent="0.25"/>
    <row r="64186" hidden="1" x14ac:dyDescent="0.25"/>
    <row r="64187" hidden="1" x14ac:dyDescent="0.25"/>
    <row r="64188" hidden="1" x14ac:dyDescent="0.25"/>
    <row r="64189" hidden="1" x14ac:dyDescent="0.25"/>
    <row r="64190" hidden="1" x14ac:dyDescent="0.25"/>
    <row r="64191" hidden="1" x14ac:dyDescent="0.25"/>
    <row r="64192" hidden="1" x14ac:dyDescent="0.25"/>
    <row r="64193" hidden="1" x14ac:dyDescent="0.25"/>
    <row r="64194" hidden="1" x14ac:dyDescent="0.25"/>
    <row r="64195" hidden="1" x14ac:dyDescent="0.25"/>
    <row r="64196" hidden="1" x14ac:dyDescent="0.25"/>
    <row r="64197" hidden="1" x14ac:dyDescent="0.25"/>
    <row r="64198" hidden="1" x14ac:dyDescent="0.25"/>
    <row r="64199" hidden="1" x14ac:dyDescent="0.25"/>
    <row r="64200" hidden="1" x14ac:dyDescent="0.25"/>
    <row r="64201" hidden="1" x14ac:dyDescent="0.25"/>
    <row r="64202" hidden="1" x14ac:dyDescent="0.25"/>
    <row r="64203" hidden="1" x14ac:dyDescent="0.25"/>
    <row r="64204" hidden="1" x14ac:dyDescent="0.25"/>
    <row r="64205" hidden="1" x14ac:dyDescent="0.25"/>
    <row r="64206" hidden="1" x14ac:dyDescent="0.25"/>
    <row r="64207" hidden="1" x14ac:dyDescent="0.25"/>
    <row r="64208" hidden="1" x14ac:dyDescent="0.25"/>
    <row r="64209" hidden="1" x14ac:dyDescent="0.25"/>
    <row r="64210" hidden="1" x14ac:dyDescent="0.25"/>
    <row r="64211" hidden="1" x14ac:dyDescent="0.25"/>
    <row r="64212" hidden="1" x14ac:dyDescent="0.25"/>
    <row r="64213" hidden="1" x14ac:dyDescent="0.25"/>
    <row r="64214" hidden="1" x14ac:dyDescent="0.25"/>
    <row r="64215" hidden="1" x14ac:dyDescent="0.25"/>
    <row r="64216" hidden="1" x14ac:dyDescent="0.25"/>
    <row r="64217" hidden="1" x14ac:dyDescent="0.25"/>
    <row r="64218" hidden="1" x14ac:dyDescent="0.25"/>
    <row r="64219" hidden="1" x14ac:dyDescent="0.25"/>
    <row r="64220" hidden="1" x14ac:dyDescent="0.25"/>
    <row r="64221" hidden="1" x14ac:dyDescent="0.25"/>
    <row r="64222" hidden="1" x14ac:dyDescent="0.25"/>
    <row r="64223" hidden="1" x14ac:dyDescent="0.25"/>
    <row r="64224" hidden="1" x14ac:dyDescent="0.25"/>
    <row r="64225" hidden="1" x14ac:dyDescent="0.25"/>
    <row r="64226" hidden="1" x14ac:dyDescent="0.25"/>
    <row r="64227" hidden="1" x14ac:dyDescent="0.25"/>
    <row r="64228" hidden="1" x14ac:dyDescent="0.25"/>
    <row r="64229" hidden="1" x14ac:dyDescent="0.25"/>
    <row r="64230" hidden="1" x14ac:dyDescent="0.25"/>
    <row r="64231" hidden="1" x14ac:dyDescent="0.25"/>
    <row r="64232" hidden="1" x14ac:dyDescent="0.25"/>
    <row r="64233" hidden="1" x14ac:dyDescent="0.25"/>
    <row r="64234" hidden="1" x14ac:dyDescent="0.25"/>
    <row r="64235" hidden="1" x14ac:dyDescent="0.25"/>
    <row r="64236" hidden="1" x14ac:dyDescent="0.25"/>
    <row r="64237" hidden="1" x14ac:dyDescent="0.25"/>
    <row r="64238" hidden="1" x14ac:dyDescent="0.25"/>
    <row r="64239" hidden="1" x14ac:dyDescent="0.25"/>
    <row r="64240" hidden="1" x14ac:dyDescent="0.25"/>
    <row r="64241" hidden="1" x14ac:dyDescent="0.25"/>
    <row r="64242" hidden="1" x14ac:dyDescent="0.25"/>
    <row r="64243" hidden="1" x14ac:dyDescent="0.25"/>
    <row r="64244" hidden="1" x14ac:dyDescent="0.25"/>
    <row r="64245" hidden="1" x14ac:dyDescent="0.25"/>
    <row r="64246" hidden="1" x14ac:dyDescent="0.25"/>
    <row r="64247" hidden="1" x14ac:dyDescent="0.25"/>
    <row r="64248" hidden="1" x14ac:dyDescent="0.25"/>
    <row r="64249" hidden="1" x14ac:dyDescent="0.25"/>
    <row r="64250" hidden="1" x14ac:dyDescent="0.25"/>
    <row r="64251" hidden="1" x14ac:dyDescent="0.25"/>
    <row r="64252" hidden="1" x14ac:dyDescent="0.25"/>
    <row r="64253" hidden="1" x14ac:dyDescent="0.25"/>
    <row r="64254" hidden="1" x14ac:dyDescent="0.25"/>
    <row r="64255" hidden="1" x14ac:dyDescent="0.25"/>
    <row r="64256" hidden="1" x14ac:dyDescent="0.25"/>
    <row r="64257" hidden="1" x14ac:dyDescent="0.25"/>
    <row r="64258" hidden="1" x14ac:dyDescent="0.25"/>
    <row r="64259" hidden="1" x14ac:dyDescent="0.25"/>
    <row r="64260" hidden="1" x14ac:dyDescent="0.25"/>
    <row r="64261" hidden="1" x14ac:dyDescent="0.25"/>
    <row r="64262" hidden="1" x14ac:dyDescent="0.25"/>
    <row r="64263" hidden="1" x14ac:dyDescent="0.25"/>
    <row r="64264" hidden="1" x14ac:dyDescent="0.25"/>
    <row r="64265" hidden="1" x14ac:dyDescent="0.25"/>
    <row r="64266" hidden="1" x14ac:dyDescent="0.25"/>
    <row r="64267" hidden="1" x14ac:dyDescent="0.25"/>
    <row r="64268" hidden="1" x14ac:dyDescent="0.25"/>
    <row r="64269" hidden="1" x14ac:dyDescent="0.25"/>
    <row r="64270" hidden="1" x14ac:dyDescent="0.25"/>
    <row r="64271" hidden="1" x14ac:dyDescent="0.25"/>
    <row r="64272" hidden="1" x14ac:dyDescent="0.25"/>
    <row r="64273" hidden="1" x14ac:dyDescent="0.25"/>
    <row r="64274" hidden="1" x14ac:dyDescent="0.25"/>
    <row r="64275" hidden="1" x14ac:dyDescent="0.25"/>
    <row r="64276" hidden="1" x14ac:dyDescent="0.25"/>
    <row r="64277" hidden="1" x14ac:dyDescent="0.25"/>
    <row r="64278" hidden="1" x14ac:dyDescent="0.25"/>
    <row r="64279" hidden="1" x14ac:dyDescent="0.25"/>
    <row r="64280" hidden="1" x14ac:dyDescent="0.25"/>
    <row r="64281" hidden="1" x14ac:dyDescent="0.25"/>
    <row r="64282" hidden="1" x14ac:dyDescent="0.25"/>
    <row r="64283" hidden="1" x14ac:dyDescent="0.25"/>
    <row r="64284" hidden="1" x14ac:dyDescent="0.25"/>
    <row r="64285" hidden="1" x14ac:dyDescent="0.25"/>
    <row r="64286" hidden="1" x14ac:dyDescent="0.25"/>
    <row r="64287" hidden="1" x14ac:dyDescent="0.25"/>
    <row r="64288" hidden="1" x14ac:dyDescent="0.25"/>
    <row r="64289" hidden="1" x14ac:dyDescent="0.25"/>
    <row r="64290" hidden="1" x14ac:dyDescent="0.25"/>
    <row r="64291" hidden="1" x14ac:dyDescent="0.25"/>
    <row r="64292" hidden="1" x14ac:dyDescent="0.25"/>
    <row r="64293" hidden="1" x14ac:dyDescent="0.25"/>
    <row r="64294" hidden="1" x14ac:dyDescent="0.25"/>
    <row r="64295" hidden="1" x14ac:dyDescent="0.25"/>
    <row r="64296" hidden="1" x14ac:dyDescent="0.25"/>
    <row r="64297" hidden="1" x14ac:dyDescent="0.25"/>
    <row r="64298" hidden="1" x14ac:dyDescent="0.25"/>
    <row r="64299" hidden="1" x14ac:dyDescent="0.25"/>
    <row r="64300" hidden="1" x14ac:dyDescent="0.25"/>
    <row r="64301" hidden="1" x14ac:dyDescent="0.25"/>
    <row r="64302" hidden="1" x14ac:dyDescent="0.25"/>
    <row r="64303" hidden="1" x14ac:dyDescent="0.25"/>
    <row r="64304" hidden="1" x14ac:dyDescent="0.25"/>
    <row r="64305" hidden="1" x14ac:dyDescent="0.25"/>
    <row r="64306" hidden="1" x14ac:dyDescent="0.25"/>
    <row r="64307" hidden="1" x14ac:dyDescent="0.25"/>
    <row r="64308" hidden="1" x14ac:dyDescent="0.25"/>
    <row r="64309" hidden="1" x14ac:dyDescent="0.25"/>
    <row r="64310" hidden="1" x14ac:dyDescent="0.25"/>
    <row r="64311" hidden="1" x14ac:dyDescent="0.25"/>
    <row r="64312" hidden="1" x14ac:dyDescent="0.25"/>
    <row r="64313" hidden="1" x14ac:dyDescent="0.25"/>
    <row r="64314" hidden="1" x14ac:dyDescent="0.25"/>
    <row r="64315" hidden="1" x14ac:dyDescent="0.25"/>
    <row r="64316" hidden="1" x14ac:dyDescent="0.25"/>
    <row r="64317" hidden="1" x14ac:dyDescent="0.25"/>
    <row r="64318" hidden="1" x14ac:dyDescent="0.25"/>
    <row r="64319" hidden="1" x14ac:dyDescent="0.25"/>
    <row r="64320" hidden="1" x14ac:dyDescent="0.25"/>
    <row r="64321" hidden="1" x14ac:dyDescent="0.25"/>
    <row r="64322" hidden="1" x14ac:dyDescent="0.25"/>
    <row r="64323" hidden="1" x14ac:dyDescent="0.25"/>
    <row r="64324" hidden="1" x14ac:dyDescent="0.25"/>
    <row r="64325" hidden="1" x14ac:dyDescent="0.25"/>
    <row r="64326" hidden="1" x14ac:dyDescent="0.25"/>
    <row r="64327" hidden="1" x14ac:dyDescent="0.25"/>
    <row r="64328" hidden="1" x14ac:dyDescent="0.25"/>
    <row r="64329" hidden="1" x14ac:dyDescent="0.25"/>
    <row r="64330" hidden="1" x14ac:dyDescent="0.25"/>
    <row r="64331" hidden="1" x14ac:dyDescent="0.25"/>
    <row r="64332" hidden="1" x14ac:dyDescent="0.25"/>
    <row r="64333" hidden="1" x14ac:dyDescent="0.25"/>
    <row r="64334" hidden="1" x14ac:dyDescent="0.25"/>
    <row r="64335" hidden="1" x14ac:dyDescent="0.25"/>
    <row r="64336" hidden="1" x14ac:dyDescent="0.25"/>
    <row r="64337" hidden="1" x14ac:dyDescent="0.25"/>
    <row r="64338" hidden="1" x14ac:dyDescent="0.25"/>
    <row r="64339" hidden="1" x14ac:dyDescent="0.25"/>
    <row r="64340" hidden="1" x14ac:dyDescent="0.25"/>
    <row r="64341" hidden="1" x14ac:dyDescent="0.25"/>
    <row r="64342" hidden="1" x14ac:dyDescent="0.25"/>
    <row r="64343" hidden="1" x14ac:dyDescent="0.25"/>
    <row r="64344" hidden="1" x14ac:dyDescent="0.25"/>
    <row r="64345" hidden="1" x14ac:dyDescent="0.25"/>
    <row r="64346" hidden="1" x14ac:dyDescent="0.25"/>
    <row r="64347" hidden="1" x14ac:dyDescent="0.25"/>
    <row r="64348" hidden="1" x14ac:dyDescent="0.25"/>
    <row r="64349" hidden="1" x14ac:dyDescent="0.25"/>
    <row r="64350" hidden="1" x14ac:dyDescent="0.25"/>
    <row r="64351" hidden="1" x14ac:dyDescent="0.25"/>
    <row r="64352" hidden="1" x14ac:dyDescent="0.25"/>
    <row r="64353" hidden="1" x14ac:dyDescent="0.25"/>
    <row r="64354" hidden="1" x14ac:dyDescent="0.25"/>
    <row r="64355" hidden="1" x14ac:dyDescent="0.25"/>
    <row r="64356" hidden="1" x14ac:dyDescent="0.25"/>
    <row r="64357" hidden="1" x14ac:dyDescent="0.25"/>
    <row r="64358" hidden="1" x14ac:dyDescent="0.25"/>
    <row r="64359" hidden="1" x14ac:dyDescent="0.25"/>
    <row r="64360" hidden="1" x14ac:dyDescent="0.25"/>
    <row r="64361" hidden="1" x14ac:dyDescent="0.25"/>
    <row r="64362" hidden="1" x14ac:dyDescent="0.25"/>
    <row r="64363" hidden="1" x14ac:dyDescent="0.25"/>
    <row r="64364" hidden="1" x14ac:dyDescent="0.25"/>
    <row r="64365" hidden="1" x14ac:dyDescent="0.25"/>
    <row r="64366" hidden="1" x14ac:dyDescent="0.25"/>
    <row r="64367" hidden="1" x14ac:dyDescent="0.25"/>
    <row r="64368" hidden="1" x14ac:dyDescent="0.25"/>
    <row r="64369" hidden="1" x14ac:dyDescent="0.25"/>
    <row r="64370" hidden="1" x14ac:dyDescent="0.25"/>
    <row r="64371" hidden="1" x14ac:dyDescent="0.25"/>
    <row r="64372" hidden="1" x14ac:dyDescent="0.25"/>
    <row r="64373" hidden="1" x14ac:dyDescent="0.25"/>
    <row r="64374" hidden="1" x14ac:dyDescent="0.25"/>
    <row r="64375" hidden="1" x14ac:dyDescent="0.25"/>
    <row r="64376" hidden="1" x14ac:dyDescent="0.25"/>
    <row r="64377" hidden="1" x14ac:dyDescent="0.25"/>
    <row r="64378" hidden="1" x14ac:dyDescent="0.25"/>
    <row r="64379" hidden="1" x14ac:dyDescent="0.25"/>
    <row r="64380" hidden="1" x14ac:dyDescent="0.25"/>
    <row r="64381" hidden="1" x14ac:dyDescent="0.25"/>
    <row r="64382" hidden="1" x14ac:dyDescent="0.25"/>
    <row r="64383" hidden="1" x14ac:dyDescent="0.25"/>
    <row r="64384" hidden="1" x14ac:dyDescent="0.25"/>
    <row r="64385" hidden="1" x14ac:dyDescent="0.25"/>
    <row r="64386" hidden="1" x14ac:dyDescent="0.25"/>
    <row r="64387" hidden="1" x14ac:dyDescent="0.25"/>
    <row r="64388" hidden="1" x14ac:dyDescent="0.25"/>
    <row r="64389" hidden="1" x14ac:dyDescent="0.25"/>
    <row r="64390" hidden="1" x14ac:dyDescent="0.25"/>
    <row r="64391" hidden="1" x14ac:dyDescent="0.25"/>
    <row r="64392" hidden="1" x14ac:dyDescent="0.25"/>
    <row r="64393" hidden="1" x14ac:dyDescent="0.25"/>
    <row r="64394" hidden="1" x14ac:dyDescent="0.25"/>
    <row r="64395" hidden="1" x14ac:dyDescent="0.25"/>
    <row r="64396" hidden="1" x14ac:dyDescent="0.25"/>
    <row r="64397" hidden="1" x14ac:dyDescent="0.25"/>
    <row r="64398" hidden="1" x14ac:dyDescent="0.25"/>
    <row r="64399" hidden="1" x14ac:dyDescent="0.25"/>
    <row r="64400" hidden="1" x14ac:dyDescent="0.25"/>
    <row r="64401" hidden="1" x14ac:dyDescent="0.25"/>
    <row r="64402" hidden="1" x14ac:dyDescent="0.25"/>
    <row r="64403" hidden="1" x14ac:dyDescent="0.25"/>
    <row r="64404" hidden="1" x14ac:dyDescent="0.25"/>
    <row r="64405" hidden="1" x14ac:dyDescent="0.25"/>
    <row r="64406" hidden="1" x14ac:dyDescent="0.25"/>
    <row r="64407" hidden="1" x14ac:dyDescent="0.25"/>
    <row r="64408" hidden="1" x14ac:dyDescent="0.25"/>
    <row r="64409" hidden="1" x14ac:dyDescent="0.25"/>
    <row r="64410" hidden="1" x14ac:dyDescent="0.25"/>
    <row r="64411" hidden="1" x14ac:dyDescent="0.25"/>
    <row r="64412" hidden="1" x14ac:dyDescent="0.25"/>
    <row r="64413" hidden="1" x14ac:dyDescent="0.25"/>
    <row r="64414" hidden="1" x14ac:dyDescent="0.25"/>
    <row r="64415" hidden="1" x14ac:dyDescent="0.25"/>
    <row r="64416" hidden="1" x14ac:dyDescent="0.25"/>
    <row r="64417" hidden="1" x14ac:dyDescent="0.25"/>
    <row r="64418" hidden="1" x14ac:dyDescent="0.25"/>
    <row r="64419" hidden="1" x14ac:dyDescent="0.25"/>
    <row r="64420" hidden="1" x14ac:dyDescent="0.25"/>
    <row r="64421" hidden="1" x14ac:dyDescent="0.25"/>
    <row r="64422" hidden="1" x14ac:dyDescent="0.25"/>
    <row r="64423" hidden="1" x14ac:dyDescent="0.25"/>
    <row r="64424" hidden="1" x14ac:dyDescent="0.25"/>
    <row r="64425" hidden="1" x14ac:dyDescent="0.25"/>
    <row r="64426" hidden="1" x14ac:dyDescent="0.25"/>
    <row r="64427" hidden="1" x14ac:dyDescent="0.25"/>
    <row r="64428" hidden="1" x14ac:dyDescent="0.25"/>
    <row r="64429" hidden="1" x14ac:dyDescent="0.25"/>
    <row r="64430" hidden="1" x14ac:dyDescent="0.25"/>
    <row r="64431" hidden="1" x14ac:dyDescent="0.25"/>
    <row r="64432" hidden="1" x14ac:dyDescent="0.25"/>
    <row r="64433" hidden="1" x14ac:dyDescent="0.25"/>
    <row r="64434" hidden="1" x14ac:dyDescent="0.25"/>
    <row r="64435" hidden="1" x14ac:dyDescent="0.25"/>
    <row r="64436" hidden="1" x14ac:dyDescent="0.25"/>
    <row r="64437" hidden="1" x14ac:dyDescent="0.25"/>
    <row r="64438" hidden="1" x14ac:dyDescent="0.25"/>
    <row r="64439" hidden="1" x14ac:dyDescent="0.25"/>
    <row r="64440" hidden="1" x14ac:dyDescent="0.25"/>
    <row r="64441" hidden="1" x14ac:dyDescent="0.25"/>
    <row r="64442" hidden="1" x14ac:dyDescent="0.25"/>
    <row r="64443" hidden="1" x14ac:dyDescent="0.25"/>
    <row r="64444" hidden="1" x14ac:dyDescent="0.25"/>
    <row r="64445" hidden="1" x14ac:dyDescent="0.25"/>
    <row r="64446" hidden="1" x14ac:dyDescent="0.25"/>
    <row r="64447" hidden="1" x14ac:dyDescent="0.25"/>
    <row r="64448" hidden="1" x14ac:dyDescent="0.25"/>
    <row r="64449" hidden="1" x14ac:dyDescent="0.25"/>
    <row r="64450" hidden="1" x14ac:dyDescent="0.25"/>
    <row r="64451" hidden="1" x14ac:dyDescent="0.25"/>
    <row r="64452" hidden="1" x14ac:dyDescent="0.25"/>
    <row r="64453" hidden="1" x14ac:dyDescent="0.25"/>
    <row r="64454" hidden="1" x14ac:dyDescent="0.25"/>
    <row r="64455" hidden="1" x14ac:dyDescent="0.25"/>
    <row r="64456" hidden="1" x14ac:dyDescent="0.25"/>
    <row r="64457" hidden="1" x14ac:dyDescent="0.25"/>
    <row r="64458" hidden="1" x14ac:dyDescent="0.25"/>
    <row r="64459" hidden="1" x14ac:dyDescent="0.25"/>
    <row r="64460" hidden="1" x14ac:dyDescent="0.25"/>
    <row r="64461" hidden="1" x14ac:dyDescent="0.25"/>
    <row r="64462" hidden="1" x14ac:dyDescent="0.25"/>
    <row r="64463" hidden="1" x14ac:dyDescent="0.25"/>
    <row r="64464" hidden="1" x14ac:dyDescent="0.25"/>
    <row r="64465" hidden="1" x14ac:dyDescent="0.25"/>
    <row r="64466" hidden="1" x14ac:dyDescent="0.25"/>
    <row r="64467" hidden="1" x14ac:dyDescent="0.25"/>
    <row r="64468" hidden="1" x14ac:dyDescent="0.25"/>
    <row r="64469" hidden="1" x14ac:dyDescent="0.25"/>
    <row r="64470" hidden="1" x14ac:dyDescent="0.25"/>
    <row r="64471" hidden="1" x14ac:dyDescent="0.25"/>
    <row r="64472" hidden="1" x14ac:dyDescent="0.25"/>
    <row r="64473" hidden="1" x14ac:dyDescent="0.25"/>
    <row r="64474" hidden="1" x14ac:dyDescent="0.25"/>
    <row r="64475" hidden="1" x14ac:dyDescent="0.25"/>
    <row r="64476" hidden="1" x14ac:dyDescent="0.25"/>
    <row r="64477" hidden="1" x14ac:dyDescent="0.25"/>
    <row r="64478" hidden="1" x14ac:dyDescent="0.25"/>
    <row r="64479" hidden="1" x14ac:dyDescent="0.25"/>
    <row r="64480" hidden="1" x14ac:dyDescent="0.25"/>
    <row r="64481" hidden="1" x14ac:dyDescent="0.25"/>
    <row r="64482" hidden="1" x14ac:dyDescent="0.25"/>
    <row r="64483" hidden="1" x14ac:dyDescent="0.25"/>
    <row r="64484" hidden="1" x14ac:dyDescent="0.25"/>
    <row r="64485" hidden="1" x14ac:dyDescent="0.25"/>
    <row r="64486" hidden="1" x14ac:dyDescent="0.25"/>
    <row r="64487" hidden="1" x14ac:dyDescent="0.25"/>
    <row r="64488" hidden="1" x14ac:dyDescent="0.25"/>
    <row r="64489" hidden="1" x14ac:dyDescent="0.25"/>
    <row r="64490" hidden="1" x14ac:dyDescent="0.25"/>
    <row r="64491" hidden="1" x14ac:dyDescent="0.25"/>
    <row r="64492" hidden="1" x14ac:dyDescent="0.25"/>
    <row r="64493" hidden="1" x14ac:dyDescent="0.25"/>
    <row r="64494" hidden="1" x14ac:dyDescent="0.25"/>
    <row r="64495" hidden="1" x14ac:dyDescent="0.25"/>
    <row r="64496" hidden="1" x14ac:dyDescent="0.25"/>
    <row r="64497" hidden="1" x14ac:dyDescent="0.25"/>
    <row r="64498" hidden="1" x14ac:dyDescent="0.25"/>
    <row r="64499" hidden="1" x14ac:dyDescent="0.25"/>
    <row r="64500" hidden="1" x14ac:dyDescent="0.25"/>
    <row r="64501" hidden="1" x14ac:dyDescent="0.25"/>
    <row r="64502" hidden="1" x14ac:dyDescent="0.25"/>
    <row r="64503" hidden="1" x14ac:dyDescent="0.25"/>
    <row r="64504" hidden="1" x14ac:dyDescent="0.25"/>
    <row r="64505" hidden="1" x14ac:dyDescent="0.25"/>
    <row r="64506" hidden="1" x14ac:dyDescent="0.25"/>
    <row r="64507" hidden="1" x14ac:dyDescent="0.25"/>
    <row r="64508" hidden="1" x14ac:dyDescent="0.25"/>
    <row r="64509" hidden="1" x14ac:dyDescent="0.25"/>
    <row r="64510" hidden="1" x14ac:dyDescent="0.25"/>
    <row r="64511" hidden="1" x14ac:dyDescent="0.25"/>
    <row r="64512" hidden="1" x14ac:dyDescent="0.25"/>
    <row r="64513" hidden="1" x14ac:dyDescent="0.25"/>
    <row r="64514" hidden="1" x14ac:dyDescent="0.25"/>
    <row r="64515" hidden="1" x14ac:dyDescent="0.25"/>
    <row r="64516" hidden="1" x14ac:dyDescent="0.25"/>
    <row r="64517" hidden="1" x14ac:dyDescent="0.25"/>
    <row r="64518" hidden="1" x14ac:dyDescent="0.25"/>
    <row r="64519" hidden="1" x14ac:dyDescent="0.25"/>
    <row r="64520" hidden="1" x14ac:dyDescent="0.25"/>
    <row r="64521" hidden="1" x14ac:dyDescent="0.25"/>
    <row r="64522" hidden="1" x14ac:dyDescent="0.25"/>
    <row r="64523" hidden="1" x14ac:dyDescent="0.25"/>
    <row r="64524" hidden="1" x14ac:dyDescent="0.25"/>
    <row r="64525" hidden="1" x14ac:dyDescent="0.25"/>
    <row r="64526" hidden="1" x14ac:dyDescent="0.25"/>
    <row r="64527" hidden="1" x14ac:dyDescent="0.25"/>
    <row r="64528" hidden="1" x14ac:dyDescent="0.25"/>
    <row r="64529" hidden="1" x14ac:dyDescent="0.25"/>
    <row r="64530" hidden="1" x14ac:dyDescent="0.25"/>
    <row r="64531" hidden="1" x14ac:dyDescent="0.25"/>
    <row r="64532" hidden="1" x14ac:dyDescent="0.25"/>
    <row r="64533" hidden="1" x14ac:dyDescent="0.25"/>
    <row r="64534" hidden="1" x14ac:dyDescent="0.25"/>
    <row r="64535" hidden="1" x14ac:dyDescent="0.25"/>
    <row r="64536" hidden="1" x14ac:dyDescent="0.25"/>
    <row r="64537" hidden="1" x14ac:dyDescent="0.25"/>
    <row r="64538" hidden="1" x14ac:dyDescent="0.25"/>
    <row r="64539" hidden="1" x14ac:dyDescent="0.25"/>
    <row r="64540" hidden="1" x14ac:dyDescent="0.25"/>
    <row r="64541" hidden="1" x14ac:dyDescent="0.25"/>
    <row r="64542" hidden="1" x14ac:dyDescent="0.25"/>
    <row r="64543" hidden="1" x14ac:dyDescent="0.25"/>
    <row r="64544" hidden="1" x14ac:dyDescent="0.25"/>
    <row r="64545" hidden="1" x14ac:dyDescent="0.25"/>
    <row r="64546" hidden="1" x14ac:dyDescent="0.25"/>
    <row r="64547" hidden="1" x14ac:dyDescent="0.25"/>
    <row r="64548" hidden="1" x14ac:dyDescent="0.25"/>
    <row r="64549" hidden="1" x14ac:dyDescent="0.25"/>
    <row r="64550" hidden="1" x14ac:dyDescent="0.25"/>
    <row r="64551" hidden="1" x14ac:dyDescent="0.25"/>
    <row r="64552" hidden="1" x14ac:dyDescent="0.25"/>
    <row r="64553" hidden="1" x14ac:dyDescent="0.25"/>
    <row r="64554" hidden="1" x14ac:dyDescent="0.25"/>
    <row r="64555" hidden="1" x14ac:dyDescent="0.25"/>
    <row r="64556" hidden="1" x14ac:dyDescent="0.25"/>
    <row r="64557" hidden="1" x14ac:dyDescent="0.25"/>
    <row r="64558" hidden="1" x14ac:dyDescent="0.25"/>
    <row r="64559" hidden="1" x14ac:dyDescent="0.25"/>
    <row r="64560" hidden="1" x14ac:dyDescent="0.25"/>
    <row r="64561" hidden="1" x14ac:dyDescent="0.25"/>
    <row r="64562" hidden="1" x14ac:dyDescent="0.25"/>
    <row r="64563" hidden="1" x14ac:dyDescent="0.25"/>
    <row r="64564" hidden="1" x14ac:dyDescent="0.25"/>
    <row r="64565" hidden="1" x14ac:dyDescent="0.25"/>
    <row r="64566" hidden="1" x14ac:dyDescent="0.25"/>
    <row r="64567" hidden="1" x14ac:dyDescent="0.25"/>
    <row r="64568" hidden="1" x14ac:dyDescent="0.25"/>
    <row r="64569" hidden="1" x14ac:dyDescent="0.25"/>
    <row r="64570" hidden="1" x14ac:dyDescent="0.25"/>
    <row r="64571" hidden="1" x14ac:dyDescent="0.25"/>
    <row r="64572" hidden="1" x14ac:dyDescent="0.25"/>
    <row r="64573" hidden="1" x14ac:dyDescent="0.25"/>
    <row r="64574" hidden="1" x14ac:dyDescent="0.25"/>
    <row r="64575" hidden="1" x14ac:dyDescent="0.25"/>
    <row r="64576" hidden="1" x14ac:dyDescent="0.25"/>
    <row r="64577" hidden="1" x14ac:dyDescent="0.25"/>
    <row r="64578" hidden="1" x14ac:dyDescent="0.25"/>
    <row r="64579" hidden="1" x14ac:dyDescent="0.25"/>
    <row r="64580" hidden="1" x14ac:dyDescent="0.25"/>
    <row r="64581" hidden="1" x14ac:dyDescent="0.25"/>
    <row r="64582" hidden="1" x14ac:dyDescent="0.25"/>
    <row r="64583" hidden="1" x14ac:dyDescent="0.25"/>
    <row r="64584" hidden="1" x14ac:dyDescent="0.25"/>
    <row r="64585" hidden="1" x14ac:dyDescent="0.25"/>
    <row r="64586" hidden="1" x14ac:dyDescent="0.25"/>
    <row r="64587" hidden="1" x14ac:dyDescent="0.25"/>
    <row r="64588" hidden="1" x14ac:dyDescent="0.25"/>
    <row r="64589" hidden="1" x14ac:dyDescent="0.25"/>
    <row r="64590" hidden="1" x14ac:dyDescent="0.25"/>
    <row r="64591" hidden="1" x14ac:dyDescent="0.25"/>
    <row r="64592" hidden="1" x14ac:dyDescent="0.25"/>
    <row r="64593" hidden="1" x14ac:dyDescent="0.25"/>
    <row r="64594" hidden="1" x14ac:dyDescent="0.25"/>
    <row r="64595" hidden="1" x14ac:dyDescent="0.25"/>
    <row r="64596" hidden="1" x14ac:dyDescent="0.25"/>
    <row r="64597" hidden="1" x14ac:dyDescent="0.25"/>
    <row r="64598" hidden="1" x14ac:dyDescent="0.25"/>
    <row r="64599" hidden="1" x14ac:dyDescent="0.25"/>
    <row r="64600" hidden="1" x14ac:dyDescent="0.25"/>
    <row r="64601" hidden="1" x14ac:dyDescent="0.25"/>
    <row r="64602" hidden="1" x14ac:dyDescent="0.25"/>
    <row r="64603" hidden="1" x14ac:dyDescent="0.25"/>
    <row r="64604" hidden="1" x14ac:dyDescent="0.25"/>
    <row r="64605" hidden="1" x14ac:dyDescent="0.25"/>
    <row r="64606" hidden="1" x14ac:dyDescent="0.25"/>
    <row r="64607" hidden="1" x14ac:dyDescent="0.25"/>
    <row r="64608" hidden="1" x14ac:dyDescent="0.25"/>
    <row r="64609" hidden="1" x14ac:dyDescent="0.25"/>
    <row r="64610" hidden="1" x14ac:dyDescent="0.25"/>
    <row r="64611" hidden="1" x14ac:dyDescent="0.25"/>
    <row r="64612" hidden="1" x14ac:dyDescent="0.25"/>
    <row r="64613" hidden="1" x14ac:dyDescent="0.25"/>
    <row r="64614" hidden="1" x14ac:dyDescent="0.25"/>
    <row r="64615" hidden="1" x14ac:dyDescent="0.25"/>
    <row r="64616" hidden="1" x14ac:dyDescent="0.25"/>
    <row r="64617" hidden="1" x14ac:dyDescent="0.25"/>
    <row r="64618" hidden="1" x14ac:dyDescent="0.25"/>
    <row r="64619" hidden="1" x14ac:dyDescent="0.25"/>
    <row r="64620" hidden="1" x14ac:dyDescent="0.25"/>
    <row r="64621" hidden="1" x14ac:dyDescent="0.25"/>
    <row r="64622" hidden="1" x14ac:dyDescent="0.25"/>
    <row r="64623" hidden="1" x14ac:dyDescent="0.25"/>
    <row r="64624" hidden="1" x14ac:dyDescent="0.25"/>
    <row r="64625" hidden="1" x14ac:dyDescent="0.25"/>
    <row r="64626" hidden="1" x14ac:dyDescent="0.25"/>
    <row r="64627" hidden="1" x14ac:dyDescent="0.25"/>
    <row r="64628" hidden="1" x14ac:dyDescent="0.25"/>
    <row r="64629" hidden="1" x14ac:dyDescent="0.25"/>
    <row r="64630" hidden="1" x14ac:dyDescent="0.25"/>
    <row r="64631" hidden="1" x14ac:dyDescent="0.25"/>
    <row r="64632" hidden="1" x14ac:dyDescent="0.25"/>
    <row r="64633" hidden="1" x14ac:dyDescent="0.25"/>
    <row r="64634" hidden="1" x14ac:dyDescent="0.25"/>
    <row r="64635" hidden="1" x14ac:dyDescent="0.25"/>
    <row r="64636" hidden="1" x14ac:dyDescent="0.25"/>
    <row r="64637" hidden="1" x14ac:dyDescent="0.25"/>
    <row r="64638" hidden="1" x14ac:dyDescent="0.25"/>
    <row r="64639" hidden="1" x14ac:dyDescent="0.25"/>
    <row r="64640" hidden="1" x14ac:dyDescent="0.25"/>
    <row r="64641" hidden="1" x14ac:dyDescent="0.25"/>
    <row r="64642" hidden="1" x14ac:dyDescent="0.25"/>
    <row r="64643" hidden="1" x14ac:dyDescent="0.25"/>
    <row r="64644" hidden="1" x14ac:dyDescent="0.25"/>
    <row r="64645" hidden="1" x14ac:dyDescent="0.25"/>
    <row r="64646" hidden="1" x14ac:dyDescent="0.25"/>
    <row r="64647" hidden="1" x14ac:dyDescent="0.25"/>
    <row r="64648" hidden="1" x14ac:dyDescent="0.25"/>
    <row r="64649" hidden="1" x14ac:dyDescent="0.25"/>
    <row r="64650" hidden="1" x14ac:dyDescent="0.25"/>
    <row r="64651" hidden="1" x14ac:dyDescent="0.25"/>
    <row r="64652" hidden="1" x14ac:dyDescent="0.25"/>
    <row r="64653" hidden="1" x14ac:dyDescent="0.25"/>
    <row r="64654" hidden="1" x14ac:dyDescent="0.25"/>
    <row r="64655" hidden="1" x14ac:dyDescent="0.25"/>
    <row r="64656" hidden="1" x14ac:dyDescent="0.25"/>
    <row r="64657" hidden="1" x14ac:dyDescent="0.25"/>
    <row r="64658" hidden="1" x14ac:dyDescent="0.25"/>
    <row r="64659" hidden="1" x14ac:dyDescent="0.25"/>
    <row r="64660" hidden="1" x14ac:dyDescent="0.25"/>
    <row r="64661" hidden="1" x14ac:dyDescent="0.25"/>
    <row r="64662" hidden="1" x14ac:dyDescent="0.25"/>
    <row r="64663" hidden="1" x14ac:dyDescent="0.25"/>
    <row r="64664" hidden="1" x14ac:dyDescent="0.25"/>
    <row r="64665" hidden="1" x14ac:dyDescent="0.25"/>
    <row r="64666" hidden="1" x14ac:dyDescent="0.25"/>
    <row r="64667" hidden="1" x14ac:dyDescent="0.25"/>
    <row r="64668" hidden="1" x14ac:dyDescent="0.25"/>
    <row r="64669" hidden="1" x14ac:dyDescent="0.25"/>
    <row r="64670" hidden="1" x14ac:dyDescent="0.25"/>
    <row r="64671" hidden="1" x14ac:dyDescent="0.25"/>
    <row r="64672" hidden="1" x14ac:dyDescent="0.25"/>
    <row r="64673" hidden="1" x14ac:dyDescent="0.25"/>
    <row r="64674" hidden="1" x14ac:dyDescent="0.25"/>
    <row r="64675" hidden="1" x14ac:dyDescent="0.25"/>
    <row r="64676" hidden="1" x14ac:dyDescent="0.25"/>
    <row r="64677" hidden="1" x14ac:dyDescent="0.25"/>
    <row r="64678" hidden="1" x14ac:dyDescent="0.25"/>
    <row r="64679" hidden="1" x14ac:dyDescent="0.25"/>
    <row r="64680" hidden="1" x14ac:dyDescent="0.25"/>
    <row r="64681" hidden="1" x14ac:dyDescent="0.25"/>
    <row r="64682" hidden="1" x14ac:dyDescent="0.25"/>
    <row r="64683" hidden="1" x14ac:dyDescent="0.25"/>
    <row r="64684" hidden="1" x14ac:dyDescent="0.25"/>
    <row r="64685" hidden="1" x14ac:dyDescent="0.25"/>
    <row r="64686" hidden="1" x14ac:dyDescent="0.25"/>
    <row r="64687" hidden="1" x14ac:dyDescent="0.25"/>
    <row r="64688" hidden="1" x14ac:dyDescent="0.25"/>
    <row r="64689" hidden="1" x14ac:dyDescent="0.25"/>
    <row r="64690" hidden="1" x14ac:dyDescent="0.25"/>
    <row r="64691" hidden="1" x14ac:dyDescent="0.25"/>
    <row r="64692" hidden="1" x14ac:dyDescent="0.25"/>
    <row r="64693" hidden="1" x14ac:dyDescent="0.25"/>
    <row r="64694" hidden="1" x14ac:dyDescent="0.25"/>
    <row r="64695" hidden="1" x14ac:dyDescent="0.25"/>
    <row r="64696" hidden="1" x14ac:dyDescent="0.25"/>
    <row r="64697" hidden="1" x14ac:dyDescent="0.25"/>
    <row r="64698" hidden="1" x14ac:dyDescent="0.25"/>
    <row r="64699" hidden="1" x14ac:dyDescent="0.25"/>
    <row r="64700" hidden="1" x14ac:dyDescent="0.25"/>
    <row r="64701" hidden="1" x14ac:dyDescent="0.25"/>
    <row r="64702" hidden="1" x14ac:dyDescent="0.25"/>
    <row r="64703" hidden="1" x14ac:dyDescent="0.25"/>
    <row r="64704" hidden="1" x14ac:dyDescent="0.25"/>
    <row r="64705" hidden="1" x14ac:dyDescent="0.25"/>
    <row r="64706" hidden="1" x14ac:dyDescent="0.25"/>
    <row r="64707" hidden="1" x14ac:dyDescent="0.25"/>
    <row r="64708" hidden="1" x14ac:dyDescent="0.25"/>
    <row r="64709" hidden="1" x14ac:dyDescent="0.25"/>
    <row r="64710" hidden="1" x14ac:dyDescent="0.25"/>
    <row r="64711" hidden="1" x14ac:dyDescent="0.25"/>
    <row r="64712" hidden="1" x14ac:dyDescent="0.25"/>
    <row r="64713" hidden="1" x14ac:dyDescent="0.25"/>
    <row r="64714" hidden="1" x14ac:dyDescent="0.25"/>
    <row r="64715" hidden="1" x14ac:dyDescent="0.25"/>
    <row r="64716" hidden="1" x14ac:dyDescent="0.25"/>
    <row r="64717" hidden="1" x14ac:dyDescent="0.25"/>
    <row r="64718" hidden="1" x14ac:dyDescent="0.25"/>
    <row r="64719" hidden="1" x14ac:dyDescent="0.25"/>
    <row r="64720" hidden="1" x14ac:dyDescent="0.25"/>
    <row r="64721" hidden="1" x14ac:dyDescent="0.25"/>
    <row r="64722" hidden="1" x14ac:dyDescent="0.25"/>
    <row r="64723" hidden="1" x14ac:dyDescent="0.25"/>
    <row r="64724" hidden="1" x14ac:dyDescent="0.25"/>
    <row r="64725" hidden="1" x14ac:dyDescent="0.25"/>
    <row r="64726" hidden="1" x14ac:dyDescent="0.25"/>
    <row r="64727" hidden="1" x14ac:dyDescent="0.25"/>
    <row r="64728" hidden="1" x14ac:dyDescent="0.25"/>
    <row r="64729" hidden="1" x14ac:dyDescent="0.25"/>
    <row r="64730" hidden="1" x14ac:dyDescent="0.25"/>
    <row r="64731" hidden="1" x14ac:dyDescent="0.25"/>
    <row r="64732" hidden="1" x14ac:dyDescent="0.25"/>
    <row r="64733" hidden="1" x14ac:dyDescent="0.25"/>
    <row r="64734" hidden="1" x14ac:dyDescent="0.25"/>
    <row r="64735" hidden="1" x14ac:dyDescent="0.25"/>
    <row r="64736" hidden="1" x14ac:dyDescent="0.25"/>
    <row r="64737" hidden="1" x14ac:dyDescent="0.25"/>
    <row r="64738" hidden="1" x14ac:dyDescent="0.25"/>
    <row r="64739" hidden="1" x14ac:dyDescent="0.25"/>
    <row r="64740" hidden="1" x14ac:dyDescent="0.25"/>
    <row r="64741" hidden="1" x14ac:dyDescent="0.25"/>
    <row r="64742" hidden="1" x14ac:dyDescent="0.25"/>
    <row r="64743" hidden="1" x14ac:dyDescent="0.25"/>
    <row r="64744" hidden="1" x14ac:dyDescent="0.25"/>
    <row r="64745" hidden="1" x14ac:dyDescent="0.25"/>
    <row r="64746" hidden="1" x14ac:dyDescent="0.25"/>
    <row r="64747" hidden="1" x14ac:dyDescent="0.25"/>
    <row r="64748" hidden="1" x14ac:dyDescent="0.25"/>
    <row r="64749" hidden="1" x14ac:dyDescent="0.25"/>
    <row r="64750" hidden="1" x14ac:dyDescent="0.25"/>
    <row r="64751" hidden="1" x14ac:dyDescent="0.25"/>
    <row r="64752" hidden="1" x14ac:dyDescent="0.25"/>
    <row r="64753" hidden="1" x14ac:dyDescent="0.25"/>
    <row r="64754" hidden="1" x14ac:dyDescent="0.25"/>
    <row r="64755" hidden="1" x14ac:dyDescent="0.25"/>
    <row r="64756" hidden="1" x14ac:dyDescent="0.25"/>
    <row r="64757" hidden="1" x14ac:dyDescent="0.25"/>
    <row r="64758" hidden="1" x14ac:dyDescent="0.25"/>
    <row r="64759" hidden="1" x14ac:dyDescent="0.25"/>
    <row r="64760" hidden="1" x14ac:dyDescent="0.25"/>
    <row r="64761" hidden="1" x14ac:dyDescent="0.25"/>
    <row r="64762" hidden="1" x14ac:dyDescent="0.25"/>
    <row r="64763" hidden="1" x14ac:dyDescent="0.25"/>
    <row r="64764" hidden="1" x14ac:dyDescent="0.25"/>
    <row r="64765" hidden="1" x14ac:dyDescent="0.25"/>
    <row r="64766" hidden="1" x14ac:dyDescent="0.25"/>
    <row r="64767" hidden="1" x14ac:dyDescent="0.25"/>
    <row r="64768" hidden="1" x14ac:dyDescent="0.25"/>
    <row r="64769" hidden="1" x14ac:dyDescent="0.25"/>
    <row r="64770" hidden="1" x14ac:dyDescent="0.25"/>
    <row r="64771" hidden="1" x14ac:dyDescent="0.25"/>
    <row r="64772" hidden="1" x14ac:dyDescent="0.25"/>
    <row r="64773" hidden="1" x14ac:dyDescent="0.25"/>
    <row r="64774" hidden="1" x14ac:dyDescent="0.25"/>
    <row r="64775" hidden="1" x14ac:dyDescent="0.25"/>
    <row r="64776" hidden="1" x14ac:dyDescent="0.25"/>
    <row r="64777" hidden="1" x14ac:dyDescent="0.25"/>
    <row r="64778" hidden="1" x14ac:dyDescent="0.25"/>
    <row r="64779" hidden="1" x14ac:dyDescent="0.25"/>
    <row r="64780" hidden="1" x14ac:dyDescent="0.25"/>
    <row r="64781" hidden="1" x14ac:dyDescent="0.25"/>
    <row r="64782" hidden="1" x14ac:dyDescent="0.25"/>
    <row r="64783" hidden="1" x14ac:dyDescent="0.25"/>
    <row r="64784" hidden="1" x14ac:dyDescent="0.25"/>
    <row r="64785" hidden="1" x14ac:dyDescent="0.25"/>
    <row r="64786" hidden="1" x14ac:dyDescent="0.25"/>
    <row r="64787" hidden="1" x14ac:dyDescent="0.25"/>
    <row r="64788" hidden="1" x14ac:dyDescent="0.25"/>
    <row r="64789" hidden="1" x14ac:dyDescent="0.25"/>
    <row r="64790" hidden="1" x14ac:dyDescent="0.25"/>
    <row r="64791" hidden="1" x14ac:dyDescent="0.25"/>
    <row r="64792" hidden="1" x14ac:dyDescent="0.25"/>
    <row r="64793" hidden="1" x14ac:dyDescent="0.25"/>
    <row r="64794" hidden="1" x14ac:dyDescent="0.25"/>
    <row r="64795" hidden="1" x14ac:dyDescent="0.25"/>
    <row r="64796" hidden="1" x14ac:dyDescent="0.25"/>
    <row r="64797" hidden="1" x14ac:dyDescent="0.25"/>
    <row r="64798" hidden="1" x14ac:dyDescent="0.25"/>
    <row r="64799" hidden="1" x14ac:dyDescent="0.25"/>
    <row r="64800" hidden="1" x14ac:dyDescent="0.25"/>
    <row r="64801" hidden="1" x14ac:dyDescent="0.25"/>
    <row r="64802" hidden="1" x14ac:dyDescent="0.25"/>
    <row r="64803" hidden="1" x14ac:dyDescent="0.25"/>
    <row r="64804" hidden="1" x14ac:dyDescent="0.25"/>
    <row r="64805" hidden="1" x14ac:dyDescent="0.25"/>
    <row r="64806" hidden="1" x14ac:dyDescent="0.25"/>
    <row r="64807" hidden="1" x14ac:dyDescent="0.25"/>
    <row r="64808" hidden="1" x14ac:dyDescent="0.25"/>
    <row r="64809" hidden="1" x14ac:dyDescent="0.25"/>
    <row r="64810" hidden="1" x14ac:dyDescent="0.25"/>
    <row r="64811" hidden="1" x14ac:dyDescent="0.25"/>
    <row r="64812" hidden="1" x14ac:dyDescent="0.25"/>
    <row r="64813" hidden="1" x14ac:dyDescent="0.25"/>
    <row r="64814" hidden="1" x14ac:dyDescent="0.25"/>
    <row r="64815" hidden="1" x14ac:dyDescent="0.25"/>
    <row r="64816" hidden="1" x14ac:dyDescent="0.25"/>
    <row r="64817" hidden="1" x14ac:dyDescent="0.25"/>
    <row r="64818" hidden="1" x14ac:dyDescent="0.25"/>
    <row r="64819" hidden="1" x14ac:dyDescent="0.25"/>
    <row r="64820" hidden="1" x14ac:dyDescent="0.25"/>
    <row r="64821" hidden="1" x14ac:dyDescent="0.25"/>
    <row r="64822" hidden="1" x14ac:dyDescent="0.25"/>
    <row r="64823" hidden="1" x14ac:dyDescent="0.25"/>
    <row r="64824" hidden="1" x14ac:dyDescent="0.25"/>
    <row r="64825" hidden="1" x14ac:dyDescent="0.25"/>
    <row r="64826" hidden="1" x14ac:dyDescent="0.25"/>
    <row r="64827" hidden="1" x14ac:dyDescent="0.25"/>
    <row r="64828" hidden="1" x14ac:dyDescent="0.25"/>
    <row r="64829" hidden="1" x14ac:dyDescent="0.25"/>
    <row r="64830" hidden="1" x14ac:dyDescent="0.25"/>
    <row r="64831" hidden="1" x14ac:dyDescent="0.25"/>
    <row r="64832" hidden="1" x14ac:dyDescent="0.25"/>
    <row r="64833" hidden="1" x14ac:dyDescent="0.25"/>
    <row r="64834" hidden="1" x14ac:dyDescent="0.25"/>
    <row r="64835" hidden="1" x14ac:dyDescent="0.25"/>
    <row r="64836" hidden="1" x14ac:dyDescent="0.25"/>
    <row r="64837" hidden="1" x14ac:dyDescent="0.25"/>
    <row r="64838" hidden="1" x14ac:dyDescent="0.25"/>
    <row r="64839" hidden="1" x14ac:dyDescent="0.25"/>
    <row r="64840" hidden="1" x14ac:dyDescent="0.25"/>
    <row r="64841" hidden="1" x14ac:dyDescent="0.25"/>
    <row r="64842" hidden="1" x14ac:dyDescent="0.25"/>
    <row r="64843" hidden="1" x14ac:dyDescent="0.25"/>
    <row r="64844" hidden="1" x14ac:dyDescent="0.25"/>
    <row r="64845" hidden="1" x14ac:dyDescent="0.25"/>
    <row r="64846" hidden="1" x14ac:dyDescent="0.25"/>
    <row r="64847" hidden="1" x14ac:dyDescent="0.25"/>
    <row r="64848" hidden="1" x14ac:dyDescent="0.25"/>
    <row r="64849" hidden="1" x14ac:dyDescent="0.25"/>
    <row r="64850" hidden="1" x14ac:dyDescent="0.25"/>
    <row r="64851" hidden="1" x14ac:dyDescent="0.25"/>
    <row r="64852" hidden="1" x14ac:dyDescent="0.25"/>
    <row r="64853" hidden="1" x14ac:dyDescent="0.25"/>
    <row r="64854" hidden="1" x14ac:dyDescent="0.25"/>
    <row r="64855" hidden="1" x14ac:dyDescent="0.25"/>
    <row r="64856" hidden="1" x14ac:dyDescent="0.25"/>
    <row r="64857" hidden="1" x14ac:dyDescent="0.25"/>
    <row r="64858" hidden="1" x14ac:dyDescent="0.25"/>
    <row r="64859" hidden="1" x14ac:dyDescent="0.25"/>
    <row r="64860" hidden="1" x14ac:dyDescent="0.25"/>
    <row r="64861" hidden="1" x14ac:dyDescent="0.25"/>
    <row r="64862" hidden="1" x14ac:dyDescent="0.25"/>
    <row r="64863" hidden="1" x14ac:dyDescent="0.25"/>
    <row r="64864" hidden="1" x14ac:dyDescent="0.25"/>
    <row r="64865" hidden="1" x14ac:dyDescent="0.25"/>
    <row r="64866" hidden="1" x14ac:dyDescent="0.25"/>
    <row r="64867" hidden="1" x14ac:dyDescent="0.25"/>
    <row r="64868" hidden="1" x14ac:dyDescent="0.25"/>
    <row r="64869" hidden="1" x14ac:dyDescent="0.25"/>
    <row r="64870" hidden="1" x14ac:dyDescent="0.25"/>
    <row r="64871" hidden="1" x14ac:dyDescent="0.25"/>
    <row r="64872" hidden="1" x14ac:dyDescent="0.25"/>
    <row r="64873" hidden="1" x14ac:dyDescent="0.25"/>
    <row r="64874" hidden="1" x14ac:dyDescent="0.25"/>
    <row r="64875" hidden="1" x14ac:dyDescent="0.25"/>
    <row r="64876" hidden="1" x14ac:dyDescent="0.25"/>
    <row r="64877" hidden="1" x14ac:dyDescent="0.25"/>
    <row r="64878" hidden="1" x14ac:dyDescent="0.25"/>
    <row r="64879" hidden="1" x14ac:dyDescent="0.25"/>
    <row r="64880" hidden="1" x14ac:dyDescent="0.25"/>
    <row r="64881" hidden="1" x14ac:dyDescent="0.25"/>
    <row r="64882" hidden="1" x14ac:dyDescent="0.25"/>
    <row r="64883" hidden="1" x14ac:dyDescent="0.25"/>
    <row r="64884" hidden="1" x14ac:dyDescent="0.25"/>
    <row r="64885" hidden="1" x14ac:dyDescent="0.25"/>
    <row r="64886" hidden="1" x14ac:dyDescent="0.25"/>
    <row r="64887" hidden="1" x14ac:dyDescent="0.25"/>
    <row r="64888" hidden="1" x14ac:dyDescent="0.25"/>
    <row r="64889" hidden="1" x14ac:dyDescent="0.25"/>
    <row r="64890" hidden="1" x14ac:dyDescent="0.25"/>
    <row r="64891" hidden="1" x14ac:dyDescent="0.25"/>
    <row r="64892" hidden="1" x14ac:dyDescent="0.25"/>
    <row r="64893" hidden="1" x14ac:dyDescent="0.25"/>
    <row r="64894" hidden="1" x14ac:dyDescent="0.25"/>
    <row r="64895" hidden="1" x14ac:dyDescent="0.25"/>
    <row r="64896" hidden="1" x14ac:dyDescent="0.25"/>
    <row r="64897" hidden="1" x14ac:dyDescent="0.25"/>
    <row r="64898" hidden="1" x14ac:dyDescent="0.25"/>
    <row r="64899" hidden="1" x14ac:dyDescent="0.25"/>
    <row r="64900" hidden="1" x14ac:dyDescent="0.25"/>
    <row r="64901" hidden="1" x14ac:dyDescent="0.25"/>
    <row r="64902" hidden="1" x14ac:dyDescent="0.25"/>
    <row r="64903" hidden="1" x14ac:dyDescent="0.25"/>
    <row r="64904" hidden="1" x14ac:dyDescent="0.25"/>
    <row r="64905" hidden="1" x14ac:dyDescent="0.25"/>
    <row r="64906" hidden="1" x14ac:dyDescent="0.25"/>
    <row r="64907" hidden="1" x14ac:dyDescent="0.25"/>
    <row r="64908" hidden="1" x14ac:dyDescent="0.25"/>
    <row r="64909" hidden="1" x14ac:dyDescent="0.25"/>
    <row r="64910" hidden="1" x14ac:dyDescent="0.25"/>
    <row r="64911" hidden="1" x14ac:dyDescent="0.25"/>
    <row r="64912" hidden="1" x14ac:dyDescent="0.25"/>
    <row r="64913" hidden="1" x14ac:dyDescent="0.25"/>
    <row r="64914" hidden="1" x14ac:dyDescent="0.25"/>
    <row r="64915" hidden="1" x14ac:dyDescent="0.25"/>
    <row r="64916" hidden="1" x14ac:dyDescent="0.25"/>
    <row r="64917" hidden="1" x14ac:dyDescent="0.25"/>
    <row r="64918" hidden="1" x14ac:dyDescent="0.25"/>
    <row r="64919" hidden="1" x14ac:dyDescent="0.25"/>
    <row r="64920" hidden="1" x14ac:dyDescent="0.25"/>
    <row r="64921" hidden="1" x14ac:dyDescent="0.25"/>
    <row r="64922" hidden="1" x14ac:dyDescent="0.25"/>
    <row r="64923" hidden="1" x14ac:dyDescent="0.25"/>
    <row r="64924" hidden="1" x14ac:dyDescent="0.25"/>
    <row r="64925" hidden="1" x14ac:dyDescent="0.25"/>
    <row r="64926" hidden="1" x14ac:dyDescent="0.25"/>
    <row r="64927" hidden="1" x14ac:dyDescent="0.25"/>
    <row r="64928" hidden="1" x14ac:dyDescent="0.25"/>
    <row r="64929" hidden="1" x14ac:dyDescent="0.25"/>
    <row r="64930" hidden="1" x14ac:dyDescent="0.25"/>
    <row r="64931" hidden="1" x14ac:dyDescent="0.25"/>
    <row r="64932" hidden="1" x14ac:dyDescent="0.25"/>
    <row r="64933" hidden="1" x14ac:dyDescent="0.25"/>
    <row r="64934" hidden="1" x14ac:dyDescent="0.25"/>
    <row r="64935" hidden="1" x14ac:dyDescent="0.25"/>
    <row r="64936" hidden="1" x14ac:dyDescent="0.25"/>
    <row r="64937" hidden="1" x14ac:dyDescent="0.25"/>
    <row r="64938" hidden="1" x14ac:dyDescent="0.25"/>
    <row r="64939" hidden="1" x14ac:dyDescent="0.25"/>
    <row r="64940" hidden="1" x14ac:dyDescent="0.25"/>
    <row r="64941" hidden="1" x14ac:dyDescent="0.25"/>
    <row r="64942" hidden="1" x14ac:dyDescent="0.25"/>
    <row r="64943" hidden="1" x14ac:dyDescent="0.25"/>
    <row r="64944" hidden="1" x14ac:dyDescent="0.25"/>
    <row r="64945" hidden="1" x14ac:dyDescent="0.25"/>
    <row r="64946" hidden="1" x14ac:dyDescent="0.25"/>
    <row r="64947" hidden="1" x14ac:dyDescent="0.25"/>
    <row r="64948" hidden="1" x14ac:dyDescent="0.25"/>
    <row r="64949" hidden="1" x14ac:dyDescent="0.25"/>
    <row r="64950" hidden="1" x14ac:dyDescent="0.25"/>
    <row r="64951" hidden="1" x14ac:dyDescent="0.25"/>
    <row r="64952" hidden="1" x14ac:dyDescent="0.25"/>
    <row r="64953" hidden="1" x14ac:dyDescent="0.25"/>
    <row r="64954" hidden="1" x14ac:dyDescent="0.25"/>
    <row r="64955" hidden="1" x14ac:dyDescent="0.25"/>
    <row r="64956" hidden="1" x14ac:dyDescent="0.25"/>
    <row r="64957" hidden="1" x14ac:dyDescent="0.25"/>
    <row r="64958" hidden="1" x14ac:dyDescent="0.25"/>
    <row r="64959" hidden="1" x14ac:dyDescent="0.25"/>
    <row r="64960" hidden="1" x14ac:dyDescent="0.25"/>
    <row r="64961" hidden="1" x14ac:dyDescent="0.25"/>
    <row r="64962" hidden="1" x14ac:dyDescent="0.25"/>
    <row r="64963" hidden="1" x14ac:dyDescent="0.25"/>
    <row r="64964" hidden="1" x14ac:dyDescent="0.25"/>
    <row r="64965" hidden="1" x14ac:dyDescent="0.25"/>
    <row r="64966" hidden="1" x14ac:dyDescent="0.25"/>
    <row r="64967" hidden="1" x14ac:dyDescent="0.25"/>
    <row r="64968" hidden="1" x14ac:dyDescent="0.25"/>
    <row r="64969" hidden="1" x14ac:dyDescent="0.25"/>
    <row r="64970" hidden="1" x14ac:dyDescent="0.25"/>
    <row r="64971" hidden="1" x14ac:dyDescent="0.25"/>
    <row r="64972" hidden="1" x14ac:dyDescent="0.25"/>
    <row r="64973" hidden="1" x14ac:dyDescent="0.25"/>
    <row r="64974" hidden="1" x14ac:dyDescent="0.25"/>
    <row r="64975" hidden="1" x14ac:dyDescent="0.25"/>
    <row r="64976" hidden="1" x14ac:dyDescent="0.25"/>
    <row r="64977" hidden="1" x14ac:dyDescent="0.25"/>
    <row r="64978" hidden="1" x14ac:dyDescent="0.25"/>
    <row r="64979" hidden="1" x14ac:dyDescent="0.25"/>
    <row r="64980" hidden="1" x14ac:dyDescent="0.25"/>
    <row r="64981" hidden="1" x14ac:dyDescent="0.25"/>
    <row r="64982" hidden="1" x14ac:dyDescent="0.25"/>
    <row r="64983" hidden="1" x14ac:dyDescent="0.25"/>
    <row r="64984" hidden="1" x14ac:dyDescent="0.25"/>
    <row r="64985" hidden="1" x14ac:dyDescent="0.25"/>
    <row r="64986" hidden="1" x14ac:dyDescent="0.25"/>
    <row r="64987" hidden="1" x14ac:dyDescent="0.25"/>
    <row r="64988" hidden="1" x14ac:dyDescent="0.25"/>
    <row r="64989" hidden="1" x14ac:dyDescent="0.25"/>
    <row r="64990" hidden="1" x14ac:dyDescent="0.25"/>
    <row r="64991" hidden="1" x14ac:dyDescent="0.25"/>
    <row r="64992" hidden="1" x14ac:dyDescent="0.25"/>
    <row r="64993" hidden="1" x14ac:dyDescent="0.25"/>
    <row r="64994" hidden="1" x14ac:dyDescent="0.25"/>
    <row r="64995" hidden="1" x14ac:dyDescent="0.25"/>
    <row r="64996" hidden="1" x14ac:dyDescent="0.25"/>
    <row r="64997" hidden="1" x14ac:dyDescent="0.25"/>
    <row r="64998" hidden="1" x14ac:dyDescent="0.25"/>
    <row r="64999" hidden="1" x14ac:dyDescent="0.25"/>
    <row r="65000" hidden="1" x14ac:dyDescent="0.25"/>
    <row r="65001" hidden="1" x14ac:dyDescent="0.25"/>
    <row r="65002" hidden="1" x14ac:dyDescent="0.25"/>
    <row r="65003" hidden="1" x14ac:dyDescent="0.25"/>
    <row r="65004" hidden="1" x14ac:dyDescent="0.25"/>
    <row r="65005" hidden="1" x14ac:dyDescent="0.25"/>
    <row r="65006" hidden="1" x14ac:dyDescent="0.25"/>
    <row r="65007" hidden="1" x14ac:dyDescent="0.25"/>
    <row r="65008" hidden="1" x14ac:dyDescent="0.25"/>
    <row r="65009" hidden="1" x14ac:dyDescent="0.25"/>
    <row r="65010" hidden="1" x14ac:dyDescent="0.25"/>
    <row r="65011" hidden="1" x14ac:dyDescent="0.25"/>
    <row r="65012" hidden="1" x14ac:dyDescent="0.25"/>
    <row r="65013" hidden="1" x14ac:dyDescent="0.25"/>
    <row r="65014" hidden="1" x14ac:dyDescent="0.25"/>
    <row r="65015" hidden="1" x14ac:dyDescent="0.25"/>
    <row r="65016" hidden="1" x14ac:dyDescent="0.25"/>
    <row r="65017" hidden="1" x14ac:dyDescent="0.25"/>
    <row r="65018" hidden="1" x14ac:dyDescent="0.25"/>
    <row r="65019" hidden="1" x14ac:dyDescent="0.25"/>
    <row r="65020" hidden="1" x14ac:dyDescent="0.25"/>
    <row r="65021" hidden="1" x14ac:dyDescent="0.25"/>
    <row r="65022" hidden="1" x14ac:dyDescent="0.25"/>
    <row r="65023" hidden="1" x14ac:dyDescent="0.25"/>
    <row r="65024" hidden="1" x14ac:dyDescent="0.25"/>
    <row r="65025" hidden="1" x14ac:dyDescent="0.25"/>
    <row r="65026" hidden="1" x14ac:dyDescent="0.25"/>
    <row r="65027" hidden="1" x14ac:dyDescent="0.25"/>
    <row r="65028" hidden="1" x14ac:dyDescent="0.25"/>
    <row r="65029" hidden="1" x14ac:dyDescent="0.25"/>
    <row r="65030" hidden="1" x14ac:dyDescent="0.25"/>
    <row r="65031" hidden="1" x14ac:dyDescent="0.25"/>
    <row r="65032" hidden="1" x14ac:dyDescent="0.25"/>
    <row r="65033" hidden="1" x14ac:dyDescent="0.25"/>
    <row r="65034" hidden="1" x14ac:dyDescent="0.25"/>
    <row r="65035" hidden="1" x14ac:dyDescent="0.25"/>
    <row r="65036" hidden="1" x14ac:dyDescent="0.25"/>
    <row r="65037" hidden="1" x14ac:dyDescent="0.25"/>
    <row r="65038" hidden="1" x14ac:dyDescent="0.25"/>
    <row r="65039" hidden="1" x14ac:dyDescent="0.25"/>
    <row r="65040" hidden="1" x14ac:dyDescent="0.25"/>
    <row r="65041" hidden="1" x14ac:dyDescent="0.25"/>
    <row r="65042" hidden="1" x14ac:dyDescent="0.25"/>
    <row r="65043" hidden="1" x14ac:dyDescent="0.25"/>
    <row r="65044" hidden="1" x14ac:dyDescent="0.25"/>
    <row r="65045" hidden="1" x14ac:dyDescent="0.25"/>
    <row r="65046" hidden="1" x14ac:dyDescent="0.25"/>
    <row r="65047" hidden="1" x14ac:dyDescent="0.25"/>
    <row r="65048" hidden="1" x14ac:dyDescent="0.25"/>
    <row r="65049" hidden="1" x14ac:dyDescent="0.25"/>
    <row r="65050" hidden="1" x14ac:dyDescent="0.25"/>
    <row r="65051" hidden="1" x14ac:dyDescent="0.25"/>
    <row r="65052" hidden="1" x14ac:dyDescent="0.25"/>
    <row r="65053" hidden="1" x14ac:dyDescent="0.25"/>
    <row r="65054" hidden="1" x14ac:dyDescent="0.25"/>
    <row r="65055" hidden="1" x14ac:dyDescent="0.25"/>
    <row r="65056" hidden="1" x14ac:dyDescent="0.25"/>
    <row r="65057" hidden="1" x14ac:dyDescent="0.25"/>
    <row r="65058" hidden="1" x14ac:dyDescent="0.25"/>
    <row r="65059" hidden="1" x14ac:dyDescent="0.25"/>
    <row r="65060" hidden="1" x14ac:dyDescent="0.25"/>
    <row r="65061" hidden="1" x14ac:dyDescent="0.25"/>
    <row r="65062" hidden="1" x14ac:dyDescent="0.25"/>
    <row r="65063" hidden="1" x14ac:dyDescent="0.25"/>
    <row r="65064" hidden="1" x14ac:dyDescent="0.25"/>
    <row r="65065" hidden="1" x14ac:dyDescent="0.25"/>
    <row r="65066" hidden="1" x14ac:dyDescent="0.25"/>
    <row r="65067" hidden="1" x14ac:dyDescent="0.25"/>
    <row r="65068" hidden="1" x14ac:dyDescent="0.25"/>
    <row r="65069" hidden="1" x14ac:dyDescent="0.25"/>
    <row r="65070" hidden="1" x14ac:dyDescent="0.25"/>
    <row r="65071" hidden="1" x14ac:dyDescent="0.25"/>
    <row r="65072" hidden="1" x14ac:dyDescent="0.25"/>
    <row r="65073" hidden="1" x14ac:dyDescent="0.25"/>
    <row r="65074" hidden="1" x14ac:dyDescent="0.25"/>
    <row r="65075" hidden="1" x14ac:dyDescent="0.25"/>
    <row r="65076" hidden="1" x14ac:dyDescent="0.25"/>
    <row r="65077" hidden="1" x14ac:dyDescent="0.25"/>
    <row r="65078" hidden="1" x14ac:dyDescent="0.25"/>
    <row r="65079" hidden="1" x14ac:dyDescent="0.25"/>
    <row r="65080" hidden="1" x14ac:dyDescent="0.25"/>
    <row r="65081" hidden="1" x14ac:dyDescent="0.25"/>
    <row r="65082" hidden="1" x14ac:dyDescent="0.25"/>
    <row r="65083" hidden="1" x14ac:dyDescent="0.25"/>
    <row r="65084" hidden="1" x14ac:dyDescent="0.25"/>
    <row r="65085" hidden="1" x14ac:dyDescent="0.25"/>
    <row r="65086" hidden="1" x14ac:dyDescent="0.25"/>
    <row r="65087" hidden="1" x14ac:dyDescent="0.25"/>
    <row r="65088" hidden="1" x14ac:dyDescent="0.25"/>
    <row r="65089" hidden="1" x14ac:dyDescent="0.25"/>
    <row r="65090" hidden="1" x14ac:dyDescent="0.25"/>
    <row r="65091" hidden="1" x14ac:dyDescent="0.25"/>
    <row r="65092" hidden="1" x14ac:dyDescent="0.25"/>
    <row r="65093" hidden="1" x14ac:dyDescent="0.25"/>
    <row r="65094" hidden="1" x14ac:dyDescent="0.25"/>
    <row r="65095" hidden="1" x14ac:dyDescent="0.25"/>
    <row r="65096" hidden="1" x14ac:dyDescent="0.25"/>
    <row r="65097" hidden="1" x14ac:dyDescent="0.25"/>
    <row r="65098" hidden="1" x14ac:dyDescent="0.25"/>
    <row r="65099" hidden="1" x14ac:dyDescent="0.25"/>
    <row r="65100" hidden="1" x14ac:dyDescent="0.25"/>
    <row r="65101" hidden="1" x14ac:dyDescent="0.25"/>
    <row r="65102" hidden="1" x14ac:dyDescent="0.25"/>
    <row r="65103" hidden="1" x14ac:dyDescent="0.25"/>
    <row r="65104" hidden="1" x14ac:dyDescent="0.25"/>
    <row r="65105" hidden="1" x14ac:dyDescent="0.25"/>
    <row r="65106" hidden="1" x14ac:dyDescent="0.25"/>
    <row r="65107" hidden="1" x14ac:dyDescent="0.25"/>
    <row r="65108" hidden="1" x14ac:dyDescent="0.25"/>
    <row r="65109" hidden="1" x14ac:dyDescent="0.25"/>
    <row r="65110" hidden="1" x14ac:dyDescent="0.25"/>
    <row r="65111" hidden="1" x14ac:dyDescent="0.25"/>
    <row r="65112" hidden="1" x14ac:dyDescent="0.25"/>
    <row r="65113" hidden="1" x14ac:dyDescent="0.25"/>
    <row r="65114" hidden="1" x14ac:dyDescent="0.25"/>
    <row r="65115" hidden="1" x14ac:dyDescent="0.25"/>
    <row r="65116" hidden="1" x14ac:dyDescent="0.25"/>
    <row r="65117" hidden="1" x14ac:dyDescent="0.25"/>
    <row r="65118" hidden="1" x14ac:dyDescent="0.25"/>
    <row r="65119" hidden="1" x14ac:dyDescent="0.25"/>
    <row r="65120" hidden="1" x14ac:dyDescent="0.25"/>
    <row r="65121" hidden="1" x14ac:dyDescent="0.25"/>
    <row r="65122" hidden="1" x14ac:dyDescent="0.25"/>
    <row r="65123" hidden="1" x14ac:dyDescent="0.25"/>
    <row r="65124" hidden="1" x14ac:dyDescent="0.25"/>
    <row r="65125" hidden="1" x14ac:dyDescent="0.25"/>
    <row r="65126" hidden="1" x14ac:dyDescent="0.25"/>
    <row r="65127" hidden="1" x14ac:dyDescent="0.25"/>
    <row r="65128" hidden="1" x14ac:dyDescent="0.25"/>
    <row r="65129" hidden="1" x14ac:dyDescent="0.25"/>
    <row r="65130" hidden="1" x14ac:dyDescent="0.25"/>
    <row r="65131" hidden="1" x14ac:dyDescent="0.25"/>
    <row r="65132" hidden="1" x14ac:dyDescent="0.25"/>
    <row r="65133" hidden="1" x14ac:dyDescent="0.25"/>
    <row r="65134" hidden="1" x14ac:dyDescent="0.25"/>
    <row r="65135" hidden="1" x14ac:dyDescent="0.25"/>
    <row r="65136" hidden="1" x14ac:dyDescent="0.25"/>
    <row r="65137" hidden="1" x14ac:dyDescent="0.25"/>
    <row r="65138" hidden="1" x14ac:dyDescent="0.25"/>
    <row r="65139" hidden="1" x14ac:dyDescent="0.25"/>
    <row r="65140" hidden="1" x14ac:dyDescent="0.25"/>
    <row r="65141" hidden="1" x14ac:dyDescent="0.25"/>
    <row r="65142" hidden="1" x14ac:dyDescent="0.25"/>
    <row r="65143" hidden="1" x14ac:dyDescent="0.25"/>
    <row r="65144" hidden="1" x14ac:dyDescent="0.25"/>
    <row r="65145" hidden="1" x14ac:dyDescent="0.25"/>
    <row r="65146" hidden="1" x14ac:dyDescent="0.25"/>
    <row r="65147" hidden="1" x14ac:dyDescent="0.25"/>
    <row r="65148" hidden="1" x14ac:dyDescent="0.25"/>
    <row r="65149" hidden="1" x14ac:dyDescent="0.25"/>
    <row r="65150" hidden="1" x14ac:dyDescent="0.25"/>
    <row r="65151" hidden="1" x14ac:dyDescent="0.25"/>
    <row r="65152" hidden="1" x14ac:dyDescent="0.25"/>
    <row r="65153" hidden="1" x14ac:dyDescent="0.25"/>
    <row r="65154" hidden="1" x14ac:dyDescent="0.25"/>
    <row r="65155" hidden="1" x14ac:dyDescent="0.25"/>
    <row r="65156" hidden="1" x14ac:dyDescent="0.25"/>
    <row r="65157" hidden="1" x14ac:dyDescent="0.25"/>
    <row r="65158" hidden="1" x14ac:dyDescent="0.25"/>
    <row r="65159" hidden="1" x14ac:dyDescent="0.25"/>
    <row r="65160" hidden="1" x14ac:dyDescent="0.25"/>
    <row r="65161" hidden="1" x14ac:dyDescent="0.25"/>
    <row r="65162" hidden="1" x14ac:dyDescent="0.25"/>
    <row r="65163" hidden="1" x14ac:dyDescent="0.25"/>
    <row r="65164" hidden="1" x14ac:dyDescent="0.25"/>
    <row r="65165" hidden="1" x14ac:dyDescent="0.25"/>
    <row r="65166" hidden="1" x14ac:dyDescent="0.25"/>
    <row r="65167" hidden="1" x14ac:dyDescent="0.25"/>
    <row r="65168" hidden="1" x14ac:dyDescent="0.25"/>
    <row r="65169" hidden="1" x14ac:dyDescent="0.25"/>
    <row r="65170" hidden="1" x14ac:dyDescent="0.25"/>
    <row r="65171" hidden="1" x14ac:dyDescent="0.25"/>
    <row r="65172" hidden="1" x14ac:dyDescent="0.25"/>
    <row r="65173" hidden="1" x14ac:dyDescent="0.25"/>
    <row r="65174" hidden="1" x14ac:dyDescent="0.25"/>
    <row r="65175" hidden="1" x14ac:dyDescent="0.25"/>
    <row r="65176" hidden="1" x14ac:dyDescent="0.25"/>
    <row r="65177" hidden="1" x14ac:dyDescent="0.25"/>
    <row r="65178" hidden="1" x14ac:dyDescent="0.25"/>
    <row r="65179" hidden="1" x14ac:dyDescent="0.25"/>
    <row r="65180" hidden="1" x14ac:dyDescent="0.25"/>
    <row r="65181" hidden="1" x14ac:dyDescent="0.25"/>
    <row r="65182" hidden="1" x14ac:dyDescent="0.25"/>
    <row r="65183" hidden="1" x14ac:dyDescent="0.25"/>
    <row r="65184" hidden="1" x14ac:dyDescent="0.25"/>
    <row r="65185" hidden="1" x14ac:dyDescent="0.25"/>
    <row r="65186" hidden="1" x14ac:dyDescent="0.25"/>
    <row r="65187" hidden="1" x14ac:dyDescent="0.25"/>
    <row r="65188" hidden="1" x14ac:dyDescent="0.25"/>
    <row r="65189" hidden="1" x14ac:dyDescent="0.25"/>
    <row r="65190" hidden="1" x14ac:dyDescent="0.25"/>
    <row r="65191" hidden="1" x14ac:dyDescent="0.25"/>
    <row r="65192" hidden="1" x14ac:dyDescent="0.25"/>
    <row r="65193" hidden="1" x14ac:dyDescent="0.25"/>
    <row r="65194" hidden="1" x14ac:dyDescent="0.25"/>
    <row r="65195" hidden="1" x14ac:dyDescent="0.25"/>
    <row r="65196" hidden="1" x14ac:dyDescent="0.25"/>
    <row r="65197" hidden="1" x14ac:dyDescent="0.25"/>
    <row r="65198" hidden="1" x14ac:dyDescent="0.25"/>
    <row r="65199" hidden="1" x14ac:dyDescent="0.25"/>
    <row r="65200" hidden="1" x14ac:dyDescent="0.25"/>
    <row r="65201" hidden="1" x14ac:dyDescent="0.25"/>
    <row r="65202" hidden="1" x14ac:dyDescent="0.25"/>
    <row r="65203" hidden="1" x14ac:dyDescent="0.25"/>
    <row r="65204" hidden="1" x14ac:dyDescent="0.25"/>
    <row r="65205" hidden="1" x14ac:dyDescent="0.25"/>
    <row r="65206" hidden="1" x14ac:dyDescent="0.25"/>
    <row r="65207" hidden="1" x14ac:dyDescent="0.25"/>
    <row r="65208" hidden="1" x14ac:dyDescent="0.25"/>
    <row r="65209" hidden="1" x14ac:dyDescent="0.25"/>
    <row r="65210" hidden="1" x14ac:dyDescent="0.25"/>
    <row r="65211" hidden="1" x14ac:dyDescent="0.25"/>
    <row r="65212" hidden="1" x14ac:dyDescent="0.25"/>
    <row r="65213" hidden="1" x14ac:dyDescent="0.25"/>
    <row r="65214" hidden="1" x14ac:dyDescent="0.25"/>
    <row r="65215" hidden="1" x14ac:dyDescent="0.25"/>
    <row r="65216" hidden="1" x14ac:dyDescent="0.25"/>
    <row r="65217" hidden="1" x14ac:dyDescent="0.25"/>
    <row r="65218" hidden="1" x14ac:dyDescent="0.25"/>
    <row r="65219" hidden="1" x14ac:dyDescent="0.25"/>
    <row r="65220" hidden="1" x14ac:dyDescent="0.25"/>
    <row r="65221" hidden="1" x14ac:dyDescent="0.25"/>
    <row r="65222" hidden="1" x14ac:dyDescent="0.25"/>
    <row r="65223" hidden="1" x14ac:dyDescent="0.25"/>
    <row r="65224" hidden="1" x14ac:dyDescent="0.25"/>
    <row r="65225" hidden="1" x14ac:dyDescent="0.25"/>
    <row r="65226" hidden="1" x14ac:dyDescent="0.25"/>
    <row r="65227" hidden="1" x14ac:dyDescent="0.25"/>
    <row r="65228" hidden="1" x14ac:dyDescent="0.25"/>
    <row r="65229" hidden="1" x14ac:dyDescent="0.25"/>
    <row r="65230" hidden="1" x14ac:dyDescent="0.25"/>
    <row r="65231" hidden="1" x14ac:dyDescent="0.25"/>
    <row r="65232" hidden="1" x14ac:dyDescent="0.25"/>
    <row r="65233" hidden="1" x14ac:dyDescent="0.25"/>
    <row r="65234" hidden="1" x14ac:dyDescent="0.25"/>
    <row r="65235" hidden="1" x14ac:dyDescent="0.25"/>
    <row r="65236" hidden="1" x14ac:dyDescent="0.25"/>
    <row r="65237" hidden="1" x14ac:dyDescent="0.25"/>
    <row r="65238" hidden="1" x14ac:dyDescent="0.25"/>
    <row r="65239" hidden="1" x14ac:dyDescent="0.25"/>
    <row r="65240" hidden="1" x14ac:dyDescent="0.25"/>
    <row r="65241" hidden="1" x14ac:dyDescent="0.25"/>
    <row r="65242" hidden="1" x14ac:dyDescent="0.25"/>
    <row r="65243" hidden="1" x14ac:dyDescent="0.25"/>
    <row r="65244" hidden="1" x14ac:dyDescent="0.25"/>
    <row r="65245" hidden="1" x14ac:dyDescent="0.25"/>
    <row r="65246" hidden="1" x14ac:dyDescent="0.25"/>
    <row r="65247" hidden="1" x14ac:dyDescent="0.25"/>
    <row r="65248" hidden="1" x14ac:dyDescent="0.25"/>
    <row r="65249" hidden="1" x14ac:dyDescent="0.25"/>
    <row r="65250" hidden="1" x14ac:dyDescent="0.25"/>
    <row r="65251" hidden="1" x14ac:dyDescent="0.25"/>
    <row r="65252" hidden="1" x14ac:dyDescent="0.25"/>
    <row r="65253" hidden="1" x14ac:dyDescent="0.25"/>
    <row r="65254" hidden="1" x14ac:dyDescent="0.25"/>
    <row r="65255" hidden="1" x14ac:dyDescent="0.25"/>
    <row r="65256" hidden="1" x14ac:dyDescent="0.25"/>
    <row r="65257" hidden="1" x14ac:dyDescent="0.25"/>
    <row r="65258" hidden="1" x14ac:dyDescent="0.25"/>
    <row r="65259" hidden="1" x14ac:dyDescent="0.25"/>
    <row r="65260" hidden="1" x14ac:dyDescent="0.25"/>
    <row r="65261" hidden="1" x14ac:dyDescent="0.25"/>
    <row r="65262" hidden="1" x14ac:dyDescent="0.25"/>
    <row r="65263" hidden="1" x14ac:dyDescent="0.25"/>
    <row r="65264" hidden="1" x14ac:dyDescent="0.25"/>
    <row r="65265" hidden="1" x14ac:dyDescent="0.25"/>
    <row r="65266" hidden="1" x14ac:dyDescent="0.25"/>
    <row r="65267" hidden="1" x14ac:dyDescent="0.25"/>
    <row r="65268" hidden="1" x14ac:dyDescent="0.25"/>
    <row r="65269" hidden="1" x14ac:dyDescent="0.25"/>
    <row r="65270" hidden="1" x14ac:dyDescent="0.25"/>
    <row r="65271" hidden="1" x14ac:dyDescent="0.25"/>
    <row r="65272" hidden="1" x14ac:dyDescent="0.25"/>
    <row r="65273" hidden="1" x14ac:dyDescent="0.25"/>
    <row r="65274" hidden="1" x14ac:dyDescent="0.25"/>
    <row r="65275" hidden="1" x14ac:dyDescent="0.25"/>
    <row r="65276" hidden="1" x14ac:dyDescent="0.25"/>
    <row r="65277" hidden="1" x14ac:dyDescent="0.25"/>
    <row r="65278" hidden="1" x14ac:dyDescent="0.25"/>
    <row r="65279" hidden="1" x14ac:dyDescent="0.25"/>
    <row r="65280" hidden="1" x14ac:dyDescent="0.25"/>
    <row r="65281" hidden="1" x14ac:dyDescent="0.25"/>
    <row r="65282" hidden="1" x14ac:dyDescent="0.25"/>
    <row r="65283" hidden="1" x14ac:dyDescent="0.25"/>
    <row r="65284" hidden="1" x14ac:dyDescent="0.25"/>
    <row r="65285" hidden="1" x14ac:dyDescent="0.25"/>
    <row r="65286" hidden="1" x14ac:dyDescent="0.25"/>
    <row r="65287" hidden="1" x14ac:dyDescent="0.25"/>
    <row r="65288" hidden="1" x14ac:dyDescent="0.25"/>
    <row r="65289" hidden="1" x14ac:dyDescent="0.25"/>
    <row r="65290" hidden="1" x14ac:dyDescent="0.25"/>
    <row r="65291" hidden="1" x14ac:dyDescent="0.25"/>
    <row r="65292" hidden="1" x14ac:dyDescent="0.25"/>
    <row r="65293" hidden="1" x14ac:dyDescent="0.25"/>
    <row r="65294" hidden="1" x14ac:dyDescent="0.25"/>
    <row r="65295" hidden="1" x14ac:dyDescent="0.25"/>
    <row r="65296" hidden="1" x14ac:dyDescent="0.25"/>
    <row r="65297" hidden="1" x14ac:dyDescent="0.25"/>
    <row r="65298" hidden="1" x14ac:dyDescent="0.25"/>
    <row r="65299" hidden="1" x14ac:dyDescent="0.25"/>
    <row r="65300" hidden="1" x14ac:dyDescent="0.25"/>
    <row r="65301" hidden="1" x14ac:dyDescent="0.25"/>
    <row r="65302" hidden="1" x14ac:dyDescent="0.25"/>
    <row r="65303" hidden="1" x14ac:dyDescent="0.25"/>
    <row r="65304" hidden="1" x14ac:dyDescent="0.25"/>
    <row r="65305" hidden="1" x14ac:dyDescent="0.25"/>
    <row r="65306" hidden="1" x14ac:dyDescent="0.25"/>
    <row r="65307" hidden="1" x14ac:dyDescent="0.25"/>
    <row r="65308" hidden="1" x14ac:dyDescent="0.25"/>
    <row r="65309" hidden="1" x14ac:dyDescent="0.25"/>
    <row r="65310" hidden="1" x14ac:dyDescent="0.25"/>
    <row r="65311" hidden="1" x14ac:dyDescent="0.25"/>
    <row r="65312" hidden="1" x14ac:dyDescent="0.25"/>
    <row r="65313" hidden="1" x14ac:dyDescent="0.25"/>
    <row r="65314" hidden="1" x14ac:dyDescent="0.25"/>
    <row r="65315" hidden="1" x14ac:dyDescent="0.25"/>
    <row r="65316" hidden="1" x14ac:dyDescent="0.25"/>
    <row r="65317" hidden="1" x14ac:dyDescent="0.25"/>
    <row r="65318" hidden="1" x14ac:dyDescent="0.25"/>
    <row r="65319" hidden="1" x14ac:dyDescent="0.25"/>
    <row r="65320" hidden="1" x14ac:dyDescent="0.25"/>
    <row r="65321" hidden="1" x14ac:dyDescent="0.25"/>
    <row r="65322" hidden="1" x14ac:dyDescent="0.25"/>
    <row r="65323" hidden="1" x14ac:dyDescent="0.25"/>
    <row r="65324" hidden="1" x14ac:dyDescent="0.25"/>
    <row r="65325" hidden="1" x14ac:dyDescent="0.25"/>
    <row r="65326" hidden="1" x14ac:dyDescent="0.25"/>
    <row r="65327" hidden="1" x14ac:dyDescent="0.25"/>
    <row r="65328" hidden="1" x14ac:dyDescent="0.25"/>
    <row r="65329" hidden="1" x14ac:dyDescent="0.25"/>
    <row r="65330" hidden="1" x14ac:dyDescent="0.25"/>
    <row r="65331" hidden="1" x14ac:dyDescent="0.25"/>
    <row r="65332" hidden="1" x14ac:dyDescent="0.25"/>
    <row r="65333" hidden="1" x14ac:dyDescent="0.25"/>
    <row r="65334" hidden="1" x14ac:dyDescent="0.25"/>
    <row r="65335" hidden="1" x14ac:dyDescent="0.25"/>
    <row r="65336" hidden="1" x14ac:dyDescent="0.25"/>
    <row r="65337" hidden="1" x14ac:dyDescent="0.25"/>
    <row r="65338" hidden="1" x14ac:dyDescent="0.25"/>
    <row r="65339" hidden="1" x14ac:dyDescent="0.25"/>
    <row r="65340" hidden="1" x14ac:dyDescent="0.25"/>
    <row r="65341" hidden="1" x14ac:dyDescent="0.25"/>
    <row r="65342" hidden="1" x14ac:dyDescent="0.25"/>
    <row r="65343" hidden="1" x14ac:dyDescent="0.25"/>
    <row r="65344" hidden="1" x14ac:dyDescent="0.25"/>
    <row r="65345" hidden="1" x14ac:dyDescent="0.25"/>
    <row r="65346" hidden="1" x14ac:dyDescent="0.25"/>
    <row r="65347" hidden="1" x14ac:dyDescent="0.25"/>
    <row r="65348" hidden="1" x14ac:dyDescent="0.25"/>
    <row r="65349" hidden="1" x14ac:dyDescent="0.25"/>
    <row r="65350" hidden="1" x14ac:dyDescent="0.25"/>
    <row r="65351" hidden="1" x14ac:dyDescent="0.25"/>
    <row r="65352" hidden="1" x14ac:dyDescent="0.25"/>
    <row r="65353" hidden="1" x14ac:dyDescent="0.25"/>
    <row r="65354" hidden="1" x14ac:dyDescent="0.25"/>
    <row r="65355" hidden="1" x14ac:dyDescent="0.25"/>
    <row r="65356" hidden="1" x14ac:dyDescent="0.25"/>
    <row r="65357" hidden="1" x14ac:dyDescent="0.25"/>
    <row r="65358" hidden="1" x14ac:dyDescent="0.25"/>
    <row r="65359" hidden="1" x14ac:dyDescent="0.25"/>
    <row r="65360" hidden="1" x14ac:dyDescent="0.25"/>
    <row r="65361" hidden="1" x14ac:dyDescent="0.25"/>
    <row r="65362" hidden="1" x14ac:dyDescent="0.25"/>
    <row r="65363" hidden="1" x14ac:dyDescent="0.25"/>
    <row r="65364" hidden="1" x14ac:dyDescent="0.25"/>
    <row r="65365" hidden="1" x14ac:dyDescent="0.25"/>
    <row r="65366" hidden="1" x14ac:dyDescent="0.25"/>
    <row r="65367" hidden="1" x14ac:dyDescent="0.25"/>
    <row r="65368" hidden="1" x14ac:dyDescent="0.25"/>
    <row r="65369" hidden="1" x14ac:dyDescent="0.25"/>
    <row r="65370" hidden="1" x14ac:dyDescent="0.25"/>
    <row r="65371" hidden="1" x14ac:dyDescent="0.25"/>
    <row r="65372" hidden="1" x14ac:dyDescent="0.25"/>
    <row r="65373" hidden="1" x14ac:dyDescent="0.25"/>
    <row r="65374" hidden="1" x14ac:dyDescent="0.25"/>
    <row r="65375" hidden="1" x14ac:dyDescent="0.25"/>
    <row r="65376" hidden="1" x14ac:dyDescent="0.25"/>
    <row r="65377" hidden="1" x14ac:dyDescent="0.25"/>
    <row r="65378" hidden="1" x14ac:dyDescent="0.25"/>
    <row r="65379" hidden="1" x14ac:dyDescent="0.25"/>
    <row r="65380" hidden="1" x14ac:dyDescent="0.25"/>
    <row r="65381" hidden="1" x14ac:dyDescent="0.25"/>
    <row r="65382" hidden="1" x14ac:dyDescent="0.25"/>
    <row r="65383" hidden="1" x14ac:dyDescent="0.25"/>
    <row r="65384" hidden="1" x14ac:dyDescent="0.25"/>
    <row r="65385" hidden="1" x14ac:dyDescent="0.25"/>
    <row r="65386" hidden="1" x14ac:dyDescent="0.25"/>
    <row r="65387" hidden="1" x14ac:dyDescent="0.25"/>
    <row r="65388" hidden="1" x14ac:dyDescent="0.25"/>
    <row r="65389" hidden="1" x14ac:dyDescent="0.25"/>
    <row r="65390" hidden="1" x14ac:dyDescent="0.25"/>
    <row r="65391" hidden="1" x14ac:dyDescent="0.25"/>
    <row r="65392" hidden="1" x14ac:dyDescent="0.25"/>
    <row r="65393" hidden="1" x14ac:dyDescent="0.25"/>
    <row r="65394" hidden="1" x14ac:dyDescent="0.25"/>
    <row r="65395" hidden="1" x14ac:dyDescent="0.25"/>
    <row r="65396" hidden="1" x14ac:dyDescent="0.25"/>
    <row r="65397" hidden="1" x14ac:dyDescent="0.25"/>
    <row r="65398" hidden="1" x14ac:dyDescent="0.25"/>
    <row r="65399" hidden="1" x14ac:dyDescent="0.25"/>
    <row r="65400" hidden="1" x14ac:dyDescent="0.25"/>
    <row r="65401" hidden="1" x14ac:dyDescent="0.25"/>
    <row r="65402" hidden="1" x14ac:dyDescent="0.25"/>
    <row r="65403" hidden="1" x14ac:dyDescent="0.25"/>
    <row r="65404" hidden="1" x14ac:dyDescent="0.25"/>
    <row r="65405" hidden="1" x14ac:dyDescent="0.25"/>
    <row r="65406" hidden="1" x14ac:dyDescent="0.25"/>
    <row r="65407" hidden="1" x14ac:dyDescent="0.25"/>
    <row r="65408" hidden="1" x14ac:dyDescent="0.25"/>
    <row r="65409" hidden="1" x14ac:dyDescent="0.25"/>
    <row r="65410" hidden="1" x14ac:dyDescent="0.25"/>
    <row r="65411" hidden="1" x14ac:dyDescent="0.25"/>
    <row r="65412" hidden="1" x14ac:dyDescent="0.25"/>
    <row r="65413" hidden="1" x14ac:dyDescent="0.25"/>
    <row r="65414" hidden="1" x14ac:dyDescent="0.25"/>
    <row r="65415" hidden="1" x14ac:dyDescent="0.25"/>
    <row r="65416" hidden="1" x14ac:dyDescent="0.25"/>
    <row r="65417" hidden="1" x14ac:dyDescent="0.25"/>
    <row r="65418" hidden="1" x14ac:dyDescent="0.25"/>
    <row r="65419" hidden="1" x14ac:dyDescent="0.25"/>
    <row r="65420" hidden="1" x14ac:dyDescent="0.25"/>
    <row r="65421" hidden="1" x14ac:dyDescent="0.25"/>
    <row r="65422" hidden="1" x14ac:dyDescent="0.25"/>
    <row r="65423" hidden="1" x14ac:dyDescent="0.25"/>
    <row r="65424" hidden="1" x14ac:dyDescent="0.25"/>
    <row r="65425" hidden="1" x14ac:dyDescent="0.25"/>
    <row r="65426" hidden="1" x14ac:dyDescent="0.25"/>
    <row r="65427" hidden="1" x14ac:dyDescent="0.25"/>
    <row r="65428" hidden="1" x14ac:dyDescent="0.25"/>
    <row r="65429" hidden="1" x14ac:dyDescent="0.25"/>
    <row r="65430" hidden="1" x14ac:dyDescent="0.25"/>
    <row r="65431" hidden="1" x14ac:dyDescent="0.25"/>
    <row r="65432" hidden="1" x14ac:dyDescent="0.25"/>
    <row r="65433" hidden="1" x14ac:dyDescent="0.25"/>
    <row r="65434" hidden="1" x14ac:dyDescent="0.25"/>
    <row r="65435" hidden="1" x14ac:dyDescent="0.25"/>
    <row r="65436" hidden="1" x14ac:dyDescent="0.25"/>
    <row r="65437" hidden="1" x14ac:dyDescent="0.25"/>
    <row r="65438" hidden="1" x14ac:dyDescent="0.25"/>
    <row r="65439" hidden="1" x14ac:dyDescent="0.25"/>
    <row r="65440" hidden="1" x14ac:dyDescent="0.25"/>
    <row r="65441" hidden="1" x14ac:dyDescent="0.25"/>
    <row r="65442" hidden="1" x14ac:dyDescent="0.25"/>
    <row r="65443" hidden="1" x14ac:dyDescent="0.25"/>
    <row r="65444" hidden="1" x14ac:dyDescent="0.25"/>
    <row r="65445" hidden="1" x14ac:dyDescent="0.25"/>
    <row r="65446" hidden="1" x14ac:dyDescent="0.25"/>
    <row r="65447" hidden="1" x14ac:dyDescent="0.25"/>
    <row r="65448" hidden="1" x14ac:dyDescent="0.25"/>
    <row r="65449" hidden="1" x14ac:dyDescent="0.25"/>
    <row r="65450" hidden="1" x14ac:dyDescent="0.25"/>
    <row r="65451" hidden="1" x14ac:dyDescent="0.25"/>
    <row r="65452" hidden="1" x14ac:dyDescent="0.25"/>
    <row r="65453" hidden="1" x14ac:dyDescent="0.25"/>
    <row r="65454" hidden="1" x14ac:dyDescent="0.25"/>
    <row r="65455" hidden="1" x14ac:dyDescent="0.25"/>
    <row r="65456" hidden="1" x14ac:dyDescent="0.25"/>
    <row r="65457" hidden="1" x14ac:dyDescent="0.25"/>
    <row r="65458" hidden="1" x14ac:dyDescent="0.25"/>
    <row r="65459" hidden="1" x14ac:dyDescent="0.25"/>
    <row r="65460" hidden="1" x14ac:dyDescent="0.25"/>
    <row r="65461" hidden="1" x14ac:dyDescent="0.25"/>
    <row r="65462" hidden="1" x14ac:dyDescent="0.25"/>
    <row r="65463" hidden="1" x14ac:dyDescent="0.25"/>
    <row r="65464" hidden="1" x14ac:dyDescent="0.25"/>
    <row r="65465" hidden="1" x14ac:dyDescent="0.25"/>
    <row r="65466" hidden="1" x14ac:dyDescent="0.25"/>
    <row r="65467" hidden="1" x14ac:dyDescent="0.25"/>
    <row r="65468" hidden="1" x14ac:dyDescent="0.25"/>
    <row r="65469" hidden="1" x14ac:dyDescent="0.25"/>
    <row r="65470" hidden="1" x14ac:dyDescent="0.25"/>
    <row r="65471" hidden="1" x14ac:dyDescent="0.25"/>
    <row r="65472" hidden="1" x14ac:dyDescent="0.25"/>
    <row r="65473" hidden="1" x14ac:dyDescent="0.25"/>
    <row r="65474" hidden="1" x14ac:dyDescent="0.25"/>
    <row r="65475" hidden="1" x14ac:dyDescent="0.25"/>
    <row r="65476" hidden="1" x14ac:dyDescent="0.25"/>
    <row r="65477" hidden="1" x14ac:dyDescent="0.25"/>
    <row r="65478" hidden="1" x14ac:dyDescent="0.25"/>
    <row r="65479" hidden="1" x14ac:dyDescent="0.25"/>
    <row r="65480" hidden="1" x14ac:dyDescent="0.25"/>
    <row r="65481" hidden="1" x14ac:dyDescent="0.25"/>
    <row r="65482" hidden="1" x14ac:dyDescent="0.25"/>
    <row r="65483" hidden="1" x14ac:dyDescent="0.25"/>
    <row r="65484" hidden="1" x14ac:dyDescent="0.25"/>
    <row r="65485" hidden="1" x14ac:dyDescent="0.25"/>
    <row r="65486" hidden="1" x14ac:dyDescent="0.25"/>
    <row r="65487" hidden="1" x14ac:dyDescent="0.25"/>
    <row r="65488" hidden="1" x14ac:dyDescent="0.25"/>
    <row r="65489" hidden="1" x14ac:dyDescent="0.25"/>
    <row r="65490" hidden="1" x14ac:dyDescent="0.25"/>
    <row r="65491" hidden="1" x14ac:dyDescent="0.25"/>
    <row r="65492" hidden="1" x14ac:dyDescent="0.25"/>
    <row r="65493" hidden="1" x14ac:dyDescent="0.25"/>
    <row r="65494" hidden="1" x14ac:dyDescent="0.25"/>
    <row r="65495" hidden="1" x14ac:dyDescent="0.25"/>
    <row r="65496" hidden="1" x14ac:dyDescent="0.25"/>
    <row r="65497" hidden="1" x14ac:dyDescent="0.25"/>
    <row r="65498" hidden="1" x14ac:dyDescent="0.25"/>
    <row r="65499" hidden="1" x14ac:dyDescent="0.25"/>
    <row r="65500" hidden="1" x14ac:dyDescent="0.25"/>
    <row r="65501" hidden="1" x14ac:dyDescent="0.25"/>
    <row r="65502" hidden="1" x14ac:dyDescent="0.25"/>
    <row r="65503" hidden="1" x14ac:dyDescent="0.25"/>
    <row r="65504" hidden="1" x14ac:dyDescent="0.25"/>
    <row r="65505" spans="1:1" hidden="1" x14ac:dyDescent="0.25"/>
    <row r="65506" spans="1:1" hidden="1" x14ac:dyDescent="0.25"/>
    <row r="65507" spans="1:1" hidden="1" x14ac:dyDescent="0.25"/>
    <row r="65508" spans="1:1" hidden="1" x14ac:dyDescent="0.25"/>
    <row r="65509" spans="1:1" hidden="1" x14ac:dyDescent="0.25"/>
    <row r="65510" spans="1:1" hidden="1" x14ac:dyDescent="0.25"/>
    <row r="65511" spans="1:1" hidden="1" x14ac:dyDescent="0.25"/>
    <row r="65512" spans="1:1" hidden="1" x14ac:dyDescent="0.25"/>
    <row r="65513" spans="1:1" hidden="1" x14ac:dyDescent="0.25"/>
    <row r="65514" spans="1:1" hidden="1" x14ac:dyDescent="0.25"/>
    <row r="65515" spans="1:1" hidden="1" x14ac:dyDescent="0.25"/>
    <row r="65516" spans="1:1" hidden="1" x14ac:dyDescent="0.25"/>
    <row r="65517" spans="1:1" hidden="1" x14ac:dyDescent="0.25"/>
    <row r="65518" spans="1:1" hidden="1" x14ac:dyDescent="0.25"/>
    <row r="65519" spans="1:1" hidden="1" x14ac:dyDescent="0.25">
      <c r="A65519" s="333" t="s">
        <v>339</v>
      </c>
    </row>
    <row r="65520" spans="1:1" hidden="1" x14ac:dyDescent="0.25">
      <c r="A65520" s="268" t="s">
        <v>338</v>
      </c>
    </row>
  </sheetData>
  <sheetProtection password="CA99" sheet="1" objects="1" scenarios="1"/>
  <mergeCells count="62">
    <mergeCell ref="C27:D27"/>
    <mergeCell ref="O1:U4"/>
    <mergeCell ref="A19:H19"/>
    <mergeCell ref="A5:H5"/>
    <mergeCell ref="F6:G6"/>
    <mergeCell ref="E8:H9"/>
    <mergeCell ref="F10:G10"/>
    <mergeCell ref="E18:G18"/>
    <mergeCell ref="A21:B21"/>
    <mergeCell ref="C21:D21"/>
    <mergeCell ref="A22:B22"/>
    <mergeCell ref="C22:D22"/>
    <mergeCell ref="A23:B23"/>
    <mergeCell ref="C23:D23"/>
    <mergeCell ref="A24:B24"/>
    <mergeCell ref="C24:D24"/>
    <mergeCell ref="A25:B25"/>
    <mergeCell ref="C25:D25"/>
    <mergeCell ref="A26:B26"/>
    <mergeCell ref="C26:D26"/>
    <mergeCell ref="B42:C42"/>
    <mergeCell ref="D42:F42"/>
    <mergeCell ref="A28:B28"/>
    <mergeCell ref="C28:D28"/>
    <mergeCell ref="A29:H29"/>
    <mergeCell ref="A30:H30"/>
    <mergeCell ref="D34:E34"/>
    <mergeCell ref="D35:E35"/>
    <mergeCell ref="D36:E36"/>
    <mergeCell ref="E38:G38"/>
    <mergeCell ref="A39:H39"/>
    <mergeCell ref="B41:C41"/>
    <mergeCell ref="D41:F41"/>
    <mergeCell ref="A49:H49"/>
    <mergeCell ref="B43:C43"/>
    <mergeCell ref="D43:F43"/>
    <mergeCell ref="I43:S43"/>
    <mergeCell ref="B44:C44"/>
    <mergeCell ref="D44:F44"/>
    <mergeCell ref="B45:C45"/>
    <mergeCell ref="D45:F45"/>
    <mergeCell ref="B46:C46"/>
    <mergeCell ref="D46:F46"/>
    <mergeCell ref="B47:C47"/>
    <mergeCell ref="D47:F47"/>
    <mergeCell ref="A48:H48"/>
    <mergeCell ref="F68:H68"/>
    <mergeCell ref="E69:H69"/>
    <mergeCell ref="F70:H70"/>
    <mergeCell ref="A27:B27"/>
    <mergeCell ref="E59:G59"/>
    <mergeCell ref="A62:H62"/>
    <mergeCell ref="F64:H64"/>
    <mergeCell ref="F65:H65"/>
    <mergeCell ref="F66:H66"/>
    <mergeCell ref="F67:H67"/>
    <mergeCell ref="A51:E51"/>
    <mergeCell ref="F51:G51"/>
    <mergeCell ref="A52:E52"/>
    <mergeCell ref="F52:G52"/>
    <mergeCell ref="A55:E55"/>
    <mergeCell ref="F55:G55"/>
  </mergeCells>
  <conditionalFormatting sqref="B70 B56 E8:H9 H11">
    <cfRule type="cellIs" dxfId="19" priority="1" stopIfTrue="1" operator="equal">
      <formula>0</formula>
    </cfRule>
  </conditionalFormatting>
  <dataValidations disablePrompts="1" count="2">
    <dataValidation type="list" allowBlank="1" showInputMessage="1" showErrorMessage="1" sqref="I23:I28 WVQ983064:WVQ983068 WLU983064:WLU983068 WBY983064:WBY983068 VSC983064:VSC983068 VIG983064:VIG983068 UYK983064:UYK983068 UOO983064:UOO983068 UES983064:UES983068 TUW983064:TUW983068 TLA983064:TLA983068 TBE983064:TBE983068 SRI983064:SRI983068 SHM983064:SHM983068 RXQ983064:RXQ983068 RNU983064:RNU983068 RDY983064:RDY983068 QUC983064:QUC983068 QKG983064:QKG983068 QAK983064:QAK983068 PQO983064:PQO983068 PGS983064:PGS983068 OWW983064:OWW983068 ONA983064:ONA983068 ODE983064:ODE983068 NTI983064:NTI983068 NJM983064:NJM983068 MZQ983064:MZQ983068 MPU983064:MPU983068 MFY983064:MFY983068 LWC983064:LWC983068 LMG983064:LMG983068 LCK983064:LCK983068 KSO983064:KSO983068 KIS983064:KIS983068 JYW983064:JYW983068 JPA983064:JPA983068 JFE983064:JFE983068 IVI983064:IVI983068 ILM983064:ILM983068 IBQ983064:IBQ983068 HRU983064:HRU983068 HHY983064:HHY983068 GYC983064:GYC983068 GOG983064:GOG983068 GEK983064:GEK983068 FUO983064:FUO983068 FKS983064:FKS983068 FAW983064:FAW983068 ERA983064:ERA983068 EHE983064:EHE983068 DXI983064:DXI983068 DNM983064:DNM983068 DDQ983064:DDQ983068 CTU983064:CTU983068 CJY983064:CJY983068 CAC983064:CAC983068 BQG983064:BQG983068 BGK983064:BGK983068 AWO983064:AWO983068 AMS983064:AMS983068 ACW983064:ACW983068 TA983064:TA983068 JE983064:JE983068 I983064:I983068 WVQ917528:WVQ917532 WLU917528:WLU917532 WBY917528:WBY917532 VSC917528:VSC917532 VIG917528:VIG917532 UYK917528:UYK917532 UOO917528:UOO917532 UES917528:UES917532 TUW917528:TUW917532 TLA917528:TLA917532 TBE917528:TBE917532 SRI917528:SRI917532 SHM917528:SHM917532 RXQ917528:RXQ917532 RNU917528:RNU917532 RDY917528:RDY917532 QUC917528:QUC917532 QKG917528:QKG917532 QAK917528:QAK917532 PQO917528:PQO917532 PGS917528:PGS917532 OWW917528:OWW917532 ONA917528:ONA917532 ODE917528:ODE917532 NTI917528:NTI917532 NJM917528:NJM917532 MZQ917528:MZQ917532 MPU917528:MPU917532 MFY917528:MFY917532 LWC917528:LWC917532 LMG917528:LMG917532 LCK917528:LCK917532 KSO917528:KSO917532 KIS917528:KIS917532 JYW917528:JYW917532 JPA917528:JPA917532 JFE917528:JFE917532 IVI917528:IVI917532 ILM917528:ILM917532 IBQ917528:IBQ917532 HRU917528:HRU917532 HHY917528:HHY917532 GYC917528:GYC917532 GOG917528:GOG917532 GEK917528:GEK917532 FUO917528:FUO917532 FKS917528:FKS917532 FAW917528:FAW917532 ERA917528:ERA917532 EHE917528:EHE917532 DXI917528:DXI917532 DNM917528:DNM917532 DDQ917528:DDQ917532 CTU917528:CTU917532 CJY917528:CJY917532 CAC917528:CAC917532 BQG917528:BQG917532 BGK917528:BGK917532 AWO917528:AWO917532 AMS917528:AMS917532 ACW917528:ACW917532 TA917528:TA917532 JE917528:JE917532 I917528:I917532 WVQ851992:WVQ851996 WLU851992:WLU851996 WBY851992:WBY851996 VSC851992:VSC851996 VIG851992:VIG851996 UYK851992:UYK851996 UOO851992:UOO851996 UES851992:UES851996 TUW851992:TUW851996 TLA851992:TLA851996 TBE851992:TBE851996 SRI851992:SRI851996 SHM851992:SHM851996 RXQ851992:RXQ851996 RNU851992:RNU851996 RDY851992:RDY851996 QUC851992:QUC851996 QKG851992:QKG851996 QAK851992:QAK851996 PQO851992:PQO851996 PGS851992:PGS851996 OWW851992:OWW851996 ONA851992:ONA851996 ODE851992:ODE851996 NTI851992:NTI851996 NJM851992:NJM851996 MZQ851992:MZQ851996 MPU851992:MPU851996 MFY851992:MFY851996 LWC851992:LWC851996 LMG851992:LMG851996 LCK851992:LCK851996 KSO851992:KSO851996 KIS851992:KIS851996 JYW851992:JYW851996 JPA851992:JPA851996 JFE851992:JFE851996 IVI851992:IVI851996 ILM851992:ILM851996 IBQ851992:IBQ851996 HRU851992:HRU851996 HHY851992:HHY851996 GYC851992:GYC851996 GOG851992:GOG851996 GEK851992:GEK851996 FUO851992:FUO851996 FKS851992:FKS851996 FAW851992:FAW851996 ERA851992:ERA851996 EHE851992:EHE851996 DXI851992:DXI851996 DNM851992:DNM851996 DDQ851992:DDQ851996 CTU851992:CTU851996 CJY851992:CJY851996 CAC851992:CAC851996 BQG851992:BQG851996 BGK851992:BGK851996 AWO851992:AWO851996 AMS851992:AMS851996 ACW851992:ACW851996 TA851992:TA851996 JE851992:JE851996 I851992:I851996 WVQ786456:WVQ786460 WLU786456:WLU786460 WBY786456:WBY786460 VSC786456:VSC786460 VIG786456:VIG786460 UYK786456:UYK786460 UOO786456:UOO786460 UES786456:UES786460 TUW786456:TUW786460 TLA786456:TLA786460 TBE786456:TBE786460 SRI786456:SRI786460 SHM786456:SHM786460 RXQ786456:RXQ786460 RNU786456:RNU786460 RDY786456:RDY786460 QUC786456:QUC786460 QKG786456:QKG786460 QAK786456:QAK786460 PQO786456:PQO786460 PGS786456:PGS786460 OWW786456:OWW786460 ONA786456:ONA786460 ODE786456:ODE786460 NTI786456:NTI786460 NJM786456:NJM786460 MZQ786456:MZQ786460 MPU786456:MPU786460 MFY786456:MFY786460 LWC786456:LWC786460 LMG786456:LMG786460 LCK786456:LCK786460 KSO786456:KSO786460 KIS786456:KIS786460 JYW786456:JYW786460 JPA786456:JPA786460 JFE786456:JFE786460 IVI786456:IVI786460 ILM786456:ILM786460 IBQ786456:IBQ786460 HRU786456:HRU786460 HHY786456:HHY786460 GYC786456:GYC786460 GOG786456:GOG786460 GEK786456:GEK786460 FUO786456:FUO786460 FKS786456:FKS786460 FAW786456:FAW786460 ERA786456:ERA786460 EHE786456:EHE786460 DXI786456:DXI786460 DNM786456:DNM786460 DDQ786456:DDQ786460 CTU786456:CTU786460 CJY786456:CJY786460 CAC786456:CAC786460 BQG786456:BQG786460 BGK786456:BGK786460 AWO786456:AWO786460 AMS786456:AMS786460 ACW786456:ACW786460 TA786456:TA786460 JE786456:JE786460 I786456:I786460 WVQ720920:WVQ720924 WLU720920:WLU720924 WBY720920:WBY720924 VSC720920:VSC720924 VIG720920:VIG720924 UYK720920:UYK720924 UOO720920:UOO720924 UES720920:UES720924 TUW720920:TUW720924 TLA720920:TLA720924 TBE720920:TBE720924 SRI720920:SRI720924 SHM720920:SHM720924 RXQ720920:RXQ720924 RNU720920:RNU720924 RDY720920:RDY720924 QUC720920:QUC720924 QKG720920:QKG720924 QAK720920:QAK720924 PQO720920:PQO720924 PGS720920:PGS720924 OWW720920:OWW720924 ONA720920:ONA720924 ODE720920:ODE720924 NTI720920:NTI720924 NJM720920:NJM720924 MZQ720920:MZQ720924 MPU720920:MPU720924 MFY720920:MFY720924 LWC720920:LWC720924 LMG720920:LMG720924 LCK720920:LCK720924 KSO720920:KSO720924 KIS720920:KIS720924 JYW720920:JYW720924 JPA720920:JPA720924 JFE720920:JFE720924 IVI720920:IVI720924 ILM720920:ILM720924 IBQ720920:IBQ720924 HRU720920:HRU720924 HHY720920:HHY720924 GYC720920:GYC720924 GOG720920:GOG720924 GEK720920:GEK720924 FUO720920:FUO720924 FKS720920:FKS720924 FAW720920:FAW720924 ERA720920:ERA720924 EHE720920:EHE720924 DXI720920:DXI720924 DNM720920:DNM720924 DDQ720920:DDQ720924 CTU720920:CTU720924 CJY720920:CJY720924 CAC720920:CAC720924 BQG720920:BQG720924 BGK720920:BGK720924 AWO720920:AWO720924 AMS720920:AMS720924 ACW720920:ACW720924 TA720920:TA720924 JE720920:JE720924 I720920:I720924 WVQ655384:WVQ655388 WLU655384:WLU655388 WBY655384:WBY655388 VSC655384:VSC655388 VIG655384:VIG655388 UYK655384:UYK655388 UOO655384:UOO655388 UES655384:UES655388 TUW655384:TUW655388 TLA655384:TLA655388 TBE655384:TBE655388 SRI655384:SRI655388 SHM655384:SHM655388 RXQ655384:RXQ655388 RNU655384:RNU655388 RDY655384:RDY655388 QUC655384:QUC655388 QKG655384:QKG655388 QAK655384:QAK655388 PQO655384:PQO655388 PGS655384:PGS655388 OWW655384:OWW655388 ONA655384:ONA655388 ODE655384:ODE655388 NTI655384:NTI655388 NJM655384:NJM655388 MZQ655384:MZQ655388 MPU655384:MPU655388 MFY655384:MFY655388 LWC655384:LWC655388 LMG655384:LMG655388 LCK655384:LCK655388 KSO655384:KSO655388 KIS655384:KIS655388 JYW655384:JYW655388 JPA655384:JPA655388 JFE655384:JFE655388 IVI655384:IVI655388 ILM655384:ILM655388 IBQ655384:IBQ655388 HRU655384:HRU655388 HHY655384:HHY655388 GYC655384:GYC655388 GOG655384:GOG655388 GEK655384:GEK655388 FUO655384:FUO655388 FKS655384:FKS655388 FAW655384:FAW655388 ERA655384:ERA655388 EHE655384:EHE655388 DXI655384:DXI655388 DNM655384:DNM655388 DDQ655384:DDQ655388 CTU655384:CTU655388 CJY655384:CJY655388 CAC655384:CAC655388 BQG655384:BQG655388 BGK655384:BGK655388 AWO655384:AWO655388 AMS655384:AMS655388 ACW655384:ACW655388 TA655384:TA655388 JE655384:JE655388 I655384:I655388 WVQ589848:WVQ589852 WLU589848:WLU589852 WBY589848:WBY589852 VSC589848:VSC589852 VIG589848:VIG589852 UYK589848:UYK589852 UOO589848:UOO589852 UES589848:UES589852 TUW589848:TUW589852 TLA589848:TLA589852 TBE589848:TBE589852 SRI589848:SRI589852 SHM589848:SHM589852 RXQ589848:RXQ589852 RNU589848:RNU589852 RDY589848:RDY589852 QUC589848:QUC589852 QKG589848:QKG589852 QAK589848:QAK589852 PQO589848:PQO589852 PGS589848:PGS589852 OWW589848:OWW589852 ONA589848:ONA589852 ODE589848:ODE589852 NTI589848:NTI589852 NJM589848:NJM589852 MZQ589848:MZQ589852 MPU589848:MPU589852 MFY589848:MFY589852 LWC589848:LWC589852 LMG589848:LMG589852 LCK589848:LCK589852 KSO589848:KSO589852 KIS589848:KIS589852 JYW589848:JYW589852 JPA589848:JPA589852 JFE589848:JFE589852 IVI589848:IVI589852 ILM589848:ILM589852 IBQ589848:IBQ589852 HRU589848:HRU589852 HHY589848:HHY589852 GYC589848:GYC589852 GOG589848:GOG589852 GEK589848:GEK589852 FUO589848:FUO589852 FKS589848:FKS589852 FAW589848:FAW589852 ERA589848:ERA589852 EHE589848:EHE589852 DXI589848:DXI589852 DNM589848:DNM589852 DDQ589848:DDQ589852 CTU589848:CTU589852 CJY589848:CJY589852 CAC589848:CAC589852 BQG589848:BQG589852 BGK589848:BGK589852 AWO589848:AWO589852 AMS589848:AMS589852 ACW589848:ACW589852 TA589848:TA589852 JE589848:JE589852 I589848:I589852 WVQ524312:WVQ524316 WLU524312:WLU524316 WBY524312:WBY524316 VSC524312:VSC524316 VIG524312:VIG524316 UYK524312:UYK524316 UOO524312:UOO524316 UES524312:UES524316 TUW524312:TUW524316 TLA524312:TLA524316 TBE524312:TBE524316 SRI524312:SRI524316 SHM524312:SHM524316 RXQ524312:RXQ524316 RNU524312:RNU524316 RDY524312:RDY524316 QUC524312:QUC524316 QKG524312:QKG524316 QAK524312:QAK524316 PQO524312:PQO524316 PGS524312:PGS524316 OWW524312:OWW524316 ONA524312:ONA524316 ODE524312:ODE524316 NTI524312:NTI524316 NJM524312:NJM524316 MZQ524312:MZQ524316 MPU524312:MPU524316 MFY524312:MFY524316 LWC524312:LWC524316 LMG524312:LMG524316 LCK524312:LCK524316 KSO524312:KSO524316 KIS524312:KIS524316 JYW524312:JYW524316 JPA524312:JPA524316 JFE524312:JFE524316 IVI524312:IVI524316 ILM524312:ILM524316 IBQ524312:IBQ524316 HRU524312:HRU524316 HHY524312:HHY524316 GYC524312:GYC524316 GOG524312:GOG524316 GEK524312:GEK524316 FUO524312:FUO524316 FKS524312:FKS524316 FAW524312:FAW524316 ERA524312:ERA524316 EHE524312:EHE524316 DXI524312:DXI524316 DNM524312:DNM524316 DDQ524312:DDQ524316 CTU524312:CTU524316 CJY524312:CJY524316 CAC524312:CAC524316 BQG524312:BQG524316 BGK524312:BGK524316 AWO524312:AWO524316 AMS524312:AMS524316 ACW524312:ACW524316 TA524312:TA524316 JE524312:JE524316 I524312:I524316 WVQ458776:WVQ458780 WLU458776:WLU458780 WBY458776:WBY458780 VSC458776:VSC458780 VIG458776:VIG458780 UYK458776:UYK458780 UOO458776:UOO458780 UES458776:UES458780 TUW458776:TUW458780 TLA458776:TLA458780 TBE458776:TBE458780 SRI458776:SRI458780 SHM458776:SHM458780 RXQ458776:RXQ458780 RNU458776:RNU458780 RDY458776:RDY458780 QUC458776:QUC458780 QKG458776:QKG458780 QAK458776:QAK458780 PQO458776:PQO458780 PGS458776:PGS458780 OWW458776:OWW458780 ONA458776:ONA458780 ODE458776:ODE458780 NTI458776:NTI458780 NJM458776:NJM458780 MZQ458776:MZQ458780 MPU458776:MPU458780 MFY458776:MFY458780 LWC458776:LWC458780 LMG458776:LMG458780 LCK458776:LCK458780 KSO458776:KSO458780 KIS458776:KIS458780 JYW458776:JYW458780 JPA458776:JPA458780 JFE458776:JFE458780 IVI458776:IVI458780 ILM458776:ILM458780 IBQ458776:IBQ458780 HRU458776:HRU458780 HHY458776:HHY458780 GYC458776:GYC458780 GOG458776:GOG458780 GEK458776:GEK458780 FUO458776:FUO458780 FKS458776:FKS458780 FAW458776:FAW458780 ERA458776:ERA458780 EHE458776:EHE458780 DXI458776:DXI458780 DNM458776:DNM458780 DDQ458776:DDQ458780 CTU458776:CTU458780 CJY458776:CJY458780 CAC458776:CAC458780 BQG458776:BQG458780 BGK458776:BGK458780 AWO458776:AWO458780 AMS458776:AMS458780 ACW458776:ACW458780 TA458776:TA458780 JE458776:JE458780 I458776:I458780 WVQ393240:WVQ393244 WLU393240:WLU393244 WBY393240:WBY393244 VSC393240:VSC393244 VIG393240:VIG393244 UYK393240:UYK393244 UOO393240:UOO393244 UES393240:UES393244 TUW393240:TUW393244 TLA393240:TLA393244 TBE393240:TBE393244 SRI393240:SRI393244 SHM393240:SHM393244 RXQ393240:RXQ393244 RNU393240:RNU393244 RDY393240:RDY393244 QUC393240:QUC393244 QKG393240:QKG393244 QAK393240:QAK393244 PQO393240:PQO393244 PGS393240:PGS393244 OWW393240:OWW393244 ONA393240:ONA393244 ODE393240:ODE393244 NTI393240:NTI393244 NJM393240:NJM393244 MZQ393240:MZQ393244 MPU393240:MPU393244 MFY393240:MFY393244 LWC393240:LWC393244 LMG393240:LMG393244 LCK393240:LCK393244 KSO393240:KSO393244 KIS393240:KIS393244 JYW393240:JYW393244 JPA393240:JPA393244 JFE393240:JFE393244 IVI393240:IVI393244 ILM393240:ILM393244 IBQ393240:IBQ393244 HRU393240:HRU393244 HHY393240:HHY393244 GYC393240:GYC393244 GOG393240:GOG393244 GEK393240:GEK393244 FUO393240:FUO393244 FKS393240:FKS393244 FAW393240:FAW393244 ERA393240:ERA393244 EHE393240:EHE393244 DXI393240:DXI393244 DNM393240:DNM393244 DDQ393240:DDQ393244 CTU393240:CTU393244 CJY393240:CJY393244 CAC393240:CAC393244 BQG393240:BQG393244 BGK393240:BGK393244 AWO393240:AWO393244 AMS393240:AMS393244 ACW393240:ACW393244 TA393240:TA393244 JE393240:JE393244 I393240:I393244 WVQ327704:WVQ327708 WLU327704:WLU327708 WBY327704:WBY327708 VSC327704:VSC327708 VIG327704:VIG327708 UYK327704:UYK327708 UOO327704:UOO327708 UES327704:UES327708 TUW327704:TUW327708 TLA327704:TLA327708 TBE327704:TBE327708 SRI327704:SRI327708 SHM327704:SHM327708 RXQ327704:RXQ327708 RNU327704:RNU327708 RDY327704:RDY327708 QUC327704:QUC327708 QKG327704:QKG327708 QAK327704:QAK327708 PQO327704:PQO327708 PGS327704:PGS327708 OWW327704:OWW327708 ONA327704:ONA327708 ODE327704:ODE327708 NTI327704:NTI327708 NJM327704:NJM327708 MZQ327704:MZQ327708 MPU327704:MPU327708 MFY327704:MFY327708 LWC327704:LWC327708 LMG327704:LMG327708 LCK327704:LCK327708 KSO327704:KSO327708 KIS327704:KIS327708 JYW327704:JYW327708 JPA327704:JPA327708 JFE327704:JFE327708 IVI327704:IVI327708 ILM327704:ILM327708 IBQ327704:IBQ327708 HRU327704:HRU327708 HHY327704:HHY327708 GYC327704:GYC327708 GOG327704:GOG327708 GEK327704:GEK327708 FUO327704:FUO327708 FKS327704:FKS327708 FAW327704:FAW327708 ERA327704:ERA327708 EHE327704:EHE327708 DXI327704:DXI327708 DNM327704:DNM327708 DDQ327704:DDQ327708 CTU327704:CTU327708 CJY327704:CJY327708 CAC327704:CAC327708 BQG327704:BQG327708 BGK327704:BGK327708 AWO327704:AWO327708 AMS327704:AMS327708 ACW327704:ACW327708 TA327704:TA327708 JE327704:JE327708 I327704:I327708 WVQ262168:WVQ262172 WLU262168:WLU262172 WBY262168:WBY262172 VSC262168:VSC262172 VIG262168:VIG262172 UYK262168:UYK262172 UOO262168:UOO262172 UES262168:UES262172 TUW262168:TUW262172 TLA262168:TLA262172 TBE262168:TBE262172 SRI262168:SRI262172 SHM262168:SHM262172 RXQ262168:RXQ262172 RNU262168:RNU262172 RDY262168:RDY262172 QUC262168:QUC262172 QKG262168:QKG262172 QAK262168:QAK262172 PQO262168:PQO262172 PGS262168:PGS262172 OWW262168:OWW262172 ONA262168:ONA262172 ODE262168:ODE262172 NTI262168:NTI262172 NJM262168:NJM262172 MZQ262168:MZQ262172 MPU262168:MPU262172 MFY262168:MFY262172 LWC262168:LWC262172 LMG262168:LMG262172 LCK262168:LCK262172 KSO262168:KSO262172 KIS262168:KIS262172 JYW262168:JYW262172 JPA262168:JPA262172 JFE262168:JFE262172 IVI262168:IVI262172 ILM262168:ILM262172 IBQ262168:IBQ262172 HRU262168:HRU262172 HHY262168:HHY262172 GYC262168:GYC262172 GOG262168:GOG262172 GEK262168:GEK262172 FUO262168:FUO262172 FKS262168:FKS262172 FAW262168:FAW262172 ERA262168:ERA262172 EHE262168:EHE262172 DXI262168:DXI262172 DNM262168:DNM262172 DDQ262168:DDQ262172 CTU262168:CTU262172 CJY262168:CJY262172 CAC262168:CAC262172 BQG262168:BQG262172 BGK262168:BGK262172 AWO262168:AWO262172 AMS262168:AMS262172 ACW262168:ACW262172 TA262168:TA262172 JE262168:JE262172 I262168:I262172 WVQ196632:WVQ196636 WLU196632:WLU196636 WBY196632:WBY196636 VSC196632:VSC196636 VIG196632:VIG196636 UYK196632:UYK196636 UOO196632:UOO196636 UES196632:UES196636 TUW196632:TUW196636 TLA196632:TLA196636 TBE196632:TBE196636 SRI196632:SRI196636 SHM196632:SHM196636 RXQ196632:RXQ196636 RNU196632:RNU196636 RDY196632:RDY196636 QUC196632:QUC196636 QKG196632:QKG196636 QAK196632:QAK196636 PQO196632:PQO196636 PGS196632:PGS196636 OWW196632:OWW196636 ONA196632:ONA196636 ODE196632:ODE196636 NTI196632:NTI196636 NJM196632:NJM196636 MZQ196632:MZQ196636 MPU196632:MPU196636 MFY196632:MFY196636 LWC196632:LWC196636 LMG196632:LMG196636 LCK196632:LCK196636 KSO196632:KSO196636 KIS196632:KIS196636 JYW196632:JYW196636 JPA196632:JPA196636 JFE196632:JFE196636 IVI196632:IVI196636 ILM196632:ILM196636 IBQ196632:IBQ196636 HRU196632:HRU196636 HHY196632:HHY196636 GYC196632:GYC196636 GOG196632:GOG196636 GEK196632:GEK196636 FUO196632:FUO196636 FKS196632:FKS196636 FAW196632:FAW196636 ERA196632:ERA196636 EHE196632:EHE196636 DXI196632:DXI196636 DNM196632:DNM196636 DDQ196632:DDQ196636 CTU196632:CTU196636 CJY196632:CJY196636 CAC196632:CAC196636 BQG196632:BQG196636 BGK196632:BGK196636 AWO196632:AWO196636 AMS196632:AMS196636 ACW196632:ACW196636 TA196632:TA196636 JE196632:JE196636 I196632:I196636 WVQ131096:WVQ131100 WLU131096:WLU131100 WBY131096:WBY131100 VSC131096:VSC131100 VIG131096:VIG131100 UYK131096:UYK131100 UOO131096:UOO131100 UES131096:UES131100 TUW131096:TUW131100 TLA131096:TLA131100 TBE131096:TBE131100 SRI131096:SRI131100 SHM131096:SHM131100 RXQ131096:RXQ131100 RNU131096:RNU131100 RDY131096:RDY131100 QUC131096:QUC131100 QKG131096:QKG131100 QAK131096:QAK131100 PQO131096:PQO131100 PGS131096:PGS131100 OWW131096:OWW131100 ONA131096:ONA131100 ODE131096:ODE131100 NTI131096:NTI131100 NJM131096:NJM131100 MZQ131096:MZQ131100 MPU131096:MPU131100 MFY131096:MFY131100 LWC131096:LWC131100 LMG131096:LMG131100 LCK131096:LCK131100 KSO131096:KSO131100 KIS131096:KIS131100 JYW131096:JYW131100 JPA131096:JPA131100 JFE131096:JFE131100 IVI131096:IVI131100 ILM131096:ILM131100 IBQ131096:IBQ131100 HRU131096:HRU131100 HHY131096:HHY131100 GYC131096:GYC131100 GOG131096:GOG131100 GEK131096:GEK131100 FUO131096:FUO131100 FKS131096:FKS131100 FAW131096:FAW131100 ERA131096:ERA131100 EHE131096:EHE131100 DXI131096:DXI131100 DNM131096:DNM131100 DDQ131096:DDQ131100 CTU131096:CTU131100 CJY131096:CJY131100 CAC131096:CAC131100 BQG131096:BQG131100 BGK131096:BGK131100 AWO131096:AWO131100 AMS131096:AMS131100 ACW131096:ACW131100 TA131096:TA131100 JE131096:JE131100 I131096:I131100 WVQ65560:WVQ65564 WLU65560:WLU65564 WBY65560:WBY65564 VSC65560:VSC65564 VIG65560:VIG65564 UYK65560:UYK65564 UOO65560:UOO65564 UES65560:UES65564 TUW65560:TUW65564 TLA65560:TLA65564 TBE65560:TBE65564 SRI65560:SRI65564 SHM65560:SHM65564 RXQ65560:RXQ65564 RNU65560:RNU65564 RDY65560:RDY65564 QUC65560:QUC65564 QKG65560:QKG65564 QAK65560:QAK65564 PQO65560:PQO65564 PGS65560:PGS65564 OWW65560:OWW65564 ONA65560:ONA65564 ODE65560:ODE65564 NTI65560:NTI65564 NJM65560:NJM65564 MZQ65560:MZQ65564 MPU65560:MPU65564 MFY65560:MFY65564 LWC65560:LWC65564 LMG65560:LMG65564 LCK65560:LCK65564 KSO65560:KSO65564 KIS65560:KIS65564 JYW65560:JYW65564 JPA65560:JPA65564 JFE65560:JFE65564 IVI65560:IVI65564 ILM65560:ILM65564 IBQ65560:IBQ65564 HRU65560:HRU65564 HHY65560:HHY65564 GYC65560:GYC65564 GOG65560:GOG65564 GEK65560:GEK65564 FUO65560:FUO65564 FKS65560:FKS65564 FAW65560:FAW65564 ERA65560:ERA65564 EHE65560:EHE65564 DXI65560:DXI65564 DNM65560:DNM65564 DDQ65560:DDQ65564 CTU65560:CTU65564 CJY65560:CJY65564 CAC65560:CAC65564 BQG65560:BQG65564 BGK65560:BGK65564 AWO65560:AWO65564 AMS65560:AMS65564 ACW65560:ACW65564 TA65560:TA65564 JE65560:JE65564 I65560:I65564 WVQ23:WVQ28 WLU23:WLU28 WBY23:WBY28 VSC23:VSC28 VIG23:VIG28 UYK23:UYK28 UOO23:UOO28 UES23:UES28 TUW23:TUW28 TLA23:TLA28 TBE23:TBE28 SRI23:SRI28 SHM23:SHM28 RXQ23:RXQ28 RNU23:RNU28 RDY23:RDY28 QUC23:QUC28 QKG23:QKG28 QAK23:QAK28 PQO23:PQO28 PGS23:PGS28 OWW23:OWW28 ONA23:ONA28 ODE23:ODE28 NTI23:NTI28 NJM23:NJM28 MZQ23:MZQ28 MPU23:MPU28 MFY23:MFY28 LWC23:LWC28 LMG23:LMG28 LCK23:LCK28 KSO23:KSO28 KIS23:KIS28 JYW23:JYW28 JPA23:JPA28 JFE23:JFE28 IVI23:IVI28 ILM23:ILM28 IBQ23:IBQ28 HRU23:HRU28 HHY23:HHY28 GYC23:GYC28 GOG23:GOG28 GEK23:GEK28 FUO23:FUO28 FKS23:FKS28 FAW23:FAW28 ERA23:ERA28 EHE23:EHE28 DXI23:DXI28 DNM23:DNM28 DDQ23:DDQ28 CTU23:CTU28 CJY23:CJY28 CAC23:CAC28 BQG23:BQG28 BGK23:BGK28 AWO23:AWO28 AMS23:AMS28 ACW23:ACW28 TA23:TA28 JE23:JE28">
      <formula1>"Permenant,Temporary,Other"</formula1>
    </dataValidation>
    <dataValidation allowBlank="1" sqref="A52:E52 WVI983092:WVM983092 WLM983092:WLQ983092 WBQ983092:WBU983092 VRU983092:VRY983092 VHY983092:VIC983092 UYC983092:UYG983092 UOG983092:UOK983092 UEK983092:UEO983092 TUO983092:TUS983092 TKS983092:TKW983092 TAW983092:TBA983092 SRA983092:SRE983092 SHE983092:SHI983092 RXI983092:RXM983092 RNM983092:RNQ983092 RDQ983092:RDU983092 QTU983092:QTY983092 QJY983092:QKC983092 QAC983092:QAG983092 PQG983092:PQK983092 PGK983092:PGO983092 OWO983092:OWS983092 OMS983092:OMW983092 OCW983092:ODA983092 NTA983092:NTE983092 NJE983092:NJI983092 MZI983092:MZM983092 MPM983092:MPQ983092 MFQ983092:MFU983092 LVU983092:LVY983092 LLY983092:LMC983092 LCC983092:LCG983092 KSG983092:KSK983092 KIK983092:KIO983092 JYO983092:JYS983092 JOS983092:JOW983092 JEW983092:JFA983092 IVA983092:IVE983092 ILE983092:ILI983092 IBI983092:IBM983092 HRM983092:HRQ983092 HHQ983092:HHU983092 GXU983092:GXY983092 GNY983092:GOC983092 GEC983092:GEG983092 FUG983092:FUK983092 FKK983092:FKO983092 FAO983092:FAS983092 EQS983092:EQW983092 EGW983092:EHA983092 DXA983092:DXE983092 DNE983092:DNI983092 DDI983092:DDM983092 CTM983092:CTQ983092 CJQ983092:CJU983092 BZU983092:BZY983092 BPY983092:BQC983092 BGC983092:BGG983092 AWG983092:AWK983092 AMK983092:AMO983092 ACO983092:ACS983092 SS983092:SW983092 IW983092:JA983092 A983092:E983092 WVI917556:WVM917556 WLM917556:WLQ917556 WBQ917556:WBU917556 VRU917556:VRY917556 VHY917556:VIC917556 UYC917556:UYG917556 UOG917556:UOK917556 UEK917556:UEO917556 TUO917556:TUS917556 TKS917556:TKW917556 TAW917556:TBA917556 SRA917556:SRE917556 SHE917556:SHI917556 RXI917556:RXM917556 RNM917556:RNQ917556 RDQ917556:RDU917556 QTU917556:QTY917556 QJY917556:QKC917556 QAC917556:QAG917556 PQG917556:PQK917556 PGK917556:PGO917556 OWO917556:OWS917556 OMS917556:OMW917556 OCW917556:ODA917556 NTA917556:NTE917556 NJE917556:NJI917556 MZI917556:MZM917556 MPM917556:MPQ917556 MFQ917556:MFU917556 LVU917556:LVY917556 LLY917556:LMC917556 LCC917556:LCG917556 KSG917556:KSK917556 KIK917556:KIO917556 JYO917556:JYS917556 JOS917556:JOW917556 JEW917556:JFA917556 IVA917556:IVE917556 ILE917556:ILI917556 IBI917556:IBM917556 HRM917556:HRQ917556 HHQ917556:HHU917556 GXU917556:GXY917556 GNY917556:GOC917556 GEC917556:GEG917556 FUG917556:FUK917556 FKK917556:FKO917556 FAO917556:FAS917556 EQS917556:EQW917556 EGW917556:EHA917556 DXA917556:DXE917556 DNE917556:DNI917556 DDI917556:DDM917556 CTM917556:CTQ917556 CJQ917556:CJU917556 BZU917556:BZY917556 BPY917556:BQC917556 BGC917556:BGG917556 AWG917556:AWK917556 AMK917556:AMO917556 ACO917556:ACS917556 SS917556:SW917556 IW917556:JA917556 A917556:E917556 WVI852020:WVM852020 WLM852020:WLQ852020 WBQ852020:WBU852020 VRU852020:VRY852020 VHY852020:VIC852020 UYC852020:UYG852020 UOG852020:UOK852020 UEK852020:UEO852020 TUO852020:TUS852020 TKS852020:TKW852020 TAW852020:TBA852020 SRA852020:SRE852020 SHE852020:SHI852020 RXI852020:RXM852020 RNM852020:RNQ852020 RDQ852020:RDU852020 QTU852020:QTY852020 QJY852020:QKC852020 QAC852020:QAG852020 PQG852020:PQK852020 PGK852020:PGO852020 OWO852020:OWS852020 OMS852020:OMW852020 OCW852020:ODA852020 NTA852020:NTE852020 NJE852020:NJI852020 MZI852020:MZM852020 MPM852020:MPQ852020 MFQ852020:MFU852020 LVU852020:LVY852020 LLY852020:LMC852020 LCC852020:LCG852020 KSG852020:KSK852020 KIK852020:KIO852020 JYO852020:JYS852020 JOS852020:JOW852020 JEW852020:JFA852020 IVA852020:IVE852020 ILE852020:ILI852020 IBI852020:IBM852020 HRM852020:HRQ852020 HHQ852020:HHU852020 GXU852020:GXY852020 GNY852020:GOC852020 GEC852020:GEG852020 FUG852020:FUK852020 FKK852020:FKO852020 FAO852020:FAS852020 EQS852020:EQW852020 EGW852020:EHA852020 DXA852020:DXE852020 DNE852020:DNI852020 DDI852020:DDM852020 CTM852020:CTQ852020 CJQ852020:CJU852020 BZU852020:BZY852020 BPY852020:BQC852020 BGC852020:BGG852020 AWG852020:AWK852020 AMK852020:AMO852020 ACO852020:ACS852020 SS852020:SW852020 IW852020:JA852020 A852020:E852020 WVI786484:WVM786484 WLM786484:WLQ786484 WBQ786484:WBU786484 VRU786484:VRY786484 VHY786484:VIC786484 UYC786484:UYG786484 UOG786484:UOK786484 UEK786484:UEO786484 TUO786484:TUS786484 TKS786484:TKW786484 TAW786484:TBA786484 SRA786484:SRE786484 SHE786484:SHI786484 RXI786484:RXM786484 RNM786484:RNQ786484 RDQ786484:RDU786484 QTU786484:QTY786484 QJY786484:QKC786484 QAC786484:QAG786484 PQG786484:PQK786484 PGK786484:PGO786484 OWO786484:OWS786484 OMS786484:OMW786484 OCW786484:ODA786484 NTA786484:NTE786484 NJE786484:NJI786484 MZI786484:MZM786484 MPM786484:MPQ786484 MFQ786484:MFU786484 LVU786484:LVY786484 LLY786484:LMC786484 LCC786484:LCG786484 KSG786484:KSK786484 KIK786484:KIO786484 JYO786484:JYS786484 JOS786484:JOW786484 JEW786484:JFA786484 IVA786484:IVE786484 ILE786484:ILI786484 IBI786484:IBM786484 HRM786484:HRQ786484 HHQ786484:HHU786484 GXU786484:GXY786484 GNY786484:GOC786484 GEC786484:GEG786484 FUG786484:FUK786484 FKK786484:FKO786484 FAO786484:FAS786484 EQS786484:EQW786484 EGW786484:EHA786484 DXA786484:DXE786484 DNE786484:DNI786484 DDI786484:DDM786484 CTM786484:CTQ786484 CJQ786484:CJU786484 BZU786484:BZY786484 BPY786484:BQC786484 BGC786484:BGG786484 AWG786484:AWK786484 AMK786484:AMO786484 ACO786484:ACS786484 SS786484:SW786484 IW786484:JA786484 A786484:E786484 WVI720948:WVM720948 WLM720948:WLQ720948 WBQ720948:WBU720948 VRU720948:VRY720948 VHY720948:VIC720948 UYC720948:UYG720948 UOG720948:UOK720948 UEK720948:UEO720948 TUO720948:TUS720948 TKS720948:TKW720948 TAW720948:TBA720948 SRA720948:SRE720948 SHE720948:SHI720948 RXI720948:RXM720948 RNM720948:RNQ720948 RDQ720948:RDU720948 QTU720948:QTY720948 QJY720948:QKC720948 QAC720948:QAG720948 PQG720948:PQK720948 PGK720948:PGO720948 OWO720948:OWS720948 OMS720948:OMW720948 OCW720948:ODA720948 NTA720948:NTE720948 NJE720948:NJI720948 MZI720948:MZM720948 MPM720948:MPQ720948 MFQ720948:MFU720948 LVU720948:LVY720948 LLY720948:LMC720948 LCC720948:LCG720948 KSG720948:KSK720948 KIK720948:KIO720948 JYO720948:JYS720948 JOS720948:JOW720948 JEW720948:JFA720948 IVA720948:IVE720948 ILE720948:ILI720948 IBI720948:IBM720948 HRM720948:HRQ720948 HHQ720948:HHU720948 GXU720948:GXY720948 GNY720948:GOC720948 GEC720948:GEG720948 FUG720948:FUK720948 FKK720948:FKO720948 FAO720948:FAS720948 EQS720948:EQW720948 EGW720948:EHA720948 DXA720948:DXE720948 DNE720948:DNI720948 DDI720948:DDM720948 CTM720948:CTQ720948 CJQ720948:CJU720948 BZU720948:BZY720948 BPY720948:BQC720948 BGC720948:BGG720948 AWG720948:AWK720948 AMK720948:AMO720948 ACO720948:ACS720948 SS720948:SW720948 IW720948:JA720948 A720948:E720948 WVI655412:WVM655412 WLM655412:WLQ655412 WBQ655412:WBU655412 VRU655412:VRY655412 VHY655412:VIC655412 UYC655412:UYG655412 UOG655412:UOK655412 UEK655412:UEO655412 TUO655412:TUS655412 TKS655412:TKW655412 TAW655412:TBA655412 SRA655412:SRE655412 SHE655412:SHI655412 RXI655412:RXM655412 RNM655412:RNQ655412 RDQ655412:RDU655412 QTU655412:QTY655412 QJY655412:QKC655412 QAC655412:QAG655412 PQG655412:PQK655412 PGK655412:PGO655412 OWO655412:OWS655412 OMS655412:OMW655412 OCW655412:ODA655412 NTA655412:NTE655412 NJE655412:NJI655412 MZI655412:MZM655412 MPM655412:MPQ655412 MFQ655412:MFU655412 LVU655412:LVY655412 LLY655412:LMC655412 LCC655412:LCG655412 KSG655412:KSK655412 KIK655412:KIO655412 JYO655412:JYS655412 JOS655412:JOW655412 JEW655412:JFA655412 IVA655412:IVE655412 ILE655412:ILI655412 IBI655412:IBM655412 HRM655412:HRQ655412 HHQ655412:HHU655412 GXU655412:GXY655412 GNY655412:GOC655412 GEC655412:GEG655412 FUG655412:FUK655412 FKK655412:FKO655412 FAO655412:FAS655412 EQS655412:EQW655412 EGW655412:EHA655412 DXA655412:DXE655412 DNE655412:DNI655412 DDI655412:DDM655412 CTM655412:CTQ655412 CJQ655412:CJU655412 BZU655412:BZY655412 BPY655412:BQC655412 BGC655412:BGG655412 AWG655412:AWK655412 AMK655412:AMO655412 ACO655412:ACS655412 SS655412:SW655412 IW655412:JA655412 A655412:E655412 WVI589876:WVM589876 WLM589876:WLQ589876 WBQ589876:WBU589876 VRU589876:VRY589876 VHY589876:VIC589876 UYC589876:UYG589876 UOG589876:UOK589876 UEK589876:UEO589876 TUO589876:TUS589876 TKS589876:TKW589876 TAW589876:TBA589876 SRA589876:SRE589876 SHE589876:SHI589876 RXI589876:RXM589876 RNM589876:RNQ589876 RDQ589876:RDU589876 QTU589876:QTY589876 QJY589876:QKC589876 QAC589876:QAG589876 PQG589876:PQK589876 PGK589876:PGO589876 OWO589876:OWS589876 OMS589876:OMW589876 OCW589876:ODA589876 NTA589876:NTE589876 NJE589876:NJI589876 MZI589876:MZM589876 MPM589876:MPQ589876 MFQ589876:MFU589876 LVU589876:LVY589876 LLY589876:LMC589876 LCC589876:LCG589876 KSG589876:KSK589876 KIK589876:KIO589876 JYO589876:JYS589876 JOS589876:JOW589876 JEW589876:JFA589876 IVA589876:IVE589876 ILE589876:ILI589876 IBI589876:IBM589876 HRM589876:HRQ589876 HHQ589876:HHU589876 GXU589876:GXY589876 GNY589876:GOC589876 GEC589876:GEG589876 FUG589876:FUK589876 FKK589876:FKO589876 FAO589876:FAS589876 EQS589876:EQW589876 EGW589876:EHA589876 DXA589876:DXE589876 DNE589876:DNI589876 DDI589876:DDM589876 CTM589876:CTQ589876 CJQ589876:CJU589876 BZU589876:BZY589876 BPY589876:BQC589876 BGC589876:BGG589876 AWG589876:AWK589876 AMK589876:AMO589876 ACO589876:ACS589876 SS589876:SW589876 IW589876:JA589876 A589876:E589876 WVI524340:WVM524340 WLM524340:WLQ524340 WBQ524340:WBU524340 VRU524340:VRY524340 VHY524340:VIC524340 UYC524340:UYG524340 UOG524340:UOK524340 UEK524340:UEO524340 TUO524340:TUS524340 TKS524340:TKW524340 TAW524340:TBA524340 SRA524340:SRE524340 SHE524340:SHI524340 RXI524340:RXM524340 RNM524340:RNQ524340 RDQ524340:RDU524340 QTU524340:QTY524340 QJY524340:QKC524340 QAC524340:QAG524340 PQG524340:PQK524340 PGK524340:PGO524340 OWO524340:OWS524340 OMS524340:OMW524340 OCW524340:ODA524340 NTA524340:NTE524340 NJE524340:NJI524340 MZI524340:MZM524340 MPM524340:MPQ524340 MFQ524340:MFU524340 LVU524340:LVY524340 LLY524340:LMC524340 LCC524340:LCG524340 KSG524340:KSK524340 KIK524340:KIO524340 JYO524340:JYS524340 JOS524340:JOW524340 JEW524340:JFA524340 IVA524340:IVE524340 ILE524340:ILI524340 IBI524340:IBM524340 HRM524340:HRQ524340 HHQ524340:HHU524340 GXU524340:GXY524340 GNY524340:GOC524340 GEC524340:GEG524340 FUG524340:FUK524340 FKK524340:FKO524340 FAO524340:FAS524340 EQS524340:EQW524340 EGW524340:EHA524340 DXA524340:DXE524340 DNE524340:DNI524340 DDI524340:DDM524340 CTM524340:CTQ524340 CJQ524340:CJU524340 BZU524340:BZY524340 BPY524340:BQC524340 BGC524340:BGG524340 AWG524340:AWK524340 AMK524340:AMO524340 ACO524340:ACS524340 SS524340:SW524340 IW524340:JA524340 A524340:E524340 WVI458804:WVM458804 WLM458804:WLQ458804 WBQ458804:WBU458804 VRU458804:VRY458804 VHY458804:VIC458804 UYC458804:UYG458804 UOG458804:UOK458804 UEK458804:UEO458804 TUO458804:TUS458804 TKS458804:TKW458804 TAW458804:TBA458804 SRA458804:SRE458804 SHE458804:SHI458804 RXI458804:RXM458804 RNM458804:RNQ458804 RDQ458804:RDU458804 QTU458804:QTY458804 QJY458804:QKC458804 QAC458804:QAG458804 PQG458804:PQK458804 PGK458804:PGO458804 OWO458804:OWS458804 OMS458804:OMW458804 OCW458804:ODA458804 NTA458804:NTE458804 NJE458804:NJI458804 MZI458804:MZM458804 MPM458804:MPQ458804 MFQ458804:MFU458804 LVU458804:LVY458804 LLY458804:LMC458804 LCC458804:LCG458804 KSG458804:KSK458804 KIK458804:KIO458804 JYO458804:JYS458804 JOS458804:JOW458804 JEW458804:JFA458804 IVA458804:IVE458804 ILE458804:ILI458804 IBI458804:IBM458804 HRM458804:HRQ458804 HHQ458804:HHU458804 GXU458804:GXY458804 GNY458804:GOC458804 GEC458804:GEG458804 FUG458804:FUK458804 FKK458804:FKO458804 FAO458804:FAS458804 EQS458804:EQW458804 EGW458804:EHA458804 DXA458804:DXE458804 DNE458804:DNI458804 DDI458804:DDM458804 CTM458804:CTQ458804 CJQ458804:CJU458804 BZU458804:BZY458804 BPY458804:BQC458804 BGC458804:BGG458804 AWG458804:AWK458804 AMK458804:AMO458804 ACO458804:ACS458804 SS458804:SW458804 IW458804:JA458804 A458804:E458804 WVI393268:WVM393268 WLM393268:WLQ393268 WBQ393268:WBU393268 VRU393268:VRY393268 VHY393268:VIC393268 UYC393268:UYG393268 UOG393268:UOK393268 UEK393268:UEO393268 TUO393268:TUS393268 TKS393268:TKW393268 TAW393268:TBA393268 SRA393268:SRE393268 SHE393268:SHI393268 RXI393268:RXM393268 RNM393268:RNQ393268 RDQ393268:RDU393268 QTU393268:QTY393268 QJY393268:QKC393268 QAC393268:QAG393268 PQG393268:PQK393268 PGK393268:PGO393268 OWO393268:OWS393268 OMS393268:OMW393268 OCW393268:ODA393268 NTA393268:NTE393268 NJE393268:NJI393268 MZI393268:MZM393268 MPM393268:MPQ393268 MFQ393268:MFU393268 LVU393268:LVY393268 LLY393268:LMC393268 LCC393268:LCG393268 KSG393268:KSK393268 KIK393268:KIO393268 JYO393268:JYS393268 JOS393268:JOW393268 JEW393268:JFA393268 IVA393268:IVE393268 ILE393268:ILI393268 IBI393268:IBM393268 HRM393268:HRQ393268 HHQ393268:HHU393268 GXU393268:GXY393268 GNY393268:GOC393268 GEC393268:GEG393268 FUG393268:FUK393268 FKK393268:FKO393268 FAO393268:FAS393268 EQS393268:EQW393268 EGW393268:EHA393268 DXA393268:DXE393268 DNE393268:DNI393268 DDI393268:DDM393268 CTM393268:CTQ393268 CJQ393268:CJU393268 BZU393268:BZY393268 BPY393268:BQC393268 BGC393268:BGG393268 AWG393268:AWK393268 AMK393268:AMO393268 ACO393268:ACS393268 SS393268:SW393268 IW393268:JA393268 A393268:E393268 WVI327732:WVM327732 WLM327732:WLQ327732 WBQ327732:WBU327732 VRU327732:VRY327732 VHY327732:VIC327732 UYC327732:UYG327732 UOG327732:UOK327732 UEK327732:UEO327732 TUO327732:TUS327732 TKS327732:TKW327732 TAW327732:TBA327732 SRA327732:SRE327732 SHE327732:SHI327732 RXI327732:RXM327732 RNM327732:RNQ327732 RDQ327732:RDU327732 QTU327732:QTY327732 QJY327732:QKC327732 QAC327732:QAG327732 PQG327732:PQK327732 PGK327732:PGO327732 OWO327732:OWS327732 OMS327732:OMW327732 OCW327732:ODA327732 NTA327732:NTE327732 NJE327732:NJI327732 MZI327732:MZM327732 MPM327732:MPQ327732 MFQ327732:MFU327732 LVU327732:LVY327732 LLY327732:LMC327732 LCC327732:LCG327732 KSG327732:KSK327732 KIK327732:KIO327732 JYO327732:JYS327732 JOS327732:JOW327732 JEW327732:JFA327732 IVA327732:IVE327732 ILE327732:ILI327732 IBI327732:IBM327732 HRM327732:HRQ327732 HHQ327732:HHU327732 GXU327732:GXY327732 GNY327732:GOC327732 GEC327732:GEG327732 FUG327732:FUK327732 FKK327732:FKO327732 FAO327732:FAS327732 EQS327732:EQW327732 EGW327732:EHA327732 DXA327732:DXE327732 DNE327732:DNI327732 DDI327732:DDM327732 CTM327732:CTQ327732 CJQ327732:CJU327732 BZU327732:BZY327732 BPY327732:BQC327732 BGC327732:BGG327732 AWG327732:AWK327732 AMK327732:AMO327732 ACO327732:ACS327732 SS327732:SW327732 IW327732:JA327732 A327732:E327732 WVI262196:WVM262196 WLM262196:WLQ262196 WBQ262196:WBU262196 VRU262196:VRY262196 VHY262196:VIC262196 UYC262196:UYG262196 UOG262196:UOK262196 UEK262196:UEO262196 TUO262196:TUS262196 TKS262196:TKW262196 TAW262196:TBA262196 SRA262196:SRE262196 SHE262196:SHI262196 RXI262196:RXM262196 RNM262196:RNQ262196 RDQ262196:RDU262196 QTU262196:QTY262196 QJY262196:QKC262196 QAC262196:QAG262196 PQG262196:PQK262196 PGK262196:PGO262196 OWO262196:OWS262196 OMS262196:OMW262196 OCW262196:ODA262196 NTA262196:NTE262196 NJE262196:NJI262196 MZI262196:MZM262196 MPM262196:MPQ262196 MFQ262196:MFU262196 LVU262196:LVY262196 LLY262196:LMC262196 LCC262196:LCG262196 KSG262196:KSK262196 KIK262196:KIO262196 JYO262196:JYS262196 JOS262196:JOW262196 JEW262196:JFA262196 IVA262196:IVE262196 ILE262196:ILI262196 IBI262196:IBM262196 HRM262196:HRQ262196 HHQ262196:HHU262196 GXU262196:GXY262196 GNY262196:GOC262196 GEC262196:GEG262196 FUG262196:FUK262196 FKK262196:FKO262196 FAO262196:FAS262196 EQS262196:EQW262196 EGW262196:EHA262196 DXA262196:DXE262196 DNE262196:DNI262196 DDI262196:DDM262196 CTM262196:CTQ262196 CJQ262196:CJU262196 BZU262196:BZY262196 BPY262196:BQC262196 BGC262196:BGG262196 AWG262196:AWK262196 AMK262196:AMO262196 ACO262196:ACS262196 SS262196:SW262196 IW262196:JA262196 A262196:E262196 WVI196660:WVM196660 WLM196660:WLQ196660 WBQ196660:WBU196660 VRU196660:VRY196660 VHY196660:VIC196660 UYC196660:UYG196660 UOG196660:UOK196660 UEK196660:UEO196660 TUO196660:TUS196660 TKS196660:TKW196660 TAW196660:TBA196660 SRA196660:SRE196660 SHE196660:SHI196660 RXI196660:RXM196660 RNM196660:RNQ196660 RDQ196660:RDU196660 QTU196660:QTY196660 QJY196660:QKC196660 QAC196660:QAG196660 PQG196660:PQK196660 PGK196660:PGO196660 OWO196660:OWS196660 OMS196660:OMW196660 OCW196660:ODA196660 NTA196660:NTE196660 NJE196660:NJI196660 MZI196660:MZM196660 MPM196660:MPQ196660 MFQ196660:MFU196660 LVU196660:LVY196660 LLY196660:LMC196660 LCC196660:LCG196660 KSG196660:KSK196660 KIK196660:KIO196660 JYO196660:JYS196660 JOS196660:JOW196660 JEW196660:JFA196660 IVA196660:IVE196660 ILE196660:ILI196660 IBI196660:IBM196660 HRM196660:HRQ196660 HHQ196660:HHU196660 GXU196660:GXY196660 GNY196660:GOC196660 GEC196660:GEG196660 FUG196660:FUK196660 FKK196660:FKO196660 FAO196660:FAS196660 EQS196660:EQW196660 EGW196660:EHA196660 DXA196660:DXE196660 DNE196660:DNI196660 DDI196660:DDM196660 CTM196660:CTQ196660 CJQ196660:CJU196660 BZU196660:BZY196660 BPY196660:BQC196660 BGC196660:BGG196660 AWG196660:AWK196660 AMK196660:AMO196660 ACO196660:ACS196660 SS196660:SW196660 IW196660:JA196660 A196660:E196660 WVI131124:WVM131124 WLM131124:WLQ131124 WBQ131124:WBU131124 VRU131124:VRY131124 VHY131124:VIC131124 UYC131124:UYG131124 UOG131124:UOK131124 UEK131124:UEO131124 TUO131124:TUS131124 TKS131124:TKW131124 TAW131124:TBA131124 SRA131124:SRE131124 SHE131124:SHI131124 RXI131124:RXM131124 RNM131124:RNQ131124 RDQ131124:RDU131124 QTU131124:QTY131124 QJY131124:QKC131124 QAC131124:QAG131124 PQG131124:PQK131124 PGK131124:PGO131124 OWO131124:OWS131124 OMS131124:OMW131124 OCW131124:ODA131124 NTA131124:NTE131124 NJE131124:NJI131124 MZI131124:MZM131124 MPM131124:MPQ131124 MFQ131124:MFU131124 LVU131124:LVY131124 LLY131124:LMC131124 LCC131124:LCG131124 KSG131124:KSK131124 KIK131124:KIO131124 JYO131124:JYS131124 JOS131124:JOW131124 JEW131124:JFA131124 IVA131124:IVE131124 ILE131124:ILI131124 IBI131124:IBM131124 HRM131124:HRQ131124 HHQ131124:HHU131124 GXU131124:GXY131124 GNY131124:GOC131124 GEC131124:GEG131124 FUG131124:FUK131124 FKK131124:FKO131124 FAO131124:FAS131124 EQS131124:EQW131124 EGW131124:EHA131124 DXA131124:DXE131124 DNE131124:DNI131124 DDI131124:DDM131124 CTM131124:CTQ131124 CJQ131124:CJU131124 BZU131124:BZY131124 BPY131124:BQC131124 BGC131124:BGG131124 AWG131124:AWK131124 AMK131124:AMO131124 ACO131124:ACS131124 SS131124:SW131124 IW131124:JA131124 A131124:E131124 WVI65588:WVM65588 WLM65588:WLQ65588 WBQ65588:WBU65588 VRU65588:VRY65588 VHY65588:VIC65588 UYC65588:UYG65588 UOG65588:UOK65588 UEK65588:UEO65588 TUO65588:TUS65588 TKS65588:TKW65588 TAW65588:TBA65588 SRA65588:SRE65588 SHE65588:SHI65588 RXI65588:RXM65588 RNM65588:RNQ65588 RDQ65588:RDU65588 QTU65588:QTY65588 QJY65588:QKC65588 QAC65588:QAG65588 PQG65588:PQK65588 PGK65588:PGO65588 OWO65588:OWS65588 OMS65588:OMW65588 OCW65588:ODA65588 NTA65588:NTE65588 NJE65588:NJI65588 MZI65588:MZM65588 MPM65588:MPQ65588 MFQ65588:MFU65588 LVU65588:LVY65588 LLY65588:LMC65588 LCC65588:LCG65588 KSG65588:KSK65588 KIK65588:KIO65588 JYO65588:JYS65588 JOS65588:JOW65588 JEW65588:JFA65588 IVA65588:IVE65588 ILE65588:ILI65588 IBI65588:IBM65588 HRM65588:HRQ65588 HHQ65588:HHU65588 GXU65588:GXY65588 GNY65588:GOC65588 GEC65588:GEG65588 FUG65588:FUK65588 FKK65588:FKO65588 FAO65588:FAS65588 EQS65588:EQW65588 EGW65588:EHA65588 DXA65588:DXE65588 DNE65588:DNI65588 DDI65588:DDM65588 CTM65588:CTQ65588 CJQ65588:CJU65588 BZU65588:BZY65588 BPY65588:BQC65588 BGC65588:BGG65588 AWG65588:AWK65588 AMK65588:AMO65588 ACO65588:ACS65588 SS65588:SW65588 IW65588:JA65588 A65588:E65588 WVI52:WVM52 WLM52:WLQ52 WBQ52:WBU52 VRU52:VRY52 VHY52:VIC52 UYC52:UYG52 UOG52:UOK52 UEK52:UEO52 TUO52:TUS52 TKS52:TKW52 TAW52:TBA52 SRA52:SRE52 SHE52:SHI52 RXI52:RXM52 RNM52:RNQ52 RDQ52:RDU52 QTU52:QTY52 QJY52:QKC52 QAC52:QAG52 PQG52:PQK52 PGK52:PGO52 OWO52:OWS52 OMS52:OMW52 OCW52:ODA52 NTA52:NTE52 NJE52:NJI52 MZI52:MZM52 MPM52:MPQ52 MFQ52:MFU52 LVU52:LVY52 LLY52:LMC52 LCC52:LCG52 KSG52:KSK52 KIK52:KIO52 JYO52:JYS52 JOS52:JOW52 JEW52:JFA52 IVA52:IVE52 ILE52:ILI52 IBI52:IBM52 HRM52:HRQ52 HHQ52:HHU52 GXU52:GXY52 GNY52:GOC52 GEC52:GEG52 FUG52:FUK52 FKK52:FKO52 FAO52:FAS52 EQS52:EQW52 EGW52:EHA52 DXA52:DXE52 DNE52:DNI52 DDI52:DDM52 CTM52:CTQ52 CJQ52:CJU52 BZU52:BZY52 BPY52:BQC52 BGC52:BGG52 AWG52:AWK52 AMK52:AMO52 ACO52:ACS52 SS52:SW52 IW52:JA52"/>
  </dataValidations>
  <pageMargins left="0.7" right="0.7" top="0.75" bottom="0.75" header="0.3" footer="0.3"/>
  <pageSetup scale="80" fitToHeight="2" orientation="portrait" r:id="rId1"/>
  <headerFooter>
    <oddHeader xml:space="preserve">&amp;L -   </oddHeader>
    <oddFooter>&amp;CPage &amp;P - &amp;N</oddFooter>
  </headerFooter>
  <rowBreaks count="1" manualBreakCount="1">
    <brk id="37" max="8" man="1"/>
  </rowBreaks>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WVQ117"/>
  <sheetViews>
    <sheetView showGridLines="0" zoomScale="85" zoomScaleNormal="85" zoomScaleSheetLayoutView="85" workbookViewId="0">
      <selection activeCell="G35" sqref="G35"/>
    </sheetView>
  </sheetViews>
  <sheetFormatPr defaultColWidth="0" defaultRowHeight="13.2" zeroHeight="1" x14ac:dyDescent="0.25"/>
  <cols>
    <col min="1" max="1" width="4.109375" style="137" customWidth="1"/>
    <col min="2" max="2" width="20.6640625" style="137" customWidth="1"/>
    <col min="3" max="3" width="20.5546875" style="137" customWidth="1"/>
    <col min="4" max="4" width="4.109375" style="137" customWidth="1"/>
    <col min="5" max="5" width="12.44140625" style="137" customWidth="1"/>
    <col min="6" max="6" width="7.5546875" style="137" customWidth="1"/>
    <col min="7" max="7" width="12.33203125" style="137" customWidth="1"/>
    <col min="8" max="8" width="4.33203125" style="137" customWidth="1"/>
    <col min="9" max="9" width="7.33203125" style="137" customWidth="1"/>
    <col min="10" max="10" width="9.109375" style="137" customWidth="1"/>
    <col min="11" max="11" width="2.33203125" style="137" customWidth="1"/>
    <col min="12" max="256" width="9.109375" style="137" hidden="1"/>
    <col min="257" max="257" width="4.109375" style="137" hidden="1"/>
    <col min="258" max="258" width="20.6640625" style="137" hidden="1"/>
    <col min="259" max="259" width="19.109375" style="137" hidden="1"/>
    <col min="260" max="260" width="4.109375" style="137" hidden="1"/>
    <col min="261" max="261" width="12.44140625" style="137" hidden="1"/>
    <col min="262" max="262" width="7.5546875" style="137" hidden="1"/>
    <col min="263" max="263" width="12.33203125" style="137" hidden="1"/>
    <col min="264" max="264" width="4.33203125" style="137" hidden="1"/>
    <col min="265" max="265" width="7.33203125" style="137" hidden="1"/>
    <col min="266" max="512" width="9.109375" style="137" hidden="1"/>
    <col min="513" max="513" width="4.109375" style="137" hidden="1"/>
    <col min="514" max="514" width="20.6640625" style="137" hidden="1"/>
    <col min="515" max="515" width="19.109375" style="137" hidden="1"/>
    <col min="516" max="516" width="4.109375" style="137" hidden="1"/>
    <col min="517" max="517" width="12.44140625" style="137" hidden="1"/>
    <col min="518" max="518" width="7.5546875" style="137" hidden="1"/>
    <col min="519" max="519" width="12.33203125" style="137" hidden="1"/>
    <col min="520" max="520" width="4.33203125" style="137" hidden="1"/>
    <col min="521" max="521" width="7.33203125" style="137" hidden="1"/>
    <col min="522" max="768" width="9.109375" style="137" hidden="1"/>
    <col min="769" max="769" width="4.109375" style="137" hidden="1"/>
    <col min="770" max="770" width="20.6640625" style="137" hidden="1"/>
    <col min="771" max="771" width="19.109375" style="137" hidden="1"/>
    <col min="772" max="772" width="4.109375" style="137" hidden="1"/>
    <col min="773" max="773" width="12.44140625" style="137" hidden="1"/>
    <col min="774" max="774" width="7.5546875" style="137" hidden="1"/>
    <col min="775" max="775" width="12.33203125" style="137" hidden="1"/>
    <col min="776" max="776" width="4.33203125" style="137" hidden="1"/>
    <col min="777" max="777" width="7.33203125" style="137" hidden="1"/>
    <col min="778" max="1024" width="9.109375" style="137" hidden="1"/>
    <col min="1025" max="1025" width="4.109375" style="137" hidden="1"/>
    <col min="1026" max="1026" width="20.6640625" style="137" hidden="1"/>
    <col min="1027" max="1027" width="19.109375" style="137" hidden="1"/>
    <col min="1028" max="1028" width="4.109375" style="137" hidden="1"/>
    <col min="1029" max="1029" width="12.44140625" style="137" hidden="1"/>
    <col min="1030" max="1030" width="7.5546875" style="137" hidden="1"/>
    <col min="1031" max="1031" width="12.33203125" style="137" hidden="1"/>
    <col min="1032" max="1032" width="4.33203125" style="137" hidden="1"/>
    <col min="1033" max="1033" width="7.33203125" style="137" hidden="1"/>
    <col min="1034" max="1280" width="9.109375" style="137" hidden="1"/>
    <col min="1281" max="1281" width="4.109375" style="137" hidden="1"/>
    <col min="1282" max="1282" width="20.6640625" style="137" hidden="1"/>
    <col min="1283" max="1283" width="19.109375" style="137" hidden="1"/>
    <col min="1284" max="1284" width="4.109375" style="137" hidden="1"/>
    <col min="1285" max="1285" width="12.44140625" style="137" hidden="1"/>
    <col min="1286" max="1286" width="7.5546875" style="137" hidden="1"/>
    <col min="1287" max="1287" width="12.33203125" style="137" hidden="1"/>
    <col min="1288" max="1288" width="4.33203125" style="137" hidden="1"/>
    <col min="1289" max="1289" width="7.33203125" style="137" hidden="1"/>
    <col min="1290" max="1536" width="9.109375" style="137" hidden="1"/>
    <col min="1537" max="1537" width="4.109375" style="137" hidden="1"/>
    <col min="1538" max="1538" width="20.6640625" style="137" hidden="1"/>
    <col min="1539" max="1539" width="19.109375" style="137" hidden="1"/>
    <col min="1540" max="1540" width="4.109375" style="137" hidden="1"/>
    <col min="1541" max="1541" width="12.44140625" style="137" hidden="1"/>
    <col min="1542" max="1542" width="7.5546875" style="137" hidden="1"/>
    <col min="1543" max="1543" width="12.33203125" style="137" hidden="1"/>
    <col min="1544" max="1544" width="4.33203125" style="137" hidden="1"/>
    <col min="1545" max="1545" width="7.33203125" style="137" hidden="1"/>
    <col min="1546" max="1792" width="9.109375" style="137" hidden="1"/>
    <col min="1793" max="1793" width="4.109375" style="137" hidden="1"/>
    <col min="1794" max="1794" width="20.6640625" style="137" hidden="1"/>
    <col min="1795" max="1795" width="19.109375" style="137" hidden="1"/>
    <col min="1796" max="1796" width="4.109375" style="137" hidden="1"/>
    <col min="1797" max="1797" width="12.44140625" style="137" hidden="1"/>
    <col min="1798" max="1798" width="7.5546875" style="137" hidden="1"/>
    <col min="1799" max="1799" width="12.33203125" style="137" hidden="1"/>
    <col min="1800" max="1800" width="4.33203125" style="137" hidden="1"/>
    <col min="1801" max="1801" width="7.33203125" style="137" hidden="1"/>
    <col min="1802" max="2048" width="9.109375" style="137" hidden="1"/>
    <col min="2049" max="2049" width="4.109375" style="137" hidden="1"/>
    <col min="2050" max="2050" width="20.6640625" style="137" hidden="1"/>
    <col min="2051" max="2051" width="19.109375" style="137" hidden="1"/>
    <col min="2052" max="2052" width="4.109375" style="137" hidden="1"/>
    <col min="2053" max="2053" width="12.44140625" style="137" hidden="1"/>
    <col min="2054" max="2054" width="7.5546875" style="137" hidden="1"/>
    <col min="2055" max="2055" width="12.33203125" style="137" hidden="1"/>
    <col min="2056" max="2056" width="4.33203125" style="137" hidden="1"/>
    <col min="2057" max="2057" width="7.33203125" style="137" hidden="1"/>
    <col min="2058" max="2304" width="9.109375" style="137" hidden="1"/>
    <col min="2305" max="2305" width="4.109375" style="137" hidden="1"/>
    <col min="2306" max="2306" width="20.6640625" style="137" hidden="1"/>
    <col min="2307" max="2307" width="19.109375" style="137" hidden="1"/>
    <col min="2308" max="2308" width="4.109375" style="137" hidden="1"/>
    <col min="2309" max="2309" width="12.44140625" style="137" hidden="1"/>
    <col min="2310" max="2310" width="7.5546875" style="137" hidden="1"/>
    <col min="2311" max="2311" width="12.33203125" style="137" hidden="1"/>
    <col min="2312" max="2312" width="4.33203125" style="137" hidden="1"/>
    <col min="2313" max="2313" width="7.33203125" style="137" hidden="1"/>
    <col min="2314" max="2560" width="9.109375" style="137" hidden="1"/>
    <col min="2561" max="2561" width="4.109375" style="137" hidden="1"/>
    <col min="2562" max="2562" width="20.6640625" style="137" hidden="1"/>
    <col min="2563" max="2563" width="19.109375" style="137" hidden="1"/>
    <col min="2564" max="2564" width="4.109375" style="137" hidden="1"/>
    <col min="2565" max="2565" width="12.44140625" style="137" hidden="1"/>
    <col min="2566" max="2566" width="7.5546875" style="137" hidden="1"/>
    <col min="2567" max="2567" width="12.33203125" style="137" hidden="1"/>
    <col min="2568" max="2568" width="4.33203125" style="137" hidden="1"/>
    <col min="2569" max="2569" width="7.33203125" style="137" hidden="1"/>
    <col min="2570" max="2816" width="9.109375" style="137" hidden="1"/>
    <col min="2817" max="2817" width="4.109375" style="137" hidden="1"/>
    <col min="2818" max="2818" width="20.6640625" style="137" hidden="1"/>
    <col min="2819" max="2819" width="19.109375" style="137" hidden="1"/>
    <col min="2820" max="2820" width="4.109375" style="137" hidden="1"/>
    <col min="2821" max="2821" width="12.44140625" style="137" hidden="1"/>
    <col min="2822" max="2822" width="7.5546875" style="137" hidden="1"/>
    <col min="2823" max="2823" width="12.33203125" style="137" hidden="1"/>
    <col min="2824" max="2824" width="4.33203125" style="137" hidden="1"/>
    <col min="2825" max="2825" width="7.33203125" style="137" hidden="1"/>
    <col min="2826" max="3072" width="9.109375" style="137" hidden="1"/>
    <col min="3073" max="3073" width="4.109375" style="137" hidden="1"/>
    <col min="3074" max="3074" width="20.6640625" style="137" hidden="1"/>
    <col min="3075" max="3075" width="19.109375" style="137" hidden="1"/>
    <col min="3076" max="3076" width="4.109375" style="137" hidden="1"/>
    <col min="3077" max="3077" width="12.44140625" style="137" hidden="1"/>
    <col min="3078" max="3078" width="7.5546875" style="137" hidden="1"/>
    <col min="3079" max="3079" width="12.33203125" style="137" hidden="1"/>
    <col min="3080" max="3080" width="4.33203125" style="137" hidden="1"/>
    <col min="3081" max="3081" width="7.33203125" style="137" hidden="1"/>
    <col min="3082" max="3328" width="9.109375" style="137" hidden="1"/>
    <col min="3329" max="3329" width="4.109375" style="137" hidden="1"/>
    <col min="3330" max="3330" width="20.6640625" style="137" hidden="1"/>
    <col min="3331" max="3331" width="19.109375" style="137" hidden="1"/>
    <col min="3332" max="3332" width="4.109375" style="137" hidden="1"/>
    <col min="3333" max="3333" width="12.44140625" style="137" hidden="1"/>
    <col min="3334" max="3334" width="7.5546875" style="137" hidden="1"/>
    <col min="3335" max="3335" width="12.33203125" style="137" hidden="1"/>
    <col min="3336" max="3336" width="4.33203125" style="137" hidden="1"/>
    <col min="3337" max="3337" width="7.33203125" style="137" hidden="1"/>
    <col min="3338" max="3584" width="9.109375" style="137" hidden="1"/>
    <col min="3585" max="3585" width="4.109375" style="137" hidden="1"/>
    <col min="3586" max="3586" width="20.6640625" style="137" hidden="1"/>
    <col min="3587" max="3587" width="19.109375" style="137" hidden="1"/>
    <col min="3588" max="3588" width="4.109375" style="137" hidden="1"/>
    <col min="3589" max="3589" width="12.44140625" style="137" hidden="1"/>
    <col min="3590" max="3590" width="7.5546875" style="137" hidden="1"/>
    <col min="3591" max="3591" width="12.33203125" style="137" hidden="1"/>
    <col min="3592" max="3592" width="4.33203125" style="137" hidden="1"/>
    <col min="3593" max="3593" width="7.33203125" style="137" hidden="1"/>
    <col min="3594" max="3840" width="9.109375" style="137" hidden="1"/>
    <col min="3841" max="3841" width="4.109375" style="137" hidden="1"/>
    <col min="3842" max="3842" width="20.6640625" style="137" hidden="1"/>
    <col min="3843" max="3843" width="19.109375" style="137" hidden="1"/>
    <col min="3844" max="3844" width="4.109375" style="137" hidden="1"/>
    <col min="3845" max="3845" width="12.44140625" style="137" hidden="1"/>
    <col min="3846" max="3846" width="7.5546875" style="137" hidden="1"/>
    <col min="3847" max="3847" width="12.33203125" style="137" hidden="1"/>
    <col min="3848" max="3848" width="4.33203125" style="137" hidden="1"/>
    <col min="3849" max="3849" width="7.33203125" style="137" hidden="1"/>
    <col min="3850" max="4096" width="9.109375" style="137" hidden="1"/>
    <col min="4097" max="4097" width="4.109375" style="137" hidden="1"/>
    <col min="4098" max="4098" width="20.6640625" style="137" hidden="1"/>
    <col min="4099" max="4099" width="19.109375" style="137" hidden="1"/>
    <col min="4100" max="4100" width="4.109375" style="137" hidden="1"/>
    <col min="4101" max="4101" width="12.44140625" style="137" hidden="1"/>
    <col min="4102" max="4102" width="7.5546875" style="137" hidden="1"/>
    <col min="4103" max="4103" width="12.33203125" style="137" hidden="1"/>
    <col min="4104" max="4104" width="4.33203125" style="137" hidden="1"/>
    <col min="4105" max="4105" width="7.33203125" style="137" hidden="1"/>
    <col min="4106" max="4352" width="9.109375" style="137" hidden="1"/>
    <col min="4353" max="4353" width="4.109375" style="137" hidden="1"/>
    <col min="4354" max="4354" width="20.6640625" style="137" hidden="1"/>
    <col min="4355" max="4355" width="19.109375" style="137" hidden="1"/>
    <col min="4356" max="4356" width="4.109375" style="137" hidden="1"/>
    <col min="4357" max="4357" width="12.44140625" style="137" hidden="1"/>
    <col min="4358" max="4358" width="7.5546875" style="137" hidden="1"/>
    <col min="4359" max="4359" width="12.33203125" style="137" hidden="1"/>
    <col min="4360" max="4360" width="4.33203125" style="137" hidden="1"/>
    <col min="4361" max="4361" width="7.33203125" style="137" hidden="1"/>
    <col min="4362" max="4608" width="9.109375" style="137" hidden="1"/>
    <col min="4609" max="4609" width="4.109375" style="137" hidden="1"/>
    <col min="4610" max="4610" width="20.6640625" style="137" hidden="1"/>
    <col min="4611" max="4611" width="19.109375" style="137" hidden="1"/>
    <col min="4612" max="4612" width="4.109375" style="137" hidden="1"/>
    <col min="4613" max="4613" width="12.44140625" style="137" hidden="1"/>
    <col min="4614" max="4614" width="7.5546875" style="137" hidden="1"/>
    <col min="4615" max="4615" width="12.33203125" style="137" hidden="1"/>
    <col min="4616" max="4616" width="4.33203125" style="137" hidden="1"/>
    <col min="4617" max="4617" width="7.33203125" style="137" hidden="1"/>
    <col min="4618" max="4864" width="9.109375" style="137" hidden="1"/>
    <col min="4865" max="4865" width="4.109375" style="137" hidden="1"/>
    <col min="4866" max="4866" width="20.6640625" style="137" hidden="1"/>
    <col min="4867" max="4867" width="19.109375" style="137" hidden="1"/>
    <col min="4868" max="4868" width="4.109375" style="137" hidden="1"/>
    <col min="4869" max="4869" width="12.44140625" style="137" hidden="1"/>
    <col min="4870" max="4870" width="7.5546875" style="137" hidden="1"/>
    <col min="4871" max="4871" width="12.33203125" style="137" hidden="1"/>
    <col min="4872" max="4872" width="4.33203125" style="137" hidden="1"/>
    <col min="4873" max="4873" width="7.33203125" style="137" hidden="1"/>
    <col min="4874" max="5120" width="9.109375" style="137" hidden="1"/>
    <col min="5121" max="5121" width="4.109375" style="137" hidden="1"/>
    <col min="5122" max="5122" width="20.6640625" style="137" hidden="1"/>
    <col min="5123" max="5123" width="19.109375" style="137" hidden="1"/>
    <col min="5124" max="5124" width="4.109375" style="137" hidden="1"/>
    <col min="5125" max="5125" width="12.44140625" style="137" hidden="1"/>
    <col min="5126" max="5126" width="7.5546875" style="137" hidden="1"/>
    <col min="5127" max="5127" width="12.33203125" style="137" hidden="1"/>
    <col min="5128" max="5128" width="4.33203125" style="137" hidden="1"/>
    <col min="5129" max="5129" width="7.33203125" style="137" hidden="1"/>
    <col min="5130" max="5376" width="9.109375" style="137" hidden="1"/>
    <col min="5377" max="5377" width="4.109375" style="137" hidden="1"/>
    <col min="5378" max="5378" width="20.6640625" style="137" hidden="1"/>
    <col min="5379" max="5379" width="19.109375" style="137" hidden="1"/>
    <col min="5380" max="5380" width="4.109375" style="137" hidden="1"/>
    <col min="5381" max="5381" width="12.44140625" style="137" hidden="1"/>
    <col min="5382" max="5382" width="7.5546875" style="137" hidden="1"/>
    <col min="5383" max="5383" width="12.33203125" style="137" hidden="1"/>
    <col min="5384" max="5384" width="4.33203125" style="137" hidden="1"/>
    <col min="5385" max="5385" width="7.33203125" style="137" hidden="1"/>
    <col min="5386" max="5632" width="9.109375" style="137" hidden="1"/>
    <col min="5633" max="5633" width="4.109375" style="137" hidden="1"/>
    <col min="5634" max="5634" width="20.6640625" style="137" hidden="1"/>
    <col min="5635" max="5635" width="19.109375" style="137" hidden="1"/>
    <col min="5636" max="5636" width="4.109375" style="137" hidden="1"/>
    <col min="5637" max="5637" width="12.44140625" style="137" hidden="1"/>
    <col min="5638" max="5638" width="7.5546875" style="137" hidden="1"/>
    <col min="5639" max="5639" width="12.33203125" style="137" hidden="1"/>
    <col min="5640" max="5640" width="4.33203125" style="137" hidden="1"/>
    <col min="5641" max="5641" width="7.33203125" style="137" hidden="1"/>
    <col min="5642" max="5888" width="9.109375" style="137" hidden="1"/>
    <col min="5889" max="5889" width="4.109375" style="137" hidden="1"/>
    <col min="5890" max="5890" width="20.6640625" style="137" hidden="1"/>
    <col min="5891" max="5891" width="19.109375" style="137" hidden="1"/>
    <col min="5892" max="5892" width="4.109375" style="137" hidden="1"/>
    <col min="5893" max="5893" width="12.44140625" style="137" hidden="1"/>
    <col min="5894" max="5894" width="7.5546875" style="137" hidden="1"/>
    <col min="5895" max="5895" width="12.33203125" style="137" hidden="1"/>
    <col min="5896" max="5896" width="4.33203125" style="137" hidden="1"/>
    <col min="5897" max="5897" width="7.33203125" style="137" hidden="1"/>
    <col min="5898" max="6144" width="9.109375" style="137" hidden="1"/>
    <col min="6145" max="6145" width="4.109375" style="137" hidden="1"/>
    <col min="6146" max="6146" width="20.6640625" style="137" hidden="1"/>
    <col min="6147" max="6147" width="19.109375" style="137" hidden="1"/>
    <col min="6148" max="6148" width="4.109375" style="137" hidden="1"/>
    <col min="6149" max="6149" width="12.44140625" style="137" hidden="1"/>
    <col min="6150" max="6150" width="7.5546875" style="137" hidden="1"/>
    <col min="6151" max="6151" width="12.33203125" style="137" hidden="1"/>
    <col min="6152" max="6152" width="4.33203125" style="137" hidden="1"/>
    <col min="6153" max="6153" width="7.33203125" style="137" hidden="1"/>
    <col min="6154" max="6400" width="9.109375" style="137" hidden="1"/>
    <col min="6401" max="6401" width="4.109375" style="137" hidden="1"/>
    <col min="6402" max="6402" width="20.6640625" style="137" hidden="1"/>
    <col min="6403" max="6403" width="19.109375" style="137" hidden="1"/>
    <col min="6404" max="6404" width="4.109375" style="137" hidden="1"/>
    <col min="6405" max="6405" width="12.44140625" style="137" hidden="1"/>
    <col min="6406" max="6406" width="7.5546875" style="137" hidden="1"/>
    <col min="6407" max="6407" width="12.33203125" style="137" hidden="1"/>
    <col min="6408" max="6408" width="4.33203125" style="137" hidden="1"/>
    <col min="6409" max="6409" width="7.33203125" style="137" hidden="1"/>
    <col min="6410" max="6656" width="9.109375" style="137" hidden="1"/>
    <col min="6657" max="6657" width="4.109375" style="137" hidden="1"/>
    <col min="6658" max="6658" width="20.6640625" style="137" hidden="1"/>
    <col min="6659" max="6659" width="19.109375" style="137" hidden="1"/>
    <col min="6660" max="6660" width="4.109375" style="137" hidden="1"/>
    <col min="6661" max="6661" width="12.44140625" style="137" hidden="1"/>
    <col min="6662" max="6662" width="7.5546875" style="137" hidden="1"/>
    <col min="6663" max="6663" width="12.33203125" style="137" hidden="1"/>
    <col min="6664" max="6664" width="4.33203125" style="137" hidden="1"/>
    <col min="6665" max="6665" width="7.33203125" style="137" hidden="1"/>
    <col min="6666" max="6912" width="9.109375" style="137" hidden="1"/>
    <col min="6913" max="6913" width="4.109375" style="137" hidden="1"/>
    <col min="6914" max="6914" width="20.6640625" style="137" hidden="1"/>
    <col min="6915" max="6915" width="19.109375" style="137" hidden="1"/>
    <col min="6916" max="6916" width="4.109375" style="137" hidden="1"/>
    <col min="6917" max="6917" width="12.44140625" style="137" hidden="1"/>
    <col min="6918" max="6918" width="7.5546875" style="137" hidden="1"/>
    <col min="6919" max="6919" width="12.33203125" style="137" hidden="1"/>
    <col min="6920" max="6920" width="4.33203125" style="137" hidden="1"/>
    <col min="6921" max="6921" width="7.33203125" style="137" hidden="1"/>
    <col min="6922" max="7168" width="9.109375" style="137" hidden="1"/>
    <col min="7169" max="7169" width="4.109375" style="137" hidden="1"/>
    <col min="7170" max="7170" width="20.6640625" style="137" hidden="1"/>
    <col min="7171" max="7171" width="19.109375" style="137" hidden="1"/>
    <col min="7172" max="7172" width="4.109375" style="137" hidden="1"/>
    <col min="7173" max="7173" width="12.44140625" style="137" hidden="1"/>
    <col min="7174" max="7174" width="7.5546875" style="137" hidden="1"/>
    <col min="7175" max="7175" width="12.33203125" style="137" hidden="1"/>
    <col min="7176" max="7176" width="4.33203125" style="137" hidden="1"/>
    <col min="7177" max="7177" width="7.33203125" style="137" hidden="1"/>
    <col min="7178" max="7424" width="9.109375" style="137" hidden="1"/>
    <col min="7425" max="7425" width="4.109375" style="137" hidden="1"/>
    <col min="7426" max="7426" width="20.6640625" style="137" hidden="1"/>
    <col min="7427" max="7427" width="19.109375" style="137" hidden="1"/>
    <col min="7428" max="7428" width="4.109375" style="137" hidden="1"/>
    <col min="7429" max="7429" width="12.44140625" style="137" hidden="1"/>
    <col min="7430" max="7430" width="7.5546875" style="137" hidden="1"/>
    <col min="7431" max="7431" width="12.33203125" style="137" hidden="1"/>
    <col min="7432" max="7432" width="4.33203125" style="137" hidden="1"/>
    <col min="7433" max="7433" width="7.33203125" style="137" hidden="1"/>
    <col min="7434" max="7680" width="9.109375" style="137" hidden="1"/>
    <col min="7681" max="7681" width="4.109375" style="137" hidden="1"/>
    <col min="7682" max="7682" width="20.6640625" style="137" hidden="1"/>
    <col min="7683" max="7683" width="19.109375" style="137" hidden="1"/>
    <col min="7684" max="7684" width="4.109375" style="137" hidden="1"/>
    <col min="7685" max="7685" width="12.44140625" style="137" hidden="1"/>
    <col min="7686" max="7686" width="7.5546875" style="137" hidden="1"/>
    <col min="7687" max="7687" width="12.33203125" style="137" hidden="1"/>
    <col min="7688" max="7688" width="4.33203125" style="137" hidden="1"/>
    <col min="7689" max="7689" width="7.33203125" style="137" hidden="1"/>
    <col min="7690" max="7936" width="9.109375" style="137" hidden="1"/>
    <col min="7937" max="7937" width="4.109375" style="137" hidden="1"/>
    <col min="7938" max="7938" width="20.6640625" style="137" hidden="1"/>
    <col min="7939" max="7939" width="19.109375" style="137" hidden="1"/>
    <col min="7940" max="7940" width="4.109375" style="137" hidden="1"/>
    <col min="7941" max="7941" width="12.44140625" style="137" hidden="1"/>
    <col min="7942" max="7942" width="7.5546875" style="137" hidden="1"/>
    <col min="7943" max="7943" width="12.33203125" style="137" hidden="1"/>
    <col min="7944" max="7944" width="4.33203125" style="137" hidden="1"/>
    <col min="7945" max="7945" width="7.33203125" style="137" hidden="1"/>
    <col min="7946" max="8192" width="9.109375" style="137" hidden="1"/>
    <col min="8193" max="8193" width="4.109375" style="137" hidden="1"/>
    <col min="8194" max="8194" width="20.6640625" style="137" hidden="1"/>
    <col min="8195" max="8195" width="19.109375" style="137" hidden="1"/>
    <col min="8196" max="8196" width="4.109375" style="137" hidden="1"/>
    <col min="8197" max="8197" width="12.44140625" style="137" hidden="1"/>
    <col min="8198" max="8198" width="7.5546875" style="137" hidden="1"/>
    <col min="8199" max="8199" width="12.33203125" style="137" hidden="1"/>
    <col min="8200" max="8200" width="4.33203125" style="137" hidden="1"/>
    <col min="8201" max="8201" width="7.33203125" style="137" hidden="1"/>
    <col min="8202" max="8448" width="9.109375" style="137" hidden="1"/>
    <col min="8449" max="8449" width="4.109375" style="137" hidden="1"/>
    <col min="8450" max="8450" width="20.6640625" style="137" hidden="1"/>
    <col min="8451" max="8451" width="19.109375" style="137" hidden="1"/>
    <col min="8452" max="8452" width="4.109375" style="137" hidden="1"/>
    <col min="8453" max="8453" width="12.44140625" style="137" hidden="1"/>
    <col min="8454" max="8454" width="7.5546875" style="137" hidden="1"/>
    <col min="8455" max="8455" width="12.33203125" style="137" hidden="1"/>
    <col min="8456" max="8456" width="4.33203125" style="137" hidden="1"/>
    <col min="8457" max="8457" width="7.33203125" style="137" hidden="1"/>
    <col min="8458" max="8704" width="9.109375" style="137" hidden="1"/>
    <col min="8705" max="8705" width="4.109375" style="137" hidden="1"/>
    <col min="8706" max="8706" width="20.6640625" style="137" hidden="1"/>
    <col min="8707" max="8707" width="19.109375" style="137" hidden="1"/>
    <col min="8708" max="8708" width="4.109375" style="137" hidden="1"/>
    <col min="8709" max="8709" width="12.44140625" style="137" hidden="1"/>
    <col min="8710" max="8710" width="7.5546875" style="137" hidden="1"/>
    <col min="8711" max="8711" width="12.33203125" style="137" hidden="1"/>
    <col min="8712" max="8712" width="4.33203125" style="137" hidden="1"/>
    <col min="8713" max="8713" width="7.33203125" style="137" hidden="1"/>
    <col min="8714" max="8960" width="9.109375" style="137" hidden="1"/>
    <col min="8961" max="8961" width="4.109375" style="137" hidden="1"/>
    <col min="8962" max="8962" width="20.6640625" style="137" hidden="1"/>
    <col min="8963" max="8963" width="19.109375" style="137" hidden="1"/>
    <col min="8964" max="8964" width="4.109375" style="137" hidden="1"/>
    <col min="8965" max="8965" width="12.44140625" style="137" hidden="1"/>
    <col min="8966" max="8966" width="7.5546875" style="137" hidden="1"/>
    <col min="8967" max="8967" width="12.33203125" style="137" hidden="1"/>
    <col min="8968" max="8968" width="4.33203125" style="137" hidden="1"/>
    <col min="8969" max="8969" width="7.33203125" style="137" hidden="1"/>
    <col min="8970" max="9216" width="9.109375" style="137" hidden="1"/>
    <col min="9217" max="9217" width="4.109375" style="137" hidden="1"/>
    <col min="9218" max="9218" width="20.6640625" style="137" hidden="1"/>
    <col min="9219" max="9219" width="19.109375" style="137" hidden="1"/>
    <col min="9220" max="9220" width="4.109375" style="137" hidden="1"/>
    <col min="9221" max="9221" width="12.44140625" style="137" hidden="1"/>
    <col min="9222" max="9222" width="7.5546875" style="137" hidden="1"/>
    <col min="9223" max="9223" width="12.33203125" style="137" hidden="1"/>
    <col min="9224" max="9224" width="4.33203125" style="137" hidden="1"/>
    <col min="9225" max="9225" width="7.33203125" style="137" hidden="1"/>
    <col min="9226" max="9472" width="9.109375" style="137" hidden="1"/>
    <col min="9473" max="9473" width="4.109375" style="137" hidden="1"/>
    <col min="9474" max="9474" width="20.6640625" style="137" hidden="1"/>
    <col min="9475" max="9475" width="19.109375" style="137" hidden="1"/>
    <col min="9476" max="9476" width="4.109375" style="137" hidden="1"/>
    <col min="9477" max="9477" width="12.44140625" style="137" hidden="1"/>
    <col min="9478" max="9478" width="7.5546875" style="137" hidden="1"/>
    <col min="9479" max="9479" width="12.33203125" style="137" hidden="1"/>
    <col min="9480" max="9480" width="4.33203125" style="137" hidden="1"/>
    <col min="9481" max="9481" width="7.33203125" style="137" hidden="1"/>
    <col min="9482" max="9728" width="9.109375" style="137" hidden="1"/>
    <col min="9729" max="9729" width="4.109375" style="137" hidden="1"/>
    <col min="9730" max="9730" width="20.6640625" style="137" hidden="1"/>
    <col min="9731" max="9731" width="19.109375" style="137" hidden="1"/>
    <col min="9732" max="9732" width="4.109375" style="137" hidden="1"/>
    <col min="9733" max="9733" width="12.44140625" style="137" hidden="1"/>
    <col min="9734" max="9734" width="7.5546875" style="137" hidden="1"/>
    <col min="9735" max="9735" width="12.33203125" style="137" hidden="1"/>
    <col min="9736" max="9736" width="4.33203125" style="137" hidden="1"/>
    <col min="9737" max="9737" width="7.33203125" style="137" hidden="1"/>
    <col min="9738" max="9984" width="9.109375" style="137" hidden="1"/>
    <col min="9985" max="9985" width="4.109375" style="137" hidden="1"/>
    <col min="9986" max="9986" width="20.6640625" style="137" hidden="1"/>
    <col min="9987" max="9987" width="19.109375" style="137" hidden="1"/>
    <col min="9988" max="9988" width="4.109375" style="137" hidden="1"/>
    <col min="9989" max="9989" width="12.44140625" style="137" hidden="1"/>
    <col min="9990" max="9990" width="7.5546875" style="137" hidden="1"/>
    <col min="9991" max="9991" width="12.33203125" style="137" hidden="1"/>
    <col min="9992" max="9992" width="4.33203125" style="137" hidden="1"/>
    <col min="9993" max="9993" width="7.33203125" style="137" hidden="1"/>
    <col min="9994" max="10240" width="9.109375" style="137" hidden="1"/>
    <col min="10241" max="10241" width="4.109375" style="137" hidden="1"/>
    <col min="10242" max="10242" width="20.6640625" style="137" hidden="1"/>
    <col min="10243" max="10243" width="19.109375" style="137" hidden="1"/>
    <col min="10244" max="10244" width="4.109375" style="137" hidden="1"/>
    <col min="10245" max="10245" width="12.44140625" style="137" hidden="1"/>
    <col min="10246" max="10246" width="7.5546875" style="137" hidden="1"/>
    <col min="10247" max="10247" width="12.33203125" style="137" hidden="1"/>
    <col min="10248" max="10248" width="4.33203125" style="137" hidden="1"/>
    <col min="10249" max="10249" width="7.33203125" style="137" hidden="1"/>
    <col min="10250" max="10496" width="9.109375" style="137" hidden="1"/>
    <col min="10497" max="10497" width="4.109375" style="137" hidden="1"/>
    <col min="10498" max="10498" width="20.6640625" style="137" hidden="1"/>
    <col min="10499" max="10499" width="19.109375" style="137" hidden="1"/>
    <col min="10500" max="10500" width="4.109375" style="137" hidden="1"/>
    <col min="10501" max="10501" width="12.44140625" style="137" hidden="1"/>
    <col min="10502" max="10502" width="7.5546875" style="137" hidden="1"/>
    <col min="10503" max="10503" width="12.33203125" style="137" hidden="1"/>
    <col min="10504" max="10504" width="4.33203125" style="137" hidden="1"/>
    <col min="10505" max="10505" width="7.33203125" style="137" hidden="1"/>
    <col min="10506" max="10752" width="9.109375" style="137" hidden="1"/>
    <col min="10753" max="10753" width="4.109375" style="137" hidden="1"/>
    <col min="10754" max="10754" width="20.6640625" style="137" hidden="1"/>
    <col min="10755" max="10755" width="19.109375" style="137" hidden="1"/>
    <col min="10756" max="10756" width="4.109375" style="137" hidden="1"/>
    <col min="10757" max="10757" width="12.44140625" style="137" hidden="1"/>
    <col min="10758" max="10758" width="7.5546875" style="137" hidden="1"/>
    <col min="10759" max="10759" width="12.33203125" style="137" hidden="1"/>
    <col min="10760" max="10760" width="4.33203125" style="137" hidden="1"/>
    <col min="10761" max="10761" width="7.33203125" style="137" hidden="1"/>
    <col min="10762" max="11008" width="9.109375" style="137" hidden="1"/>
    <col min="11009" max="11009" width="4.109375" style="137" hidden="1"/>
    <col min="11010" max="11010" width="20.6640625" style="137" hidden="1"/>
    <col min="11011" max="11011" width="19.109375" style="137" hidden="1"/>
    <col min="11012" max="11012" width="4.109375" style="137" hidden="1"/>
    <col min="11013" max="11013" width="12.44140625" style="137" hidden="1"/>
    <col min="11014" max="11014" width="7.5546875" style="137" hidden="1"/>
    <col min="11015" max="11015" width="12.33203125" style="137" hidden="1"/>
    <col min="11016" max="11016" width="4.33203125" style="137" hidden="1"/>
    <col min="11017" max="11017" width="7.33203125" style="137" hidden="1"/>
    <col min="11018" max="11264" width="9.109375" style="137" hidden="1"/>
    <col min="11265" max="11265" width="4.109375" style="137" hidden="1"/>
    <col min="11266" max="11266" width="20.6640625" style="137" hidden="1"/>
    <col min="11267" max="11267" width="19.109375" style="137" hidden="1"/>
    <col min="11268" max="11268" width="4.109375" style="137" hidden="1"/>
    <col min="11269" max="11269" width="12.44140625" style="137" hidden="1"/>
    <col min="11270" max="11270" width="7.5546875" style="137" hidden="1"/>
    <col min="11271" max="11271" width="12.33203125" style="137" hidden="1"/>
    <col min="11272" max="11272" width="4.33203125" style="137" hidden="1"/>
    <col min="11273" max="11273" width="7.33203125" style="137" hidden="1"/>
    <col min="11274" max="11520" width="9.109375" style="137" hidden="1"/>
    <col min="11521" max="11521" width="4.109375" style="137" hidden="1"/>
    <col min="11522" max="11522" width="20.6640625" style="137" hidden="1"/>
    <col min="11523" max="11523" width="19.109375" style="137" hidden="1"/>
    <col min="11524" max="11524" width="4.109375" style="137" hidden="1"/>
    <col min="11525" max="11525" width="12.44140625" style="137" hidden="1"/>
    <col min="11526" max="11526" width="7.5546875" style="137" hidden="1"/>
    <col min="11527" max="11527" width="12.33203125" style="137" hidden="1"/>
    <col min="11528" max="11528" width="4.33203125" style="137" hidden="1"/>
    <col min="11529" max="11529" width="7.33203125" style="137" hidden="1"/>
    <col min="11530" max="11776" width="9.109375" style="137" hidden="1"/>
    <col min="11777" max="11777" width="4.109375" style="137" hidden="1"/>
    <col min="11778" max="11778" width="20.6640625" style="137" hidden="1"/>
    <col min="11779" max="11779" width="19.109375" style="137" hidden="1"/>
    <col min="11780" max="11780" width="4.109375" style="137" hidden="1"/>
    <col min="11781" max="11781" width="12.44140625" style="137" hidden="1"/>
    <col min="11782" max="11782" width="7.5546875" style="137" hidden="1"/>
    <col min="11783" max="11783" width="12.33203125" style="137" hidden="1"/>
    <col min="11784" max="11784" width="4.33203125" style="137" hidden="1"/>
    <col min="11785" max="11785" width="7.33203125" style="137" hidden="1"/>
    <col min="11786" max="12032" width="9.109375" style="137" hidden="1"/>
    <col min="12033" max="12033" width="4.109375" style="137" hidden="1"/>
    <col min="12034" max="12034" width="20.6640625" style="137" hidden="1"/>
    <col min="12035" max="12035" width="19.109375" style="137" hidden="1"/>
    <col min="12036" max="12036" width="4.109375" style="137" hidden="1"/>
    <col min="12037" max="12037" width="12.44140625" style="137" hidden="1"/>
    <col min="12038" max="12038" width="7.5546875" style="137" hidden="1"/>
    <col min="12039" max="12039" width="12.33203125" style="137" hidden="1"/>
    <col min="12040" max="12040" width="4.33203125" style="137" hidden="1"/>
    <col min="12041" max="12041" width="7.33203125" style="137" hidden="1"/>
    <col min="12042" max="12288" width="9.109375" style="137" hidden="1"/>
    <col min="12289" max="12289" width="4.109375" style="137" hidden="1"/>
    <col min="12290" max="12290" width="20.6640625" style="137" hidden="1"/>
    <col min="12291" max="12291" width="19.109375" style="137" hidden="1"/>
    <col min="12292" max="12292" width="4.109375" style="137" hidden="1"/>
    <col min="12293" max="12293" width="12.44140625" style="137" hidden="1"/>
    <col min="12294" max="12294" width="7.5546875" style="137" hidden="1"/>
    <col min="12295" max="12295" width="12.33203125" style="137" hidden="1"/>
    <col min="12296" max="12296" width="4.33203125" style="137" hidden="1"/>
    <col min="12297" max="12297" width="7.33203125" style="137" hidden="1"/>
    <col min="12298" max="12544" width="9.109375" style="137" hidden="1"/>
    <col min="12545" max="12545" width="4.109375" style="137" hidden="1"/>
    <col min="12546" max="12546" width="20.6640625" style="137" hidden="1"/>
    <col min="12547" max="12547" width="19.109375" style="137" hidden="1"/>
    <col min="12548" max="12548" width="4.109375" style="137" hidden="1"/>
    <col min="12549" max="12549" width="12.44140625" style="137" hidden="1"/>
    <col min="12550" max="12550" width="7.5546875" style="137" hidden="1"/>
    <col min="12551" max="12551" width="12.33203125" style="137" hidden="1"/>
    <col min="12552" max="12552" width="4.33203125" style="137" hidden="1"/>
    <col min="12553" max="12553" width="7.33203125" style="137" hidden="1"/>
    <col min="12554" max="12800" width="9.109375" style="137" hidden="1"/>
    <col min="12801" max="12801" width="4.109375" style="137" hidden="1"/>
    <col min="12802" max="12802" width="20.6640625" style="137" hidden="1"/>
    <col min="12803" max="12803" width="19.109375" style="137" hidden="1"/>
    <col min="12804" max="12804" width="4.109375" style="137" hidden="1"/>
    <col min="12805" max="12805" width="12.44140625" style="137" hidden="1"/>
    <col min="12806" max="12806" width="7.5546875" style="137" hidden="1"/>
    <col min="12807" max="12807" width="12.33203125" style="137" hidden="1"/>
    <col min="12808" max="12808" width="4.33203125" style="137" hidden="1"/>
    <col min="12809" max="12809" width="7.33203125" style="137" hidden="1"/>
    <col min="12810" max="13056" width="9.109375" style="137" hidden="1"/>
    <col min="13057" max="13057" width="4.109375" style="137" hidden="1"/>
    <col min="13058" max="13058" width="20.6640625" style="137" hidden="1"/>
    <col min="13059" max="13059" width="19.109375" style="137" hidden="1"/>
    <col min="13060" max="13060" width="4.109375" style="137" hidden="1"/>
    <col min="13061" max="13061" width="12.44140625" style="137" hidden="1"/>
    <col min="13062" max="13062" width="7.5546875" style="137" hidden="1"/>
    <col min="13063" max="13063" width="12.33203125" style="137" hidden="1"/>
    <col min="13064" max="13064" width="4.33203125" style="137" hidden="1"/>
    <col min="13065" max="13065" width="7.33203125" style="137" hidden="1"/>
    <col min="13066" max="13312" width="9.109375" style="137" hidden="1"/>
    <col min="13313" max="13313" width="4.109375" style="137" hidden="1"/>
    <col min="13314" max="13314" width="20.6640625" style="137" hidden="1"/>
    <col min="13315" max="13315" width="19.109375" style="137" hidden="1"/>
    <col min="13316" max="13316" width="4.109375" style="137" hidden="1"/>
    <col min="13317" max="13317" width="12.44140625" style="137" hidden="1"/>
    <col min="13318" max="13318" width="7.5546875" style="137" hidden="1"/>
    <col min="13319" max="13319" width="12.33203125" style="137" hidden="1"/>
    <col min="13320" max="13320" width="4.33203125" style="137" hidden="1"/>
    <col min="13321" max="13321" width="7.33203125" style="137" hidden="1"/>
    <col min="13322" max="13568" width="9.109375" style="137" hidden="1"/>
    <col min="13569" max="13569" width="4.109375" style="137" hidden="1"/>
    <col min="13570" max="13570" width="20.6640625" style="137" hidden="1"/>
    <col min="13571" max="13571" width="19.109375" style="137" hidden="1"/>
    <col min="13572" max="13572" width="4.109375" style="137" hidden="1"/>
    <col min="13573" max="13573" width="12.44140625" style="137" hidden="1"/>
    <col min="13574" max="13574" width="7.5546875" style="137" hidden="1"/>
    <col min="13575" max="13575" width="12.33203125" style="137" hidden="1"/>
    <col min="13576" max="13576" width="4.33203125" style="137" hidden="1"/>
    <col min="13577" max="13577" width="7.33203125" style="137" hidden="1"/>
    <col min="13578" max="13824" width="9.109375" style="137" hidden="1"/>
    <col min="13825" max="13825" width="4.109375" style="137" hidden="1"/>
    <col min="13826" max="13826" width="20.6640625" style="137" hidden="1"/>
    <col min="13827" max="13827" width="19.109375" style="137" hidden="1"/>
    <col min="13828" max="13828" width="4.109375" style="137" hidden="1"/>
    <col min="13829" max="13829" width="12.44140625" style="137" hidden="1"/>
    <col min="13830" max="13830" width="7.5546875" style="137" hidden="1"/>
    <col min="13831" max="13831" width="12.33203125" style="137" hidden="1"/>
    <col min="13832" max="13832" width="4.33203125" style="137" hidden="1"/>
    <col min="13833" max="13833" width="7.33203125" style="137" hidden="1"/>
    <col min="13834" max="14080" width="9.109375" style="137" hidden="1"/>
    <col min="14081" max="14081" width="4.109375" style="137" hidden="1"/>
    <col min="14082" max="14082" width="20.6640625" style="137" hidden="1"/>
    <col min="14083" max="14083" width="19.109375" style="137" hidden="1"/>
    <col min="14084" max="14084" width="4.109375" style="137" hidden="1"/>
    <col min="14085" max="14085" width="12.44140625" style="137" hidden="1"/>
    <col min="14086" max="14086" width="7.5546875" style="137" hidden="1"/>
    <col min="14087" max="14087" width="12.33203125" style="137" hidden="1"/>
    <col min="14088" max="14088" width="4.33203125" style="137" hidden="1"/>
    <col min="14089" max="14089" width="7.33203125" style="137" hidden="1"/>
    <col min="14090" max="14336" width="9.109375" style="137" hidden="1"/>
    <col min="14337" max="14337" width="4.109375" style="137" hidden="1"/>
    <col min="14338" max="14338" width="20.6640625" style="137" hidden="1"/>
    <col min="14339" max="14339" width="19.109375" style="137" hidden="1"/>
    <col min="14340" max="14340" width="4.109375" style="137" hidden="1"/>
    <col min="14341" max="14341" width="12.44140625" style="137" hidden="1"/>
    <col min="14342" max="14342" width="7.5546875" style="137" hidden="1"/>
    <col min="14343" max="14343" width="12.33203125" style="137" hidden="1"/>
    <col min="14344" max="14344" width="4.33203125" style="137" hidden="1"/>
    <col min="14345" max="14345" width="7.33203125" style="137" hidden="1"/>
    <col min="14346" max="14592" width="9.109375" style="137" hidden="1"/>
    <col min="14593" max="14593" width="4.109375" style="137" hidden="1"/>
    <col min="14594" max="14594" width="20.6640625" style="137" hidden="1"/>
    <col min="14595" max="14595" width="19.109375" style="137" hidden="1"/>
    <col min="14596" max="14596" width="4.109375" style="137" hidden="1"/>
    <col min="14597" max="14597" width="12.44140625" style="137" hidden="1"/>
    <col min="14598" max="14598" width="7.5546875" style="137" hidden="1"/>
    <col min="14599" max="14599" width="12.33203125" style="137" hidden="1"/>
    <col min="14600" max="14600" width="4.33203125" style="137" hidden="1"/>
    <col min="14601" max="14601" width="7.33203125" style="137" hidden="1"/>
    <col min="14602" max="14848" width="9.109375" style="137" hidden="1"/>
    <col min="14849" max="14849" width="4.109375" style="137" hidden="1"/>
    <col min="14850" max="14850" width="20.6640625" style="137" hidden="1"/>
    <col min="14851" max="14851" width="19.109375" style="137" hidden="1"/>
    <col min="14852" max="14852" width="4.109375" style="137" hidden="1"/>
    <col min="14853" max="14853" width="12.44140625" style="137" hidden="1"/>
    <col min="14854" max="14854" width="7.5546875" style="137" hidden="1"/>
    <col min="14855" max="14855" width="12.33203125" style="137" hidden="1"/>
    <col min="14856" max="14856" width="4.33203125" style="137" hidden="1"/>
    <col min="14857" max="14857" width="7.33203125" style="137" hidden="1"/>
    <col min="14858" max="15104" width="9.109375" style="137" hidden="1"/>
    <col min="15105" max="15105" width="4.109375" style="137" hidden="1"/>
    <col min="15106" max="15106" width="20.6640625" style="137" hidden="1"/>
    <col min="15107" max="15107" width="19.109375" style="137" hidden="1"/>
    <col min="15108" max="15108" width="4.109375" style="137" hidden="1"/>
    <col min="15109" max="15109" width="12.44140625" style="137" hidden="1"/>
    <col min="15110" max="15110" width="7.5546875" style="137" hidden="1"/>
    <col min="15111" max="15111" width="12.33203125" style="137" hidden="1"/>
    <col min="15112" max="15112" width="4.33203125" style="137" hidden="1"/>
    <col min="15113" max="15113" width="7.33203125" style="137" hidden="1"/>
    <col min="15114" max="15360" width="9.109375" style="137" hidden="1"/>
    <col min="15361" max="15361" width="4.109375" style="137" hidden="1"/>
    <col min="15362" max="15362" width="20.6640625" style="137" hidden="1"/>
    <col min="15363" max="15363" width="19.109375" style="137" hidden="1"/>
    <col min="15364" max="15364" width="4.109375" style="137" hidden="1"/>
    <col min="15365" max="15365" width="12.44140625" style="137" hidden="1"/>
    <col min="15366" max="15366" width="7.5546875" style="137" hidden="1"/>
    <col min="15367" max="15367" width="12.33203125" style="137" hidden="1"/>
    <col min="15368" max="15368" width="4.33203125" style="137" hidden="1"/>
    <col min="15369" max="15369" width="7.33203125" style="137" hidden="1"/>
    <col min="15370" max="15616" width="9.109375" style="137" hidden="1"/>
    <col min="15617" max="15617" width="4.109375" style="137" hidden="1"/>
    <col min="15618" max="15618" width="20.6640625" style="137" hidden="1"/>
    <col min="15619" max="15619" width="19.109375" style="137" hidden="1"/>
    <col min="15620" max="15620" width="4.109375" style="137" hidden="1"/>
    <col min="15621" max="15621" width="12.44140625" style="137" hidden="1"/>
    <col min="15622" max="15622" width="7.5546875" style="137" hidden="1"/>
    <col min="15623" max="15623" width="12.33203125" style="137" hidden="1"/>
    <col min="15624" max="15624" width="4.33203125" style="137" hidden="1"/>
    <col min="15625" max="15625" width="7.33203125" style="137" hidden="1"/>
    <col min="15626" max="15872" width="9.109375" style="137" hidden="1"/>
    <col min="15873" max="15873" width="4.109375" style="137" hidden="1"/>
    <col min="15874" max="15874" width="20.6640625" style="137" hidden="1"/>
    <col min="15875" max="15875" width="19.109375" style="137" hidden="1"/>
    <col min="15876" max="15876" width="4.109375" style="137" hidden="1"/>
    <col min="15877" max="15877" width="12.44140625" style="137" hidden="1"/>
    <col min="15878" max="15878" width="7.5546875" style="137" hidden="1"/>
    <col min="15879" max="15879" width="12.33203125" style="137" hidden="1"/>
    <col min="15880" max="15880" width="4.33203125" style="137" hidden="1"/>
    <col min="15881" max="15881" width="7.33203125" style="137" hidden="1"/>
    <col min="15882" max="16128" width="9.109375" style="137" hidden="1"/>
    <col min="16129" max="16129" width="4.109375" style="137" hidden="1"/>
    <col min="16130" max="16130" width="20.6640625" style="137" hidden="1"/>
    <col min="16131" max="16131" width="19.109375" style="137" hidden="1"/>
    <col min="16132" max="16132" width="4.109375" style="137" hidden="1"/>
    <col min="16133" max="16133" width="12.44140625" style="137" hidden="1"/>
    <col min="16134" max="16134" width="7.5546875" style="137" hidden="1"/>
    <col min="16135" max="16135" width="12.33203125" style="137" hidden="1"/>
    <col min="16136" max="16136" width="4.33203125" style="137" hidden="1"/>
    <col min="16137" max="16137" width="7.33203125" style="137" hidden="1"/>
    <col min="16138" max="16384" width="9.109375" style="137" hidden="1"/>
  </cols>
  <sheetData>
    <row r="1" spans="1:22" ht="7.5" customHeight="1" x14ac:dyDescent="0.25">
      <c r="A1" s="542"/>
      <c r="B1" s="139"/>
      <c r="C1" s="139"/>
      <c r="D1" s="139"/>
      <c r="E1" s="139"/>
      <c r="F1" s="139"/>
      <c r="G1" s="139"/>
      <c r="H1" s="139"/>
      <c r="I1" s="140"/>
    </row>
    <row r="2" spans="1:22" ht="17.25" customHeight="1" x14ac:dyDescent="0.25">
      <c r="A2" s="141"/>
      <c r="B2" s="196" t="s">
        <v>379</v>
      </c>
      <c r="C2" s="197"/>
      <c r="D2" s="197"/>
      <c r="E2" s="197"/>
      <c r="F2" s="197"/>
      <c r="G2" s="197"/>
      <c r="H2" s="197"/>
      <c r="I2" s="142"/>
      <c r="P2" s="740" t="s">
        <v>224</v>
      </c>
      <c r="Q2" s="740"/>
      <c r="R2" s="740"/>
      <c r="S2" s="740"/>
      <c r="T2" s="740"/>
      <c r="U2" s="740"/>
      <c r="V2" s="740"/>
    </row>
    <row r="3" spans="1:22" s="138" customFormat="1" ht="13.5" customHeight="1" x14ac:dyDescent="0.25">
      <c r="A3" s="141"/>
      <c r="B3" s="198" t="s">
        <v>380</v>
      </c>
      <c r="C3" s="197"/>
      <c r="D3" s="196"/>
      <c r="E3" s="196"/>
      <c r="F3" s="199"/>
      <c r="G3" s="196"/>
      <c r="H3" s="196"/>
      <c r="I3" s="200"/>
      <c r="P3" s="740"/>
      <c r="Q3" s="740"/>
      <c r="R3" s="740"/>
      <c r="S3" s="740"/>
      <c r="T3" s="740"/>
      <c r="U3" s="740"/>
      <c r="V3" s="740"/>
    </row>
    <row r="4" spans="1:22" s="138" customFormat="1" ht="14.25" customHeight="1" x14ac:dyDescent="0.25">
      <c r="A4" s="141"/>
      <c r="B4" s="198" t="s">
        <v>381</v>
      </c>
      <c r="C4" s="197"/>
      <c r="D4" s="197"/>
      <c r="E4" s="197"/>
      <c r="F4" s="197"/>
      <c r="G4" s="197"/>
      <c r="H4" s="197"/>
      <c r="I4" s="200"/>
      <c r="P4" s="740"/>
      <c r="Q4" s="740"/>
      <c r="R4" s="740"/>
      <c r="S4" s="740"/>
      <c r="T4" s="740"/>
      <c r="U4" s="740"/>
      <c r="V4" s="740"/>
    </row>
    <row r="5" spans="1:22" s="144" customFormat="1" ht="73.5" customHeight="1" x14ac:dyDescent="0.25">
      <c r="A5" s="922" t="s">
        <v>382</v>
      </c>
      <c r="B5" s="923"/>
      <c r="C5" s="923"/>
      <c r="D5" s="923"/>
      <c r="E5" s="923"/>
      <c r="F5" s="923"/>
      <c r="G5" s="923"/>
      <c r="H5" s="923"/>
      <c r="I5" s="143"/>
      <c r="P5" s="740"/>
      <c r="Q5" s="740"/>
      <c r="R5" s="740"/>
      <c r="S5" s="740"/>
      <c r="T5" s="740"/>
      <c r="U5" s="740"/>
      <c r="V5" s="740"/>
    </row>
    <row r="6" spans="1:22" s="144" customFormat="1" ht="23.25" customHeight="1" x14ac:dyDescent="0.3">
      <c r="A6" s="145"/>
      <c r="B6" s="201" t="s">
        <v>383</v>
      </c>
      <c r="C6" s="924" t="str">
        <f>IF(E_Name=0," ",E_Name)</f>
        <v>Gaurav  Singh</v>
      </c>
      <c r="D6" s="924"/>
      <c r="E6" s="146" t="s">
        <v>384</v>
      </c>
      <c r="F6" s="146"/>
      <c r="G6" s="146"/>
      <c r="H6" s="146"/>
      <c r="I6" s="143"/>
      <c r="P6"/>
      <c r="Q6"/>
      <c r="R6"/>
      <c r="S6" s="32"/>
      <c r="T6" s="105"/>
      <c r="U6" s="105"/>
      <c r="V6" s="32"/>
    </row>
    <row r="7" spans="1:22" s="144" customFormat="1" ht="256.5" customHeight="1" x14ac:dyDescent="0.3">
      <c r="A7" s="925" t="s">
        <v>385</v>
      </c>
      <c r="B7" s="926"/>
      <c r="C7" s="926"/>
      <c r="D7" s="926"/>
      <c r="E7" s="926"/>
      <c r="F7" s="926"/>
      <c r="G7" s="926"/>
      <c r="H7" s="926"/>
      <c r="I7" s="143"/>
      <c r="P7"/>
      <c r="Q7"/>
      <c r="R7"/>
      <c r="S7" s="545" t="s">
        <v>174</v>
      </c>
      <c r="T7" s="546" t="s">
        <v>175</v>
      </c>
      <c r="U7" s="546" t="s">
        <v>176</v>
      </c>
      <c r="V7" s="101"/>
    </row>
    <row r="8" spans="1:22" s="144" customFormat="1" ht="26.25" customHeight="1" x14ac:dyDescent="0.3">
      <c r="A8" s="927" t="s">
        <v>386</v>
      </c>
      <c r="B8" s="928"/>
      <c r="C8" s="928"/>
      <c r="D8" s="928"/>
      <c r="E8" s="928"/>
      <c r="F8" s="928"/>
      <c r="G8" s="928"/>
      <c r="H8" s="928"/>
      <c r="I8" s="143"/>
      <c r="P8"/>
      <c r="Q8"/>
      <c r="R8"/>
      <c r="S8" s="103"/>
      <c r="T8" s="104"/>
      <c r="U8" s="104"/>
      <c r="V8" s="104"/>
    </row>
    <row r="9" spans="1:22" s="144" customFormat="1" ht="47.25" customHeight="1" x14ac:dyDescent="0.3">
      <c r="A9" s="917" t="s">
        <v>387</v>
      </c>
      <c r="B9" s="918"/>
      <c r="C9" s="184" t="s">
        <v>388</v>
      </c>
      <c r="D9" s="919" t="s">
        <v>389</v>
      </c>
      <c r="E9" s="920"/>
      <c r="F9" s="919" t="s">
        <v>390</v>
      </c>
      <c r="G9" s="921"/>
      <c r="H9" s="921"/>
      <c r="I9" s="920"/>
      <c r="P9" s="29"/>
      <c r="Q9" s="5"/>
      <c r="R9" s="5"/>
      <c r="S9" s="103" t="str">
        <f>B29</f>
        <v>Village:</v>
      </c>
      <c r="T9" s="104" t="str">
        <f>IF(C29="","Check","Validated")</f>
        <v>Validated</v>
      </c>
      <c r="U9" s="104" t="s">
        <v>2</v>
      </c>
      <c r="V9" s="104"/>
    </row>
    <row r="10" spans="1:22" s="144" customFormat="1" ht="20.100000000000001" customHeight="1" x14ac:dyDescent="0.3">
      <c r="A10" s="183">
        <v>1</v>
      </c>
      <c r="B10" s="181" t="str">
        <f>IF('Personal Information'!$B$124=0,"",'Personal Information'!$B$124)</f>
        <v/>
      </c>
      <c r="C10" s="182" t="str">
        <f>IF($B10="","",VLOOKUP($B10,'Personal Information'!$B$106:$F$111,3,0))</f>
        <v/>
      </c>
      <c r="D10" s="895" t="str">
        <f ca="1">IF($B10="","",INT((TODAY()-VLOOKUP($B10,'Personal Information'!$B$106:$F$111,5,0))/365.25))</f>
        <v/>
      </c>
      <c r="E10" s="896" t="e">
        <f>IF(#REF!="","",VLOOKUP($A10,'Personal Information'!$B$106:$F$111,5,0))</f>
        <v>#REF!</v>
      </c>
      <c r="F10" s="909" t="str">
        <f>IF($B10="","",VLOOKUP($B10,'Personal Information'!$B$124:$H$129,7,0)*100)</f>
        <v/>
      </c>
      <c r="G10" s="910"/>
      <c r="H10" s="910"/>
      <c r="I10" s="911"/>
      <c r="P10"/>
      <c r="Q10"/>
      <c r="R10"/>
      <c r="S10" s="103" t="str">
        <f>B31</f>
        <v>Sub-division :</v>
      </c>
      <c r="T10" s="104"/>
      <c r="U10" s="104"/>
      <c r="V10" s="104"/>
    </row>
    <row r="11" spans="1:22" s="144" customFormat="1" ht="20.100000000000001" customHeight="1" x14ac:dyDescent="0.3">
      <c r="A11" s="183">
        <v>2</v>
      </c>
      <c r="B11" s="181" t="str">
        <f>IF('Personal Information'!$B$125=0,"",'Personal Information'!$B$125)</f>
        <v/>
      </c>
      <c r="C11" s="182" t="str">
        <f>IF($B11="","",VLOOKUP($B11,'Personal Information'!$B$106:$F$111,3,0))</f>
        <v/>
      </c>
      <c r="D11" s="895" t="str">
        <f ca="1">IF($B11="","",INT((TODAY()-VLOOKUP($B11,'Personal Information'!$B$106:$F$111,5,0))/365.25))</f>
        <v/>
      </c>
      <c r="E11" s="896" t="e">
        <f>IF(#REF!="","",VLOOKUP($A11,'Personal Information'!$B$106:$F$111,5,0))</f>
        <v>#REF!</v>
      </c>
      <c r="F11" s="909" t="str">
        <f>IF($B11="","",VLOOKUP($B11,'Personal Information'!$B$124:$H$129,7,0)*100)</f>
        <v/>
      </c>
      <c r="G11" s="910"/>
      <c r="H11" s="910"/>
      <c r="I11" s="911"/>
      <c r="P11" s="5"/>
      <c r="Q11"/>
      <c r="R11"/>
      <c r="S11" s="103" t="str">
        <f>B33</f>
        <v>District:</v>
      </c>
      <c r="T11" s="104" t="str">
        <f>IF(C33="","Check","Validated")</f>
        <v>Validated</v>
      </c>
      <c r="U11" s="104" t="s">
        <v>2</v>
      </c>
      <c r="V11" s="104"/>
    </row>
    <row r="12" spans="1:22" s="144" customFormat="1" ht="20.100000000000001" customHeight="1" x14ac:dyDescent="0.3">
      <c r="A12" s="183">
        <v>3</v>
      </c>
      <c r="B12" s="181" t="str">
        <f>IF('Personal Information'!$B$126=0,"",'Personal Information'!$B$126)</f>
        <v/>
      </c>
      <c r="C12" s="182" t="str">
        <f>IF($B12="","",VLOOKUP($B12,'Personal Information'!$B$106:$F$111,3,0))</f>
        <v/>
      </c>
      <c r="D12" s="895" t="str">
        <f ca="1">IF($B12="","",INT((TODAY()-VLOOKUP($B12,'Personal Information'!$B$106:$F$111,5,0))/365.25))</f>
        <v/>
      </c>
      <c r="E12" s="896" t="e">
        <f>IF(#REF!="","",VLOOKUP($A12,'Personal Information'!$B$106:$F$111,5,0))</f>
        <v>#REF!</v>
      </c>
      <c r="F12" s="909" t="str">
        <f>IF($B12="","",VLOOKUP($B12,'Personal Information'!$B$124:$H$129,7,0)*100)</f>
        <v/>
      </c>
      <c r="G12" s="910"/>
      <c r="H12" s="910"/>
      <c r="I12" s="911"/>
      <c r="P12"/>
      <c r="Q12"/>
      <c r="R12"/>
      <c r="S12" s="103" t="str">
        <f>E29</f>
        <v>Thana:</v>
      </c>
      <c r="T12" s="104"/>
      <c r="U12" s="104"/>
      <c r="V12" s="104"/>
    </row>
    <row r="13" spans="1:22" s="144" customFormat="1" ht="20.100000000000001" customHeight="1" x14ac:dyDescent="0.25">
      <c r="A13" s="183">
        <v>4</v>
      </c>
      <c r="B13" s="181" t="str">
        <f>IF('Personal Information'!$B$127=0,"",'Personal Information'!$B$127)</f>
        <v/>
      </c>
      <c r="C13" s="182" t="str">
        <f>IF($B13="","",VLOOKUP($B13,'Personal Information'!$B$106:$F$111,3,0))</f>
        <v/>
      </c>
      <c r="D13" s="895" t="str">
        <f ca="1">IF($B13="","",INT((TODAY()-VLOOKUP($B13,'Personal Information'!$B$106:$F$111,5,0))/365.25))</f>
        <v/>
      </c>
      <c r="E13" s="896" t="e">
        <f>IF(#REF!="","",VLOOKUP($A13,'Personal Information'!$B$106:$F$111,5,0))</f>
        <v>#REF!</v>
      </c>
      <c r="F13" s="909" t="str">
        <f>IF($B13="","",VLOOKUP($B13,'Personal Information'!$B$124:$H$129,7,0)*100)</f>
        <v/>
      </c>
      <c r="G13" s="910"/>
      <c r="H13" s="910"/>
      <c r="I13" s="911"/>
      <c r="P13" s="5"/>
      <c r="Q13" s="5"/>
      <c r="R13" s="5"/>
      <c r="S13" s="103" t="str">
        <f>E31</f>
        <v xml:space="preserve">Post office: </v>
      </c>
      <c r="T13" s="104" t="str">
        <f>IF(G31="","Check","Validated")</f>
        <v>Validated</v>
      </c>
      <c r="U13" s="104" t="s">
        <v>2</v>
      </c>
      <c r="V13" s="104"/>
    </row>
    <row r="14" spans="1:22" s="324" customFormat="1" ht="20.100000000000001" customHeight="1" x14ac:dyDescent="0.3">
      <c r="A14" s="336">
        <v>5</v>
      </c>
      <c r="B14" s="334" t="str">
        <f>IF('Personal Information'!$B$128=0,"",'Personal Information'!$B$128)</f>
        <v/>
      </c>
      <c r="C14" s="335" t="str">
        <f>IF($B14="","",VLOOKUP($B14,'Personal Information'!$B$106:$F$111,3,0))</f>
        <v/>
      </c>
      <c r="D14" s="895" t="str">
        <f ca="1">IF($B14="","",INT((TODAY()-VLOOKUP($B14,'Personal Information'!$B$106:$F$111,5,0))/365.25))</f>
        <v/>
      </c>
      <c r="E14" s="896" t="e">
        <f>IF(#REF!="","",VLOOKUP($A14,'Personal Information'!$B$106:$F$111,5,0))</f>
        <v>#REF!</v>
      </c>
      <c r="F14" s="909" t="str">
        <f>IF($B14="","",VLOOKUP($B14,'Personal Information'!$B$124:$H$129,7,0)*100)</f>
        <v/>
      </c>
      <c r="G14" s="910"/>
      <c r="H14" s="910"/>
      <c r="I14" s="911"/>
      <c r="P14"/>
      <c r="Q14"/>
      <c r="R14"/>
      <c r="S14" s="103"/>
      <c r="T14" s="104"/>
      <c r="U14" s="104"/>
      <c r="V14" s="104"/>
    </row>
    <row r="15" spans="1:22" s="144" customFormat="1" ht="20.100000000000001" customHeight="1" x14ac:dyDescent="0.3">
      <c r="A15" s="183">
        <v>6</v>
      </c>
      <c r="B15" s="181" t="str">
        <f>IF('Personal Information'!$B$129=0,"",'Personal Information'!$B$129)</f>
        <v/>
      </c>
      <c r="C15" s="182" t="str">
        <f>IF($B15="","",VLOOKUP($B15,'Personal Information'!$B$106:$F$111,3,0))</f>
        <v/>
      </c>
      <c r="D15" s="895" t="str">
        <f ca="1">IF($B15="","",INT((TODAY()-VLOOKUP($B15,'Personal Information'!$B$106:$F$111,5,0))/365.25))</f>
        <v/>
      </c>
      <c r="E15" s="896" t="e">
        <f>IF(#REF!="","",VLOOKUP($A15,'Personal Information'!$B$106:$F$111,5,0))</f>
        <v>#REF!</v>
      </c>
      <c r="F15" s="909" t="str">
        <f>IF($B15="","",VLOOKUP($B15,'Personal Information'!$B$124:$H$129,7,0)*100)</f>
        <v/>
      </c>
      <c r="G15" s="910"/>
      <c r="H15" s="910"/>
      <c r="I15" s="911"/>
      <c r="P15" s="5"/>
      <c r="Q15" s="29"/>
      <c r="R15" s="29"/>
      <c r="S15" s="103"/>
      <c r="T15" s="104"/>
      <c r="U15" s="104"/>
      <c r="V15" s="29"/>
    </row>
    <row r="16" spans="1:22" ht="21" customHeight="1" x14ac:dyDescent="0.3">
      <c r="A16" s="147"/>
      <c r="B16" s="148" t="s">
        <v>391</v>
      </c>
      <c r="C16" s="148"/>
      <c r="D16" s="148"/>
      <c r="E16" s="148"/>
      <c r="F16" s="148"/>
      <c r="G16" s="148"/>
      <c r="H16" s="148"/>
      <c r="I16" s="142"/>
      <c r="P16" s="29"/>
      <c r="Q16" s="29"/>
      <c r="R16" s="29"/>
      <c r="S16" s="103"/>
      <c r="T16" s="104"/>
      <c r="U16" s="104"/>
      <c r="V16" s="29"/>
    </row>
    <row r="17" spans="1:22" ht="9" customHeight="1" x14ac:dyDescent="0.3">
      <c r="A17" s="149"/>
      <c r="B17" s="150"/>
      <c r="C17" s="150"/>
      <c r="D17" s="150"/>
      <c r="E17" s="150"/>
      <c r="F17" s="150"/>
      <c r="G17" s="150"/>
      <c r="H17" s="150"/>
      <c r="I17" s="151"/>
      <c r="P17" s="412"/>
      <c r="Q17" s="412"/>
      <c r="R17" s="412"/>
      <c r="S17" s="103"/>
      <c r="T17" s="104"/>
      <c r="U17" s="104"/>
      <c r="V17" s="412"/>
    </row>
    <row r="18" spans="1:22" s="138" customFormat="1" ht="26.25" customHeight="1" x14ac:dyDescent="0.3">
      <c r="A18" s="152"/>
      <c r="B18" s="152"/>
      <c r="C18" s="153" t="s">
        <v>392</v>
      </c>
      <c r="D18" s="153"/>
      <c r="E18" s="153"/>
      <c r="F18" s="152"/>
      <c r="G18" s="152"/>
      <c r="H18" s="152"/>
      <c r="I18" s="152"/>
      <c r="P18" s="412"/>
      <c r="Q18" s="412"/>
      <c r="R18" s="412"/>
      <c r="S18" s="103"/>
      <c r="T18" s="104"/>
      <c r="U18" s="104"/>
      <c r="V18" s="412"/>
    </row>
    <row r="19" spans="1:22" ht="18" customHeight="1" x14ac:dyDescent="0.3">
      <c r="A19" s="154">
        <v>1</v>
      </c>
      <c r="B19" s="155" t="s">
        <v>393</v>
      </c>
      <c r="C19" s="156"/>
      <c r="D19" s="171"/>
      <c r="E19" s="332" t="str">
        <f>UPPER(C6)</f>
        <v>GAURAV  SINGH</v>
      </c>
      <c r="F19" s="332"/>
      <c r="G19" s="332"/>
      <c r="H19" s="332"/>
      <c r="I19" s="520"/>
      <c r="P19" s="412"/>
      <c r="Q19" s="412"/>
      <c r="R19" s="412"/>
      <c r="S19" s="103"/>
      <c r="T19" s="104"/>
      <c r="U19" s="104"/>
      <c r="V19" s="412"/>
    </row>
    <row r="20" spans="1:22" ht="18" customHeight="1" x14ac:dyDescent="0.3">
      <c r="A20" s="154">
        <v>2</v>
      </c>
      <c r="B20" s="155" t="s">
        <v>335</v>
      </c>
      <c r="C20" s="157"/>
      <c r="D20" s="171"/>
      <c r="E20" s="332" t="str">
        <f>IF(Sex="","",Sex)</f>
        <v>MALE</v>
      </c>
      <c r="F20" s="332"/>
      <c r="G20" s="332"/>
      <c r="H20" s="332"/>
      <c r="I20" s="520"/>
      <c r="P20" s="412"/>
      <c r="Q20" s="412"/>
      <c r="R20" s="412"/>
      <c r="S20" s="103" t="b">
        <f>T20=U20</f>
        <v>1</v>
      </c>
      <c r="T20" s="105">
        <f>COUNTIF(T9:T19,"Validated")</f>
        <v>3</v>
      </c>
      <c r="U20" s="105">
        <f>COUNTIF(U9:U19,"x")</f>
        <v>3</v>
      </c>
      <c r="V20" s="412"/>
    </row>
    <row r="21" spans="1:22" ht="18" customHeight="1" x14ac:dyDescent="0.25">
      <c r="A21" s="154">
        <v>3</v>
      </c>
      <c r="B21" s="155" t="s">
        <v>394</v>
      </c>
      <c r="C21" s="157"/>
      <c r="D21" s="171"/>
      <c r="E21" s="332" t="str">
        <f>IF('Personal Information'!D31="","",'Personal Information'!D31)</f>
        <v>Hindu</v>
      </c>
      <c r="F21" s="332"/>
      <c r="G21" s="332"/>
      <c r="H21" s="332"/>
      <c r="I21" s="520"/>
    </row>
    <row r="22" spans="1:22" ht="18" customHeight="1" x14ac:dyDescent="0.25">
      <c r="A22" s="154">
        <v>4</v>
      </c>
      <c r="B22" s="155" t="s">
        <v>395</v>
      </c>
      <c r="C22" s="157"/>
      <c r="D22" s="171"/>
      <c r="E22" s="332" t="str">
        <f>IF(M_Status="","",M_Status)</f>
        <v>UNMARRIED</v>
      </c>
      <c r="F22" s="332"/>
      <c r="G22" s="332"/>
      <c r="H22" s="332"/>
      <c r="I22" s="520"/>
    </row>
    <row r="23" spans="1:22" ht="18" customHeight="1" x14ac:dyDescent="0.25">
      <c r="A23" s="158">
        <v>5</v>
      </c>
      <c r="B23" s="155" t="s">
        <v>396</v>
      </c>
      <c r="C23" s="157"/>
      <c r="D23" s="171"/>
      <c r="E23" s="332" t="str">
        <f>IF('Admin Form'!$D$14="","",'Admin Form'!$D$14)</f>
        <v/>
      </c>
      <c r="F23" s="332"/>
      <c r="G23" s="332"/>
      <c r="H23" s="332"/>
      <c r="I23" s="520"/>
    </row>
    <row r="24" spans="1:22" ht="18" customHeight="1" x14ac:dyDescent="0.25">
      <c r="A24" s="154">
        <v>6</v>
      </c>
      <c r="B24" s="155" t="s">
        <v>397</v>
      </c>
      <c r="C24" s="157"/>
      <c r="D24" s="171"/>
      <c r="E24" s="521" t="str">
        <f>IF(Empl_No=0," ",Empl_No)</f>
        <v xml:space="preserve"> </v>
      </c>
      <c r="F24" s="332"/>
      <c r="G24" s="332"/>
      <c r="H24" s="332"/>
      <c r="I24" s="520"/>
    </row>
    <row r="25" spans="1:22" ht="18" customHeight="1" x14ac:dyDescent="0.25">
      <c r="A25" s="154">
        <v>7</v>
      </c>
      <c r="B25" s="155" t="s">
        <v>398</v>
      </c>
      <c r="C25" s="157"/>
      <c r="D25" s="171"/>
      <c r="E25" s="522" t="str">
        <f>IF(DOJ=0,"",DOJ)</f>
        <v/>
      </c>
      <c r="F25" s="332"/>
      <c r="G25" s="332"/>
      <c r="H25" s="332"/>
      <c r="I25" s="520"/>
    </row>
    <row r="26" spans="1:22" s="159" customFormat="1" ht="19.5" customHeight="1" x14ac:dyDescent="0.25">
      <c r="A26" s="185">
        <v>8</v>
      </c>
      <c r="B26" s="897" t="s">
        <v>13</v>
      </c>
      <c r="C26" s="898"/>
      <c r="D26" s="190"/>
      <c r="E26" s="912" t="str">
        <f>IF(('Personal Information'!$H$43&amp;'Personal Information'!$H$44&amp;'Personal Information'!$H$45)=0,"",'Personal Information'!$H$43&amp;" "&amp;'Personal Information'!$H$44)</f>
        <v>FDH 133 ANNPURNAPARA KANKER</v>
      </c>
      <c r="F26" s="912" t="str">
        <f>IF(('Personal Information'!$H$43&amp;'Personal Information'!$H$44&amp;'Personal Information'!$H$45)=0,"",'Personal Information'!$H$43&amp;" "&amp;'Personal Information'!$H$44)</f>
        <v>FDH 133 ANNPURNAPARA KANKER</v>
      </c>
      <c r="G26" s="912" t="str">
        <f>IF(('Personal Information'!$H$43&amp;'Personal Information'!$H$44&amp;'Personal Information'!$H$45)=0,"",'Personal Information'!$H$43&amp;" "&amp;'Personal Information'!$H$44)</f>
        <v>FDH 133 ANNPURNAPARA KANKER</v>
      </c>
      <c r="H26" s="912" t="str">
        <f>IF(('Personal Information'!$H$43&amp;'Personal Information'!$H$44&amp;'Personal Information'!$H$45)=0,"",'Personal Information'!$H$43&amp;" "&amp;'Personal Information'!$H$44)</f>
        <v>FDH 133 ANNPURNAPARA KANKER</v>
      </c>
      <c r="I26" s="913" t="str">
        <f>IF(('Personal Information'!$H$43&amp;'Personal Information'!$H$44&amp;'Personal Information'!$H$45)=0,"",'Personal Information'!$H$43&amp;" "&amp;'Personal Information'!$H$44)</f>
        <v>FDH 133 ANNPURNAPARA KANKER</v>
      </c>
      <c r="J26" s="195"/>
    </row>
    <row r="27" spans="1:22" s="159" customFormat="1" ht="19.5" customHeight="1" x14ac:dyDescent="0.25">
      <c r="A27" s="193"/>
      <c r="B27" s="899"/>
      <c r="C27" s="900"/>
      <c r="D27" s="194"/>
      <c r="E27" s="907" t="str">
        <f>IF('Personal Information'!$H$45=0,"",'Personal Information'!$H$45)</f>
        <v/>
      </c>
      <c r="F27" s="907" t="str">
        <f>IF('Personal Information'!$H$45=0,"",'Personal Information'!$H$45)</f>
        <v/>
      </c>
      <c r="G27" s="907" t="str">
        <f>IF('Personal Information'!$H$45=0,"",'Personal Information'!$H$45)</f>
        <v/>
      </c>
      <c r="H27" s="907" t="str">
        <f>IF('Personal Information'!$H$45=0,"",'Personal Information'!$H$45)</f>
        <v/>
      </c>
      <c r="I27" s="908" t="str">
        <f>IF('Personal Information'!$H$45=0,"",'Personal Information'!$H$45)</f>
        <v/>
      </c>
      <c r="J27" s="195"/>
    </row>
    <row r="28" spans="1:22" s="159" customFormat="1" ht="19.5" customHeight="1" x14ac:dyDescent="0.25">
      <c r="A28" s="192"/>
      <c r="B28" s="901"/>
      <c r="C28" s="902"/>
      <c r="D28" s="191"/>
      <c r="E28" s="903" t="str">
        <f>IF('Personal Information'!$H$46=0,"",'Personal Information'!$H$46&amp;" - "&amp;'Personal Information'!$H$48&amp;", "&amp;'Personal Information'!$H$47)</f>
        <v>KANKER - 494334, CHHATTISGARH</v>
      </c>
      <c r="F28" s="903" t="str">
        <f>IF('Personal Information'!$H$46=0,"",'Personal Information'!$H$46&amp;" - "&amp;'Personal Information'!$H$48)</f>
        <v>KANKER - 494334</v>
      </c>
      <c r="G28" s="903" t="str">
        <f>IF('Personal Information'!$H$46=0,"",'Personal Information'!$H$46&amp;" - "&amp;'Personal Information'!$H$48)</f>
        <v>KANKER - 494334</v>
      </c>
      <c r="H28" s="903" t="str">
        <f>IF('Personal Information'!$H$46=0,"",'Personal Information'!$H$46&amp;" - "&amp;'Personal Information'!$H$48)</f>
        <v>KANKER - 494334</v>
      </c>
      <c r="I28" s="904" t="str">
        <f>IF('Personal Information'!$H$46=0,"",'Personal Information'!$H$46&amp;" - "&amp;'Personal Information'!$H$48)</f>
        <v>KANKER - 494334</v>
      </c>
      <c r="J28" s="195"/>
    </row>
    <row r="29" spans="1:22" ht="18" customHeight="1" x14ac:dyDescent="0.25">
      <c r="A29" s="160"/>
      <c r="B29" s="186" t="s">
        <v>399</v>
      </c>
      <c r="C29" s="187" t="s">
        <v>810</v>
      </c>
      <c r="D29" s="162"/>
      <c r="E29" s="188" t="s">
        <v>400</v>
      </c>
      <c r="F29" s="189"/>
      <c r="G29" s="189" t="s">
        <v>833</v>
      </c>
      <c r="H29" s="187"/>
      <c r="I29" s="142"/>
    </row>
    <row r="30" spans="1:22" ht="8.1" customHeight="1" x14ac:dyDescent="0.25">
      <c r="A30" s="147"/>
      <c r="B30" s="161"/>
      <c r="C30" s="148"/>
      <c r="D30" s="162"/>
      <c r="E30" s="162"/>
      <c r="F30" s="174"/>
      <c r="G30" s="174"/>
      <c r="H30" s="174"/>
      <c r="I30" s="142"/>
    </row>
    <row r="31" spans="1:22" ht="18" customHeight="1" x14ac:dyDescent="0.25">
      <c r="A31" s="160"/>
      <c r="B31" s="161" t="s">
        <v>401</v>
      </c>
      <c r="C31" s="173" t="s">
        <v>810</v>
      </c>
      <c r="D31" s="162"/>
      <c r="E31" s="155" t="s">
        <v>402</v>
      </c>
      <c r="F31" s="172"/>
      <c r="G31" s="172" t="s">
        <v>810</v>
      </c>
      <c r="H31" s="173"/>
      <c r="I31" s="142"/>
    </row>
    <row r="32" spans="1:22" ht="8.1" customHeight="1" x14ac:dyDescent="0.25">
      <c r="A32" s="147"/>
      <c r="B32" s="157"/>
      <c r="C32" s="148"/>
      <c r="D32" s="148"/>
      <c r="E32" s="148"/>
      <c r="F32" s="174"/>
      <c r="G32" s="174"/>
      <c r="H32" s="174"/>
      <c r="I32" s="142"/>
    </row>
    <row r="33" spans="1:9" ht="18" customHeight="1" x14ac:dyDescent="0.25">
      <c r="A33" s="160"/>
      <c r="B33" s="155" t="s">
        <v>403</v>
      </c>
      <c r="C33" s="173" t="s">
        <v>810</v>
      </c>
      <c r="D33" s="162"/>
      <c r="E33" s="155" t="s">
        <v>312</v>
      </c>
      <c r="F33" s="172"/>
      <c r="G33" s="332" t="str">
        <f>IF('Personal Information'!$H$47=0,"",'Personal Information'!$H$47)</f>
        <v>CHHATTISGARH</v>
      </c>
      <c r="H33" s="173"/>
      <c r="I33" s="142"/>
    </row>
    <row r="34" spans="1:9" ht="6" customHeight="1" x14ac:dyDescent="0.25">
      <c r="A34" s="149"/>
      <c r="B34" s="150"/>
      <c r="C34" s="150"/>
      <c r="D34" s="150"/>
      <c r="E34" s="150"/>
      <c r="F34" s="150"/>
      <c r="G34" s="150"/>
      <c r="H34" s="150"/>
      <c r="I34" s="151"/>
    </row>
    <row r="35" spans="1:9" ht="18.75" customHeight="1" x14ac:dyDescent="0.25">
      <c r="A35" s="163"/>
      <c r="B35" s="177" t="s">
        <v>404</v>
      </c>
      <c r="C35" s="180" t="str">
        <f>IF('Personal Information'!$D$23=0,"",'Personal Information'!D23)</f>
        <v>Bangalore</v>
      </c>
      <c r="D35" s="163"/>
      <c r="E35" s="163"/>
      <c r="F35" s="163"/>
      <c r="G35" s="163"/>
      <c r="H35" s="163"/>
      <c r="I35" s="163"/>
    </row>
    <row r="36" spans="1:9" ht="22.5" customHeight="1" thickBot="1" x14ac:dyDescent="0.3">
      <c r="A36" s="175"/>
      <c r="B36" s="178" t="s">
        <v>405</v>
      </c>
      <c r="C36" s="179" t="str">
        <f>E25</f>
        <v/>
      </c>
      <c r="D36" s="164" t="s">
        <v>406</v>
      </c>
      <c r="E36" s="163"/>
      <c r="F36" s="164"/>
      <c r="G36" s="164"/>
      <c r="H36" s="164"/>
      <c r="I36" s="164"/>
    </row>
    <row r="37" spans="1:9" ht="17.25" customHeight="1" x14ac:dyDescent="0.25">
      <c r="A37" s="163"/>
      <c r="B37" s="905" t="s">
        <v>407</v>
      </c>
      <c r="C37" s="905"/>
      <c r="D37" s="905"/>
      <c r="E37" s="905"/>
      <c r="F37" s="905"/>
      <c r="G37" s="905"/>
      <c r="H37" s="905"/>
      <c r="I37" s="905"/>
    </row>
    <row r="38" spans="1:9" ht="13.5" customHeight="1" x14ac:dyDescent="0.25">
      <c r="A38" s="906" t="s">
        <v>408</v>
      </c>
      <c r="B38" s="906"/>
      <c r="C38" s="906"/>
      <c r="D38" s="906"/>
      <c r="E38" s="906"/>
      <c r="F38" s="906"/>
      <c r="G38" s="906"/>
      <c r="H38" s="906"/>
      <c r="I38" s="906"/>
    </row>
    <row r="39" spans="1:9" ht="18" customHeight="1" x14ac:dyDescent="0.25">
      <c r="A39" s="163"/>
      <c r="B39" s="915" t="s">
        <v>409</v>
      </c>
      <c r="C39" s="915"/>
      <c r="D39" s="163"/>
      <c r="E39" s="163" t="s">
        <v>410</v>
      </c>
      <c r="F39" s="163"/>
      <c r="G39" s="163"/>
      <c r="H39" s="163"/>
      <c r="I39" s="163"/>
    </row>
    <row r="40" spans="1:9" ht="17.25" customHeight="1" x14ac:dyDescent="0.25">
      <c r="A40" s="163"/>
      <c r="B40" s="163"/>
      <c r="C40" s="163"/>
      <c r="D40" s="163"/>
      <c r="E40" s="163"/>
      <c r="F40" s="163"/>
      <c r="G40" s="163"/>
      <c r="H40" s="163"/>
      <c r="I40" s="163"/>
    </row>
    <row r="41" spans="1:9" s="169" customFormat="1" ht="49.5" customHeight="1" x14ac:dyDescent="0.3">
      <c r="A41" s="165"/>
      <c r="B41" s="166">
        <v>1</v>
      </c>
      <c r="C41" s="167"/>
      <c r="D41" s="165"/>
      <c r="E41" s="166">
        <v>1</v>
      </c>
      <c r="F41" s="168"/>
      <c r="G41" s="168"/>
      <c r="H41" s="167"/>
      <c r="I41" s="165"/>
    </row>
    <row r="42" spans="1:9" ht="16.5" customHeight="1" x14ac:dyDescent="0.25">
      <c r="A42" s="163"/>
      <c r="B42" s="163"/>
      <c r="C42" s="163"/>
      <c r="D42" s="163"/>
      <c r="E42" s="170"/>
      <c r="F42" s="163"/>
      <c r="G42" s="163"/>
      <c r="H42" s="163"/>
      <c r="I42" s="163"/>
    </row>
    <row r="43" spans="1:9" s="169" customFormat="1" ht="45.75" customHeight="1" x14ac:dyDescent="0.3">
      <c r="A43" s="165"/>
      <c r="B43" s="166">
        <v>2</v>
      </c>
      <c r="C43" s="167"/>
      <c r="D43" s="165"/>
      <c r="E43" s="166">
        <v>2</v>
      </c>
      <c r="F43" s="168"/>
      <c r="G43" s="168"/>
      <c r="H43" s="167"/>
      <c r="I43" s="165"/>
    </row>
    <row r="44" spans="1:9" ht="20.25" customHeight="1" x14ac:dyDescent="0.25">
      <c r="A44" s="163"/>
      <c r="B44" s="177" t="s">
        <v>404</v>
      </c>
      <c r="C44" s="180" t="str">
        <f>IF('Personal Information'!$D$23=0,"",'Personal Information'!D23)</f>
        <v>Bangalore</v>
      </c>
      <c r="D44" s="163"/>
      <c r="E44" s="163"/>
      <c r="F44" s="163"/>
      <c r="G44" s="163"/>
      <c r="H44" s="163"/>
      <c r="I44" s="163"/>
    </row>
    <row r="45" spans="1:9" ht="21" customHeight="1" thickBot="1" x14ac:dyDescent="0.3">
      <c r="A45" s="164"/>
      <c r="B45" s="178" t="s">
        <v>405</v>
      </c>
      <c r="C45" s="179" t="str">
        <f>C36</f>
        <v/>
      </c>
      <c r="D45" s="164"/>
      <c r="E45" s="164"/>
      <c r="F45" s="164"/>
      <c r="G45" s="164"/>
      <c r="H45" s="164"/>
      <c r="I45" s="164"/>
    </row>
    <row r="46" spans="1:9" ht="18" customHeight="1" x14ac:dyDescent="0.25">
      <c r="A46" s="163"/>
      <c r="B46" s="905" t="s">
        <v>411</v>
      </c>
      <c r="C46" s="905"/>
      <c r="D46" s="905"/>
      <c r="E46" s="905"/>
      <c r="F46" s="905"/>
      <c r="G46" s="905"/>
      <c r="H46" s="905"/>
      <c r="I46" s="905"/>
    </row>
    <row r="47" spans="1:9" ht="15" customHeight="1" x14ac:dyDescent="0.25">
      <c r="A47" s="163"/>
      <c r="B47" s="163" t="s">
        <v>412</v>
      </c>
      <c r="C47" s="163"/>
      <c r="D47" s="163"/>
      <c r="E47" s="163"/>
      <c r="F47" s="163"/>
      <c r="G47" s="163"/>
      <c r="H47" s="163"/>
      <c r="I47" s="163"/>
    </row>
    <row r="48" spans="1:9" ht="21" customHeight="1" x14ac:dyDescent="0.25">
      <c r="A48" s="163"/>
      <c r="B48" s="163" t="s">
        <v>413</v>
      </c>
      <c r="C48" s="163"/>
      <c r="D48" s="163"/>
      <c r="E48" s="163" t="s">
        <v>414</v>
      </c>
      <c r="F48" s="163"/>
      <c r="G48" s="163"/>
      <c r="H48" s="163"/>
      <c r="I48" s="163"/>
    </row>
    <row r="49" spans="1:9" ht="12.75" customHeight="1" x14ac:dyDescent="0.25">
      <c r="A49" s="163"/>
      <c r="B49" s="163"/>
      <c r="C49" s="163"/>
      <c r="D49" s="163"/>
      <c r="E49" s="163" t="s">
        <v>415</v>
      </c>
      <c r="F49" s="163"/>
      <c r="G49" s="163"/>
      <c r="H49" s="163"/>
      <c r="I49" s="163"/>
    </row>
    <row r="50" spans="1:9" ht="21" customHeight="1" x14ac:dyDescent="0.25">
      <c r="A50" s="163"/>
      <c r="B50" s="163"/>
      <c r="C50" s="163"/>
      <c r="D50" s="163"/>
      <c r="E50" s="163"/>
      <c r="F50" s="163"/>
      <c r="G50" s="163"/>
      <c r="H50" s="163"/>
      <c r="I50" s="163"/>
    </row>
    <row r="51" spans="1:9" ht="21" customHeight="1" x14ac:dyDescent="0.25">
      <c r="A51" s="163"/>
      <c r="B51" s="163"/>
      <c r="C51" s="163"/>
      <c r="D51" s="163"/>
      <c r="E51" s="163" t="s">
        <v>376</v>
      </c>
      <c r="F51" s="163"/>
      <c r="G51" s="163"/>
      <c r="H51" s="163"/>
      <c r="I51" s="163"/>
    </row>
    <row r="52" spans="1:9" ht="28.5" customHeight="1" thickBot="1" x14ac:dyDescent="0.3">
      <c r="A52" s="916" t="s">
        <v>416</v>
      </c>
      <c r="B52" s="916"/>
      <c r="C52" s="916"/>
      <c r="D52" s="164"/>
      <c r="E52" s="164" t="s">
        <v>417</v>
      </c>
      <c r="F52" s="164"/>
      <c r="G52" s="164"/>
      <c r="H52" s="164"/>
      <c r="I52" s="164"/>
    </row>
    <row r="53" spans="1:9" ht="21" customHeight="1" x14ac:dyDescent="0.25">
      <c r="A53" s="163"/>
      <c r="B53" s="905" t="s">
        <v>418</v>
      </c>
      <c r="C53" s="905"/>
      <c r="D53" s="905"/>
      <c r="E53" s="905"/>
      <c r="F53" s="905"/>
      <c r="G53" s="905"/>
      <c r="H53" s="905"/>
      <c r="I53" s="905"/>
    </row>
    <row r="54" spans="1:9" ht="21" customHeight="1" x14ac:dyDescent="0.25">
      <c r="A54" s="163"/>
      <c r="B54" s="163" t="s">
        <v>419</v>
      </c>
      <c r="C54" s="163"/>
      <c r="D54" s="163"/>
      <c r="E54" s="163"/>
      <c r="F54" s="163"/>
      <c r="G54" s="163"/>
      <c r="H54" s="163"/>
      <c r="I54" s="163"/>
    </row>
    <row r="55" spans="1:9" ht="38.25" customHeight="1" thickBot="1" x14ac:dyDescent="0.3">
      <c r="A55" s="164"/>
      <c r="B55" s="176" t="s">
        <v>405</v>
      </c>
      <c r="C55" s="179" t="str">
        <f>C36</f>
        <v/>
      </c>
      <c r="D55" s="164" t="s">
        <v>406</v>
      </c>
      <c r="E55" s="163"/>
      <c r="F55" s="164"/>
      <c r="G55" s="164"/>
      <c r="H55" s="164"/>
      <c r="I55" s="164"/>
    </row>
    <row r="56" spans="1:9" ht="14.25" customHeight="1" x14ac:dyDescent="0.25">
      <c r="A56" s="163"/>
      <c r="B56" s="914" t="s">
        <v>420</v>
      </c>
      <c r="C56" s="914"/>
      <c r="D56" s="914"/>
      <c r="E56" s="914"/>
      <c r="F56" s="914"/>
      <c r="G56" s="914"/>
      <c r="H56" s="914"/>
      <c r="I56" s="914"/>
    </row>
    <row r="57" spans="1:9" ht="21" customHeight="1" x14ac:dyDescent="0.25"/>
    <row r="58" spans="1:9" ht="21" hidden="1" customHeight="1" x14ac:dyDescent="0.25"/>
    <row r="59" spans="1:9" ht="21" hidden="1" customHeight="1" x14ac:dyDescent="0.25"/>
    <row r="60" spans="1:9" ht="21" hidden="1" customHeight="1" x14ac:dyDescent="0.25"/>
    <row r="61" spans="1:9" ht="21" hidden="1" customHeight="1" x14ac:dyDescent="0.25"/>
    <row r="62" spans="1:9" ht="21" hidden="1" customHeight="1" x14ac:dyDescent="0.25"/>
    <row r="63" spans="1:9" ht="21" hidden="1" customHeight="1" x14ac:dyDescent="0.25"/>
    <row r="64" spans="1:9" ht="21" hidden="1" customHeight="1" x14ac:dyDescent="0.25"/>
    <row r="65" ht="21" hidden="1" customHeight="1" x14ac:dyDescent="0.25"/>
    <row r="66" ht="21" hidden="1" customHeight="1" x14ac:dyDescent="0.25"/>
    <row r="67" ht="21" hidden="1" customHeight="1" x14ac:dyDescent="0.25"/>
    <row r="68" ht="21" hidden="1" customHeight="1" x14ac:dyDescent="0.25"/>
    <row r="69" ht="21" hidden="1" customHeight="1" x14ac:dyDescent="0.25"/>
    <row r="70" ht="21" hidden="1" customHeight="1" x14ac:dyDescent="0.25"/>
    <row r="71" ht="21" hidden="1" customHeight="1" x14ac:dyDescent="0.25"/>
    <row r="72" ht="21" hidden="1" customHeight="1" x14ac:dyDescent="0.25"/>
    <row r="73" ht="21" hidden="1" customHeight="1" x14ac:dyDescent="0.25"/>
    <row r="74" ht="21" hidden="1" customHeight="1" x14ac:dyDescent="0.25"/>
    <row r="75" ht="21" hidden="1" customHeight="1" x14ac:dyDescent="0.25"/>
    <row r="76" ht="21" hidden="1" customHeight="1" x14ac:dyDescent="0.25"/>
    <row r="77" ht="21" hidden="1" customHeight="1" x14ac:dyDescent="0.25"/>
    <row r="78" ht="21" hidden="1" customHeight="1" x14ac:dyDescent="0.25"/>
    <row r="79" ht="21" hidden="1" customHeight="1" x14ac:dyDescent="0.25"/>
    <row r="80" ht="21" hidden="1" customHeight="1" x14ac:dyDescent="0.25"/>
    <row r="81" ht="21" hidden="1" customHeight="1" x14ac:dyDescent="0.25"/>
    <row r="82" ht="21" hidden="1" customHeight="1" x14ac:dyDescent="0.25"/>
    <row r="83" ht="21" hidden="1" customHeight="1" x14ac:dyDescent="0.25"/>
    <row r="84" ht="21" hidden="1" customHeight="1" x14ac:dyDescent="0.25"/>
    <row r="85" ht="21" hidden="1" customHeight="1" x14ac:dyDescent="0.25"/>
    <row r="86" ht="21" hidden="1" customHeight="1" x14ac:dyDescent="0.25"/>
    <row r="87" ht="21" hidden="1" customHeight="1" x14ac:dyDescent="0.25"/>
    <row r="88" ht="21" hidden="1" customHeight="1" x14ac:dyDescent="0.25"/>
    <row r="89" ht="21" hidden="1" customHeight="1" x14ac:dyDescent="0.25"/>
    <row r="90" ht="21" hidden="1" customHeight="1" x14ac:dyDescent="0.25"/>
    <row r="91" ht="21" hidden="1" customHeight="1" x14ac:dyDescent="0.25"/>
    <row r="92" ht="21" hidden="1" customHeight="1" x14ac:dyDescent="0.25"/>
    <row r="93" ht="21" hidden="1" customHeight="1" x14ac:dyDescent="0.25"/>
    <row r="94" ht="21" hidden="1" customHeight="1" x14ac:dyDescent="0.25"/>
    <row r="95" ht="21" hidden="1" customHeight="1" x14ac:dyDescent="0.25"/>
    <row r="96" ht="21" hidden="1" customHeight="1" x14ac:dyDescent="0.25"/>
    <row r="97" ht="21" hidden="1" customHeight="1" x14ac:dyDescent="0.25"/>
    <row r="98" ht="21" hidden="1" customHeight="1" x14ac:dyDescent="0.25"/>
    <row r="99" ht="21" hidden="1" customHeight="1" x14ac:dyDescent="0.25"/>
    <row r="100" ht="21" hidden="1" customHeight="1" x14ac:dyDescent="0.25"/>
    <row r="101" ht="21" hidden="1" customHeight="1" x14ac:dyDescent="0.25"/>
    <row r="102" ht="21" hidden="1" customHeight="1" x14ac:dyDescent="0.25"/>
    <row r="103" ht="21" hidden="1" customHeight="1" x14ac:dyDescent="0.25"/>
    <row r="104" ht="21" hidden="1" customHeight="1" x14ac:dyDescent="0.25"/>
    <row r="105" ht="21" hidden="1" customHeight="1" x14ac:dyDescent="0.25"/>
    <row r="106" ht="21" hidden="1" customHeight="1" x14ac:dyDescent="0.25"/>
    <row r="107" ht="21" hidden="1" customHeight="1" x14ac:dyDescent="0.25"/>
    <row r="108" ht="21" hidden="1" customHeight="1" x14ac:dyDescent="0.25"/>
    <row r="109" ht="21" hidden="1" customHeight="1" x14ac:dyDescent="0.25"/>
    <row r="110" ht="21" hidden="1" customHeight="1" x14ac:dyDescent="0.25"/>
    <row r="111" ht="21" hidden="1" customHeight="1" x14ac:dyDescent="0.25"/>
    <row r="112" ht="21" hidden="1" customHeight="1" x14ac:dyDescent="0.25"/>
    <row r="113" ht="21" hidden="1" customHeight="1" x14ac:dyDescent="0.25"/>
    <row r="114" ht="21" hidden="1" customHeight="1" x14ac:dyDescent="0.25"/>
    <row r="115" ht="21" hidden="1" customHeight="1" x14ac:dyDescent="0.25"/>
    <row r="116" ht="21" hidden="1" customHeight="1" x14ac:dyDescent="0.25"/>
    <row r="117" ht="21" hidden="1" customHeight="1" x14ac:dyDescent="0.25"/>
  </sheetData>
  <sheetProtection password="CA99" sheet="1" objects="1" scenarios="1"/>
  <mergeCells count="31">
    <mergeCell ref="P2:V5"/>
    <mergeCell ref="A5:H5"/>
    <mergeCell ref="C6:D6"/>
    <mergeCell ref="A7:H7"/>
    <mergeCell ref="A8:H8"/>
    <mergeCell ref="A9:B9"/>
    <mergeCell ref="D9:E9"/>
    <mergeCell ref="F9:I9"/>
    <mergeCell ref="D10:E10"/>
    <mergeCell ref="F10:I10"/>
    <mergeCell ref="D11:E11"/>
    <mergeCell ref="F11:I11"/>
    <mergeCell ref="D12:E12"/>
    <mergeCell ref="F12:I12"/>
    <mergeCell ref="D13:E13"/>
    <mergeCell ref="F13:I13"/>
    <mergeCell ref="B53:I53"/>
    <mergeCell ref="B56:I56"/>
    <mergeCell ref="B39:C39"/>
    <mergeCell ref="B46:I46"/>
    <mergeCell ref="A52:C52"/>
    <mergeCell ref="D14:E14"/>
    <mergeCell ref="B26:C28"/>
    <mergeCell ref="E28:I28"/>
    <mergeCell ref="B37:I37"/>
    <mergeCell ref="A38:I38"/>
    <mergeCell ref="E27:I27"/>
    <mergeCell ref="D15:E15"/>
    <mergeCell ref="F15:I15"/>
    <mergeCell ref="E26:I26"/>
    <mergeCell ref="F14:I14"/>
  </mergeCells>
  <conditionalFormatting sqref="C29 G29 G31 C31 C33">
    <cfRule type="cellIs" dxfId="18" priority="1" stopIfTrue="1" operator="equal">
      <formula>0</formula>
    </cfRule>
  </conditionalFormatting>
  <pageMargins left="0.7" right="0.7" top="0.75" bottom="0.75" header="0.3" footer="0.3"/>
  <pageSetup scale="97" fitToHeight="2" orientation="portrait" r:id="rId1"/>
  <headerFooter>
    <oddHeader xml:space="preserve">&amp;L -   </oddHeader>
    <oddFooter>&amp;CPage &amp;P - &amp;N</oddFooter>
  </headerFooter>
  <rowBreaks count="1" manualBreakCount="1">
    <brk id="17" max="8" man="1"/>
  </rowBreaks>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P59"/>
  <sheetViews>
    <sheetView showGridLines="0" topLeftCell="C10" zoomScaleNormal="100" workbookViewId="0">
      <selection activeCell="I20" sqref="I20:N20"/>
    </sheetView>
  </sheetViews>
  <sheetFormatPr defaultColWidth="0" defaultRowHeight="15" customHeight="1" zeroHeight="1" x14ac:dyDescent="0.3"/>
  <cols>
    <col min="1" max="2" width="9.109375" hidden="1" customWidth="1"/>
    <col min="3" max="3" width="6.6640625" customWidth="1"/>
    <col min="4" max="4" width="9.109375" customWidth="1"/>
    <col min="5" max="5" width="9.88671875" bestFit="1" customWidth="1"/>
    <col min="6" max="6" width="10.109375" bestFit="1" customWidth="1"/>
    <col min="7" max="7" width="9.109375" customWidth="1"/>
    <col min="8" max="8" width="23.44140625" customWidth="1"/>
    <col min="9" max="12" width="9.109375" customWidth="1"/>
    <col min="13" max="13" width="10.33203125" customWidth="1"/>
    <col min="14" max="14" width="18.44140625" customWidth="1"/>
    <col min="15" max="16" width="9.109375" customWidth="1"/>
    <col min="17" max="16384" width="9.109375" hidden="1"/>
  </cols>
  <sheetData>
    <row r="1" spans="3:15" ht="14.4" x14ac:dyDescent="0.3">
      <c r="J1" s="935" t="s">
        <v>772</v>
      </c>
      <c r="K1" s="935"/>
      <c r="L1" s="935"/>
      <c r="M1" s="935"/>
      <c r="N1" s="935"/>
    </row>
    <row r="2" spans="3:15" ht="14.4" x14ac:dyDescent="0.3">
      <c r="J2" s="936" t="s">
        <v>771</v>
      </c>
      <c r="K2" s="936"/>
      <c r="L2" s="936"/>
      <c r="M2" s="936"/>
      <c r="N2" s="936"/>
      <c r="O2" s="936"/>
    </row>
    <row r="3" spans="3:15" ht="16.8" x14ac:dyDescent="0.35">
      <c r="E3" s="728"/>
      <c r="F3" s="937" t="s">
        <v>770</v>
      </c>
      <c r="G3" s="937"/>
      <c r="H3" s="937"/>
      <c r="I3" s="937"/>
      <c r="J3" s="937"/>
      <c r="K3" s="937"/>
    </row>
    <row r="4" spans="3:15" ht="5.25" customHeight="1" x14ac:dyDescent="0.3">
      <c r="D4" s="727"/>
      <c r="E4" s="727"/>
      <c r="F4" s="727"/>
      <c r="G4" s="727"/>
      <c r="H4" s="727"/>
      <c r="I4" s="727"/>
      <c r="J4" s="727"/>
    </row>
    <row r="5" spans="3:15" ht="30.75" customHeight="1" x14ac:dyDescent="0.3">
      <c r="C5" s="938" t="s">
        <v>769</v>
      </c>
      <c r="D5" s="939"/>
      <c r="E5" s="939"/>
      <c r="F5" s="939"/>
      <c r="G5" s="939"/>
      <c r="H5" s="939"/>
      <c r="I5" s="939"/>
      <c r="J5" s="939"/>
      <c r="K5" s="939"/>
      <c r="L5" s="939"/>
      <c r="M5" s="939"/>
      <c r="N5" s="939"/>
    </row>
    <row r="6" spans="3:15" ht="5.25" customHeight="1" x14ac:dyDescent="0.3">
      <c r="C6" s="37"/>
      <c r="D6" s="37"/>
      <c r="E6" s="37"/>
      <c r="F6" s="37"/>
      <c r="G6" s="37"/>
      <c r="H6" s="37"/>
      <c r="I6" s="37"/>
      <c r="J6" s="37"/>
      <c r="K6" s="37"/>
      <c r="L6" s="37"/>
      <c r="M6" s="37"/>
      <c r="N6" s="37"/>
    </row>
    <row r="7" spans="3:15" ht="14.4" x14ac:dyDescent="0.3">
      <c r="C7" s="939" t="s">
        <v>768</v>
      </c>
      <c r="D7" s="939"/>
      <c r="E7" s="939"/>
      <c r="F7" s="939"/>
      <c r="G7" s="939"/>
      <c r="H7" s="939"/>
      <c r="I7" s="939"/>
      <c r="J7" s="939"/>
      <c r="K7" s="939"/>
      <c r="L7" s="939"/>
      <c r="M7" s="939"/>
      <c r="N7" s="939"/>
      <c r="O7" s="726"/>
    </row>
    <row r="8" spans="3:15" ht="6" customHeight="1" x14ac:dyDescent="0.3"/>
    <row r="9" spans="3:15" ht="31.5" customHeight="1" x14ac:dyDescent="0.3">
      <c r="C9" s="725">
        <v>1</v>
      </c>
      <c r="D9" s="929" t="s">
        <v>767</v>
      </c>
      <c r="E9" s="930"/>
      <c r="F9" s="930"/>
      <c r="G9" s="930"/>
      <c r="H9" s="931"/>
      <c r="I9" s="932" t="str">
        <f>IF(E_Name="","",E_Name)</f>
        <v>Gaurav  Singh</v>
      </c>
      <c r="J9" s="933"/>
      <c r="K9" s="933"/>
      <c r="L9" s="933"/>
      <c r="M9" s="933"/>
      <c r="N9" s="934"/>
    </row>
    <row r="10" spans="3:15" ht="15" customHeight="1" x14ac:dyDescent="0.3">
      <c r="C10" s="944">
        <v>2</v>
      </c>
      <c r="D10" s="945" t="s">
        <v>766</v>
      </c>
      <c r="E10" s="946"/>
      <c r="F10" s="946"/>
      <c r="G10" s="946"/>
      <c r="H10" s="947"/>
      <c r="I10" s="951" t="str">
        <f>PF!E8</f>
        <v>SIYARAM SINGH</v>
      </c>
      <c r="J10" s="952"/>
      <c r="K10" s="952"/>
      <c r="L10" s="952"/>
      <c r="M10" s="952"/>
      <c r="N10" s="953"/>
    </row>
    <row r="11" spans="3:15" ht="14.4" x14ac:dyDescent="0.3">
      <c r="C11" s="944"/>
      <c r="D11" s="948"/>
      <c r="E11" s="949"/>
      <c r="F11" s="949"/>
      <c r="G11" s="949"/>
      <c r="H11" s="950"/>
      <c r="I11" s="954"/>
      <c r="J11" s="955"/>
      <c r="K11" s="955"/>
      <c r="L11" s="955"/>
      <c r="M11" s="955"/>
      <c r="N11" s="956"/>
    </row>
    <row r="12" spans="3:15" ht="18" customHeight="1" x14ac:dyDescent="0.3">
      <c r="C12" s="725">
        <v>3</v>
      </c>
      <c r="D12" s="929" t="s">
        <v>765</v>
      </c>
      <c r="E12" s="930"/>
      <c r="F12" s="930"/>
      <c r="G12" s="930"/>
      <c r="H12" s="931"/>
      <c r="I12" s="957">
        <f>IF(DOB="","",DOB)</f>
        <v>34101</v>
      </c>
      <c r="J12" s="958"/>
      <c r="K12" s="958"/>
      <c r="L12" s="958"/>
      <c r="M12" s="958"/>
      <c r="N12" s="959"/>
    </row>
    <row r="13" spans="3:15" ht="18" customHeight="1" x14ac:dyDescent="0.3">
      <c r="C13" s="725">
        <v>4</v>
      </c>
      <c r="D13" s="929" t="s">
        <v>764</v>
      </c>
      <c r="E13" s="930"/>
      <c r="F13" s="930"/>
      <c r="G13" s="930"/>
      <c r="H13" s="931"/>
      <c r="I13" s="932" t="str">
        <f>IF(Sex="","",Sex)</f>
        <v>MALE</v>
      </c>
      <c r="J13" s="933"/>
      <c r="K13" s="933"/>
      <c r="L13" s="933"/>
      <c r="M13" s="933"/>
      <c r="N13" s="934"/>
    </row>
    <row r="14" spans="3:15" ht="18" customHeight="1" x14ac:dyDescent="0.3">
      <c r="C14" s="725">
        <v>5</v>
      </c>
      <c r="D14" s="929" t="s">
        <v>763</v>
      </c>
      <c r="E14" s="930"/>
      <c r="F14" s="930"/>
      <c r="G14" s="930"/>
      <c r="H14" s="931"/>
      <c r="I14" s="932" t="str">
        <f>IF(M_Status="","",M_Status)</f>
        <v>UNMARRIED</v>
      </c>
      <c r="J14" s="933"/>
      <c r="K14" s="933"/>
      <c r="L14" s="933"/>
      <c r="M14" s="933"/>
      <c r="N14" s="934"/>
    </row>
    <row r="15" spans="3:15" ht="15" customHeight="1" x14ac:dyDescent="0.3">
      <c r="C15" s="944">
        <v>6</v>
      </c>
      <c r="D15" s="945" t="s">
        <v>762</v>
      </c>
      <c r="E15" s="946"/>
      <c r="F15" s="946"/>
      <c r="G15" s="946"/>
      <c r="H15" s="947"/>
      <c r="I15" s="951" t="str">
        <f>IF(Email_I="","",Email_I)</f>
        <v>gaurav.mail125@gmail.com</v>
      </c>
      <c r="J15" s="952"/>
      <c r="K15" s="952"/>
      <c r="L15" s="952"/>
      <c r="M15" s="952"/>
      <c r="N15" s="953"/>
    </row>
    <row r="16" spans="3:15" ht="14.4" x14ac:dyDescent="0.3">
      <c r="C16" s="944"/>
      <c r="D16" s="948"/>
      <c r="E16" s="949"/>
      <c r="F16" s="949"/>
      <c r="G16" s="949"/>
      <c r="H16" s="950"/>
      <c r="I16" s="960">
        <f>IF(Mobile_N="","",Mobile_N)</f>
        <v>9407669172</v>
      </c>
      <c r="J16" s="955"/>
      <c r="K16" s="955"/>
      <c r="L16" s="955"/>
      <c r="M16" s="955"/>
      <c r="N16" s="956"/>
    </row>
    <row r="17" spans="3:14" ht="33" customHeight="1" x14ac:dyDescent="0.3">
      <c r="C17" s="725">
        <v>7</v>
      </c>
      <c r="D17" s="940" t="s">
        <v>761</v>
      </c>
      <c r="E17" s="930"/>
      <c r="F17" s="930"/>
      <c r="G17" s="930"/>
      <c r="H17" s="931"/>
      <c r="I17" s="941" t="s">
        <v>759</v>
      </c>
      <c r="J17" s="942"/>
      <c r="K17" s="942"/>
      <c r="L17" s="942"/>
      <c r="M17" s="942"/>
      <c r="N17" s="943"/>
    </row>
    <row r="18" spans="3:14" ht="18" customHeight="1" x14ac:dyDescent="0.3">
      <c r="C18" s="725">
        <v>8</v>
      </c>
      <c r="D18" s="929" t="s">
        <v>760</v>
      </c>
      <c r="E18" s="930"/>
      <c r="F18" s="930"/>
      <c r="G18" s="930"/>
      <c r="H18" s="931"/>
      <c r="I18" s="941" t="s">
        <v>759</v>
      </c>
      <c r="J18" s="942"/>
      <c r="K18" s="942"/>
      <c r="L18" s="942"/>
      <c r="M18" s="942"/>
      <c r="N18" s="943"/>
    </row>
    <row r="19" spans="3:14" ht="35.25" customHeight="1" x14ac:dyDescent="0.3">
      <c r="C19" s="944">
        <v>9</v>
      </c>
      <c r="D19" s="940" t="s">
        <v>758</v>
      </c>
      <c r="E19" s="961"/>
      <c r="F19" s="961"/>
      <c r="G19" s="961"/>
      <c r="H19" s="962"/>
      <c r="I19" s="932" t="str">
        <f>IF(UAN_N="","",UAN_N)</f>
        <v>101014131776</v>
      </c>
      <c r="J19" s="933"/>
      <c r="K19" s="933"/>
      <c r="L19" s="933"/>
      <c r="M19" s="933"/>
      <c r="N19" s="934"/>
    </row>
    <row r="20" spans="3:14" ht="18" customHeight="1" x14ac:dyDescent="0.3">
      <c r="C20" s="944"/>
      <c r="D20" s="929" t="s">
        <v>757</v>
      </c>
      <c r="E20" s="930"/>
      <c r="F20" s="930"/>
      <c r="G20" s="930"/>
      <c r="H20" s="931"/>
      <c r="I20" s="932" t="str">
        <f>IF(PF_N="","",PF_N)</f>
        <v/>
      </c>
      <c r="J20" s="933"/>
      <c r="K20" s="933"/>
      <c r="L20" s="933"/>
      <c r="M20" s="933"/>
      <c r="N20" s="934"/>
    </row>
    <row r="21" spans="3:14" ht="18" customHeight="1" x14ac:dyDescent="0.3">
      <c r="C21" s="944"/>
      <c r="D21" s="929" t="s">
        <v>756</v>
      </c>
      <c r="E21" s="930"/>
      <c r="F21" s="930"/>
      <c r="G21" s="930"/>
      <c r="H21" s="931"/>
      <c r="I21" s="957" t="str">
        <f>IF(LWD="","",LWD)</f>
        <v/>
      </c>
      <c r="J21" s="958"/>
      <c r="K21" s="958"/>
      <c r="L21" s="958"/>
      <c r="M21" s="958"/>
      <c r="N21" s="959"/>
    </row>
    <row r="22" spans="3:14" ht="18" customHeight="1" x14ac:dyDescent="0.3">
      <c r="C22" s="944"/>
      <c r="D22" s="929" t="s">
        <v>755</v>
      </c>
      <c r="E22" s="930"/>
      <c r="F22" s="930"/>
      <c r="G22" s="930"/>
      <c r="H22" s="931"/>
      <c r="I22" s="932"/>
      <c r="J22" s="933"/>
      <c r="K22" s="933"/>
      <c r="L22" s="933"/>
      <c r="M22" s="933"/>
      <c r="N22" s="934"/>
    </row>
    <row r="23" spans="3:14" ht="18" customHeight="1" x14ac:dyDescent="0.3">
      <c r="C23" s="944"/>
      <c r="D23" s="929" t="s">
        <v>754</v>
      </c>
      <c r="E23" s="930"/>
      <c r="F23" s="930"/>
      <c r="G23" s="930"/>
      <c r="H23" s="931"/>
      <c r="I23" s="932"/>
      <c r="J23" s="933"/>
      <c r="K23" s="933"/>
      <c r="L23" s="933"/>
      <c r="M23" s="933"/>
      <c r="N23" s="934"/>
    </row>
    <row r="24" spans="3:14" ht="18" customHeight="1" x14ac:dyDescent="0.3">
      <c r="C24" s="963">
        <v>10</v>
      </c>
      <c r="D24" s="929" t="s">
        <v>753</v>
      </c>
      <c r="E24" s="930"/>
      <c r="F24" s="930"/>
      <c r="G24" s="930"/>
      <c r="H24" s="931"/>
      <c r="I24" s="941" t="s">
        <v>752</v>
      </c>
      <c r="J24" s="942"/>
      <c r="K24" s="942"/>
      <c r="L24" s="942"/>
      <c r="M24" s="942"/>
      <c r="N24" s="943"/>
    </row>
    <row r="25" spans="3:14" ht="18" customHeight="1" x14ac:dyDescent="0.3">
      <c r="C25" s="964"/>
      <c r="D25" s="929" t="s">
        <v>751</v>
      </c>
      <c r="E25" s="930"/>
      <c r="F25" s="930"/>
      <c r="G25" s="930"/>
      <c r="H25" s="931"/>
      <c r="I25" s="932"/>
      <c r="J25" s="933"/>
      <c r="K25" s="933"/>
      <c r="L25" s="933"/>
      <c r="M25" s="933"/>
      <c r="N25" s="934"/>
    </row>
    <row r="26" spans="3:14" ht="18" customHeight="1" x14ac:dyDescent="0.3">
      <c r="C26" s="964"/>
      <c r="D26" s="929" t="s">
        <v>750</v>
      </c>
      <c r="E26" s="930"/>
      <c r="F26" s="930"/>
      <c r="G26" s="930"/>
      <c r="H26" s="931"/>
      <c r="I26" s="932"/>
      <c r="J26" s="933"/>
      <c r="K26" s="933"/>
      <c r="L26" s="933"/>
      <c r="M26" s="933"/>
      <c r="N26" s="934"/>
    </row>
    <row r="27" spans="3:14" ht="18" customHeight="1" x14ac:dyDescent="0.3">
      <c r="C27" s="965"/>
      <c r="D27" s="929" t="s">
        <v>749</v>
      </c>
      <c r="E27" s="930"/>
      <c r="F27" s="930"/>
      <c r="G27" s="930"/>
      <c r="H27" s="931"/>
      <c r="I27" s="966"/>
      <c r="J27" s="967"/>
      <c r="K27" s="968" t="s">
        <v>421</v>
      </c>
      <c r="L27" s="968"/>
      <c r="M27" s="969"/>
      <c r="N27" s="970"/>
    </row>
    <row r="28" spans="3:14" ht="18" customHeight="1" x14ac:dyDescent="0.3">
      <c r="C28" s="971">
        <v>11</v>
      </c>
      <c r="D28" s="929" t="s">
        <v>748</v>
      </c>
      <c r="E28" s="930"/>
      <c r="F28" s="930"/>
      <c r="G28" s="930"/>
      <c r="H28" s="931"/>
      <c r="I28" s="932"/>
      <c r="J28" s="933"/>
      <c r="K28" s="933"/>
      <c r="L28" s="933"/>
      <c r="M28" s="933"/>
      <c r="N28" s="934"/>
    </row>
    <row r="29" spans="3:14" ht="18" customHeight="1" x14ac:dyDescent="0.3">
      <c r="C29" s="972"/>
      <c r="D29" s="929" t="s">
        <v>747</v>
      </c>
      <c r="E29" s="930"/>
      <c r="F29" s="930"/>
      <c r="G29" s="930"/>
      <c r="H29" s="931"/>
      <c r="I29" s="932" t="str">
        <f>IF(Bank_Acc1="","",Bank_Acc)</f>
        <v xml:space="preserve"> &amp; </v>
      </c>
      <c r="J29" s="933"/>
      <c r="K29" s="933"/>
      <c r="L29" s="933"/>
      <c r="M29" s="933"/>
      <c r="N29" s="934"/>
    </row>
    <row r="30" spans="3:14" ht="18" customHeight="1" x14ac:dyDescent="0.3">
      <c r="C30" s="972"/>
      <c r="D30" s="929" t="s">
        <v>746</v>
      </c>
      <c r="E30" s="930"/>
      <c r="F30" s="930"/>
      <c r="G30" s="930"/>
      <c r="H30" s="931"/>
      <c r="I30" s="974" t="str">
        <f>IF(Adh_no="","",Adh_no)</f>
        <v>833365502563</v>
      </c>
      <c r="J30" s="975"/>
      <c r="K30" s="975"/>
      <c r="L30" s="975"/>
      <c r="M30" s="975"/>
      <c r="N30" s="976"/>
    </row>
    <row r="31" spans="3:14" ht="18" customHeight="1" x14ac:dyDescent="0.3">
      <c r="C31" s="973"/>
      <c r="D31" s="977" t="s">
        <v>745</v>
      </c>
      <c r="E31" s="978"/>
      <c r="F31" s="978"/>
      <c r="G31" s="978"/>
      <c r="H31" s="979"/>
      <c r="I31" s="932" t="str">
        <f>IF(Pan_no="","",Pan_no)</f>
        <v>EFIPS5903D</v>
      </c>
      <c r="J31" s="933"/>
      <c r="K31" s="933"/>
      <c r="L31" s="933"/>
      <c r="M31" s="933"/>
      <c r="N31" s="934"/>
    </row>
    <row r="32" spans="3:14" ht="19.8" x14ac:dyDescent="0.4">
      <c r="H32" s="982" t="s">
        <v>744</v>
      </c>
      <c r="I32" s="982"/>
    </row>
    <row r="33" spans="4:15" ht="14.4" x14ac:dyDescent="0.3">
      <c r="D33" s="936" t="s">
        <v>743</v>
      </c>
      <c r="E33" s="936"/>
      <c r="F33" s="936"/>
      <c r="G33" s="936"/>
      <c r="H33" s="936"/>
      <c r="I33" s="936"/>
      <c r="J33" s="936"/>
      <c r="K33" s="936"/>
      <c r="L33" s="936"/>
      <c r="M33" s="936"/>
      <c r="N33" s="936"/>
      <c r="O33" s="936"/>
    </row>
    <row r="34" spans="4:15" ht="14.4" x14ac:dyDescent="0.3">
      <c r="D34" s="723" t="s">
        <v>773</v>
      </c>
      <c r="E34" s="723"/>
      <c r="F34" s="723"/>
      <c r="G34" s="723"/>
      <c r="H34" s="723"/>
      <c r="I34" s="723"/>
      <c r="J34" s="723"/>
      <c r="K34" s="723" t="e">
        <f>'Form-11'!I10:N11</f>
        <v>#VALUE!</v>
      </c>
      <c r="L34" s="723"/>
      <c r="M34" s="723"/>
      <c r="N34" s="723"/>
    </row>
    <row r="35" spans="4:15" ht="49.5" customHeight="1" x14ac:dyDescent="0.3">
      <c r="D35" s="980" t="s">
        <v>742</v>
      </c>
      <c r="E35" s="980"/>
      <c r="F35" s="980"/>
      <c r="G35" s="980"/>
      <c r="H35" s="980"/>
      <c r="I35" s="980"/>
      <c r="J35" s="980"/>
      <c r="K35" s="980"/>
      <c r="L35" s="980"/>
      <c r="M35" s="980"/>
      <c r="N35" s="980"/>
      <c r="O35" s="724"/>
    </row>
    <row r="36" spans="4:15" ht="14.4" x14ac:dyDescent="0.3">
      <c r="D36" s="723" t="s">
        <v>741</v>
      </c>
      <c r="E36" s="723"/>
      <c r="F36" s="723"/>
      <c r="G36" s="723"/>
      <c r="H36" s="723"/>
      <c r="I36" s="723"/>
      <c r="J36" s="723"/>
      <c r="K36" s="723"/>
      <c r="L36" s="723"/>
      <c r="M36" s="723"/>
      <c r="N36" s="723"/>
    </row>
    <row r="37" spans="4:15" ht="14.4" x14ac:dyDescent="0.3"/>
    <row r="38" spans="4:15" ht="14.4" x14ac:dyDescent="0.3">
      <c r="D38" s="722" t="s">
        <v>322</v>
      </c>
      <c r="E38" s="729" t="str">
        <f>IF(DOJ="","",DOJ)</f>
        <v/>
      </c>
    </row>
    <row r="39" spans="4:15" ht="14.4" x14ac:dyDescent="0.3">
      <c r="D39" s="722" t="s">
        <v>740</v>
      </c>
      <c r="E39" t="str">
        <f>IF(Loc_Det="","",Loc_Det)</f>
        <v>Bangalore</v>
      </c>
      <c r="M39" s="722" t="s">
        <v>739</v>
      </c>
    </row>
    <row r="40" spans="4:15" ht="7.5" customHeight="1" x14ac:dyDescent="0.3"/>
    <row r="41" spans="4:15" ht="18" x14ac:dyDescent="0.35">
      <c r="G41" s="983" t="s">
        <v>738</v>
      </c>
      <c r="H41" s="983"/>
      <c r="I41" s="983"/>
      <c r="J41" s="983"/>
      <c r="K41" s="983"/>
    </row>
    <row r="42" spans="4:15" ht="38.25" customHeight="1" x14ac:dyDescent="0.3">
      <c r="D42" s="980" t="s">
        <v>737</v>
      </c>
      <c r="E42" s="980"/>
      <c r="F42" s="980"/>
      <c r="G42" s="980"/>
      <c r="H42" s="980"/>
      <c r="I42" s="980"/>
      <c r="J42" s="980"/>
      <c r="K42" s="980"/>
      <c r="L42" s="980"/>
      <c r="M42" s="980"/>
      <c r="N42" s="980"/>
      <c r="O42" s="724"/>
    </row>
    <row r="43" spans="4:15" ht="14.4" x14ac:dyDescent="0.3">
      <c r="D43" s="936" t="s">
        <v>736</v>
      </c>
      <c r="E43" s="936"/>
      <c r="F43" s="936"/>
      <c r="G43" s="936"/>
      <c r="H43" s="936"/>
      <c r="I43" s="936"/>
      <c r="J43" s="936"/>
      <c r="K43" s="936"/>
      <c r="L43" s="723"/>
      <c r="M43" s="723"/>
      <c r="N43" s="723"/>
      <c r="O43" s="723"/>
    </row>
    <row r="44" spans="4:15" ht="14.4" x14ac:dyDescent="0.3">
      <c r="D44" s="981" t="s">
        <v>735</v>
      </c>
      <c r="E44" s="981"/>
      <c r="F44" s="981"/>
      <c r="G44" s="981"/>
      <c r="H44" s="981"/>
      <c r="I44" s="981"/>
      <c r="J44" s="981"/>
    </row>
    <row r="45" spans="4:15" ht="14.4" x14ac:dyDescent="0.3">
      <c r="D45" s="936" t="s">
        <v>734</v>
      </c>
      <c r="E45" s="936"/>
      <c r="F45" s="936"/>
      <c r="G45" s="936"/>
      <c r="H45" s="936"/>
      <c r="I45" s="936"/>
    </row>
    <row r="46" spans="4:15" ht="14.4" x14ac:dyDescent="0.3">
      <c r="E46" s="981" t="s">
        <v>733</v>
      </c>
      <c r="F46" s="981"/>
      <c r="G46" s="981"/>
      <c r="H46" s="981"/>
      <c r="I46" s="981"/>
    </row>
    <row r="47" spans="4:15" ht="14.4" x14ac:dyDescent="0.3">
      <c r="E47" s="936" t="s">
        <v>732</v>
      </c>
      <c r="F47" s="936"/>
      <c r="G47" s="936"/>
      <c r="H47" s="936"/>
    </row>
    <row r="48" spans="4:15" ht="14.4" x14ac:dyDescent="0.3">
      <c r="E48" s="936" t="s">
        <v>731</v>
      </c>
      <c r="F48" s="936"/>
      <c r="G48" s="936"/>
      <c r="H48" s="936"/>
    </row>
    <row r="49" spans="4:15" ht="14.4" x14ac:dyDescent="0.3">
      <c r="E49" s="936" t="s">
        <v>730</v>
      </c>
      <c r="F49" s="936"/>
      <c r="G49" s="936"/>
      <c r="H49" s="936"/>
    </row>
    <row r="50" spans="4:15" ht="14.4" x14ac:dyDescent="0.3">
      <c r="D50" s="936" t="s">
        <v>729</v>
      </c>
      <c r="E50" s="936"/>
      <c r="F50" s="936"/>
      <c r="G50" s="936"/>
      <c r="H50" s="936"/>
      <c r="I50" s="936"/>
      <c r="J50" s="936"/>
      <c r="K50" s="723"/>
      <c r="L50" s="723"/>
    </row>
    <row r="51" spans="4:15" ht="32.25" customHeight="1" x14ac:dyDescent="0.3">
      <c r="D51" s="980" t="s">
        <v>728</v>
      </c>
      <c r="E51" s="936"/>
      <c r="F51" s="936"/>
      <c r="G51" s="936"/>
      <c r="H51" s="936"/>
      <c r="I51" s="936"/>
      <c r="J51" s="936"/>
      <c r="K51" s="936"/>
      <c r="L51" s="936"/>
      <c r="M51" s="936"/>
      <c r="N51" s="936"/>
      <c r="O51" s="936"/>
    </row>
    <row r="52" spans="4:15" ht="14.4" x14ac:dyDescent="0.3">
      <c r="D52" s="936" t="s">
        <v>727</v>
      </c>
      <c r="E52" s="936"/>
      <c r="F52" s="936"/>
      <c r="G52" s="936"/>
      <c r="H52" s="936"/>
    </row>
    <row r="53" spans="4:15" ht="7.5" customHeight="1" x14ac:dyDescent="0.3"/>
    <row r="54" spans="4:15" ht="30.75" customHeight="1" x14ac:dyDescent="0.3">
      <c r="E54" s="980" t="s">
        <v>726</v>
      </c>
      <c r="F54" s="936"/>
      <c r="G54" s="936"/>
      <c r="H54" s="936"/>
      <c r="I54" s="936"/>
      <c r="J54" s="936"/>
      <c r="K54" s="936"/>
      <c r="L54" s="936"/>
      <c r="M54" s="936"/>
      <c r="N54" s="936"/>
    </row>
    <row r="55" spans="4:15" ht="38.25" customHeight="1" x14ac:dyDescent="0.3">
      <c r="E55" s="980" t="s">
        <v>725</v>
      </c>
      <c r="F55" s="980"/>
      <c r="G55" s="980"/>
      <c r="H55" s="980"/>
      <c r="I55" s="980"/>
      <c r="J55" s="980"/>
      <c r="K55" s="980"/>
      <c r="L55" s="980"/>
      <c r="M55" s="980"/>
      <c r="N55" s="980"/>
      <c r="O55" s="980"/>
    </row>
    <row r="56" spans="4:15" ht="14.4" x14ac:dyDescent="0.3"/>
    <row r="57" spans="4:15" ht="14.4" x14ac:dyDescent="0.3"/>
    <row r="58" spans="4:15" ht="14.4" x14ac:dyDescent="0.3">
      <c r="E58" s="722" t="s">
        <v>322</v>
      </c>
      <c r="F58" s="729" t="str">
        <f>IF(DOJ="","",DOJ)</f>
        <v/>
      </c>
      <c r="K58" s="722" t="s">
        <v>724</v>
      </c>
    </row>
    <row r="59" spans="4:15" ht="14.4" x14ac:dyDescent="0.3"/>
  </sheetData>
  <sheetProtection algorithmName="SHA-512" hashValue="BPaL226Vg+olDPok//GSJ6fisqf95DQ58nVl41+ZCefWUiCAkboCyElV1oSt4GiaCfDNZKjJcmTB7ZDgo5FLmA==" saltValue="yb162A48VNuv+U+dgqgKGg==" spinCount="100000" sheet="1" objects="1" scenarios="1"/>
  <mergeCells count="72">
    <mergeCell ref="H32:I32"/>
    <mergeCell ref="D33:O33"/>
    <mergeCell ref="D35:N35"/>
    <mergeCell ref="G41:K41"/>
    <mergeCell ref="D42:N42"/>
    <mergeCell ref="D51:O51"/>
    <mergeCell ref="D52:H52"/>
    <mergeCell ref="E54:N54"/>
    <mergeCell ref="E55:O55"/>
    <mergeCell ref="D43:K43"/>
    <mergeCell ref="D44:J44"/>
    <mergeCell ref="D45:I45"/>
    <mergeCell ref="E46:I46"/>
    <mergeCell ref="E47:H47"/>
    <mergeCell ref="E48:H48"/>
    <mergeCell ref="E49:H49"/>
    <mergeCell ref="D50:J50"/>
    <mergeCell ref="C28:C31"/>
    <mergeCell ref="D28:H28"/>
    <mergeCell ref="I28:N28"/>
    <mergeCell ref="D29:H29"/>
    <mergeCell ref="I29:N29"/>
    <mergeCell ref="D30:H30"/>
    <mergeCell ref="I30:N30"/>
    <mergeCell ref="D31:H31"/>
    <mergeCell ref="I31:N31"/>
    <mergeCell ref="C24:C27"/>
    <mergeCell ref="D24:H24"/>
    <mergeCell ref="I24:N24"/>
    <mergeCell ref="D25:H25"/>
    <mergeCell ref="I25:N25"/>
    <mergeCell ref="D26:H26"/>
    <mergeCell ref="I26:N26"/>
    <mergeCell ref="I27:J27"/>
    <mergeCell ref="K27:L27"/>
    <mergeCell ref="M27:N27"/>
    <mergeCell ref="D27:H27"/>
    <mergeCell ref="D18:H18"/>
    <mergeCell ref="I18:N18"/>
    <mergeCell ref="C19:C23"/>
    <mergeCell ref="D19:H19"/>
    <mergeCell ref="I19:N19"/>
    <mergeCell ref="D20:H20"/>
    <mergeCell ref="I20:N20"/>
    <mergeCell ref="D21:H21"/>
    <mergeCell ref="I21:N21"/>
    <mergeCell ref="D22:H22"/>
    <mergeCell ref="I22:N22"/>
    <mergeCell ref="D23:H23"/>
    <mergeCell ref="I23:N23"/>
    <mergeCell ref="D17:H17"/>
    <mergeCell ref="I17:N17"/>
    <mergeCell ref="C10:C11"/>
    <mergeCell ref="D10:H11"/>
    <mergeCell ref="I10:N11"/>
    <mergeCell ref="D12:H12"/>
    <mergeCell ref="I12:N12"/>
    <mergeCell ref="D13:H13"/>
    <mergeCell ref="I13:N13"/>
    <mergeCell ref="D14:H14"/>
    <mergeCell ref="I14:N14"/>
    <mergeCell ref="C15:C16"/>
    <mergeCell ref="D15:H16"/>
    <mergeCell ref="I15:N15"/>
    <mergeCell ref="I16:N16"/>
    <mergeCell ref="D9:H9"/>
    <mergeCell ref="I9:N9"/>
    <mergeCell ref="J1:N1"/>
    <mergeCell ref="J2:O2"/>
    <mergeCell ref="F3:K3"/>
    <mergeCell ref="C5:N5"/>
    <mergeCell ref="C7:N7"/>
  </mergeCells>
  <pageMargins left="0.7" right="0.7" top="0.75" bottom="0.75" header="0.3" footer="0.3"/>
  <pageSetup paperSize="9" scale="6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Check Box 1">
              <controlPr defaultSize="0" autoFill="0" autoLine="0" autoPict="0">
                <anchor moveWithCells="1">
                  <from>
                    <xdr:col>4</xdr:col>
                    <xdr:colOff>403860</xdr:colOff>
                    <xdr:row>8</xdr:row>
                    <xdr:rowOff>388620</xdr:rowOff>
                  </from>
                  <to>
                    <xdr:col>5</xdr:col>
                    <xdr:colOff>45720</xdr:colOff>
                    <xdr:row>10</xdr:row>
                    <xdr:rowOff>45720</xdr:rowOff>
                  </to>
                </anchor>
              </controlPr>
            </control>
          </mc:Choice>
        </mc:AlternateContent>
        <mc:AlternateContent xmlns:mc="http://schemas.openxmlformats.org/markup-compatibility/2006">
          <mc:Choice Requires="x14">
            <control shapeId="50178" r:id="rId5" name="Check Box 2">
              <controlPr defaultSize="0" autoFill="0" autoLine="0" autoPict="0">
                <anchor moveWithCells="1">
                  <from>
                    <xdr:col>6</xdr:col>
                    <xdr:colOff>297180</xdr:colOff>
                    <xdr:row>9</xdr:row>
                    <xdr:rowOff>0</xdr:rowOff>
                  </from>
                  <to>
                    <xdr:col>6</xdr:col>
                    <xdr:colOff>601980</xdr:colOff>
                    <xdr:row>10</xdr:row>
                    <xdr:rowOff>30480</xdr:rowOff>
                  </to>
                </anchor>
              </controlPr>
            </control>
          </mc:Choice>
        </mc:AlternateContent>
        <mc:AlternateContent xmlns:mc="http://schemas.openxmlformats.org/markup-compatibility/2006">
          <mc:Choice Requires="x14">
            <control shapeId="50179" r:id="rId6" name="Check Box 3">
              <controlPr defaultSize="0" autoFill="0" autoLine="0" autoPict="0">
                <anchor moveWithCells="1">
                  <from>
                    <xdr:col>4</xdr:col>
                    <xdr:colOff>38100</xdr:colOff>
                    <xdr:row>45</xdr:row>
                    <xdr:rowOff>175260</xdr:rowOff>
                  </from>
                  <to>
                    <xdr:col>4</xdr:col>
                    <xdr:colOff>342900</xdr:colOff>
                    <xdr:row>47</xdr:row>
                    <xdr:rowOff>7620</xdr:rowOff>
                  </to>
                </anchor>
              </controlPr>
            </control>
          </mc:Choice>
        </mc:AlternateContent>
        <mc:AlternateContent xmlns:mc="http://schemas.openxmlformats.org/markup-compatibility/2006">
          <mc:Choice Requires="x14">
            <control shapeId="50180" r:id="rId7" name="Check Box 4">
              <controlPr defaultSize="0" autoFill="0" autoLine="0" autoPict="0">
                <anchor moveWithCells="1">
                  <from>
                    <xdr:col>4</xdr:col>
                    <xdr:colOff>38100</xdr:colOff>
                    <xdr:row>46</xdr:row>
                    <xdr:rowOff>175260</xdr:rowOff>
                  </from>
                  <to>
                    <xdr:col>4</xdr:col>
                    <xdr:colOff>342900</xdr:colOff>
                    <xdr:row>48</xdr:row>
                    <xdr:rowOff>7620</xdr:rowOff>
                  </to>
                </anchor>
              </controlPr>
            </control>
          </mc:Choice>
        </mc:AlternateContent>
        <mc:AlternateContent xmlns:mc="http://schemas.openxmlformats.org/markup-compatibility/2006">
          <mc:Choice Requires="x14">
            <control shapeId="50181" r:id="rId8" name="Check Box 5">
              <controlPr defaultSize="0" autoFill="0" autoLine="0" autoPict="0">
                <anchor moveWithCells="1">
                  <from>
                    <xdr:col>4</xdr:col>
                    <xdr:colOff>38100</xdr:colOff>
                    <xdr:row>47</xdr:row>
                    <xdr:rowOff>175260</xdr:rowOff>
                  </from>
                  <to>
                    <xdr:col>4</xdr:col>
                    <xdr:colOff>342900</xdr:colOff>
                    <xdr:row>49</xdr:row>
                    <xdr:rowOff>7620</xdr:rowOff>
                  </to>
                </anchor>
              </controlPr>
            </control>
          </mc:Choice>
        </mc:AlternateContent>
        <mc:AlternateContent xmlns:mc="http://schemas.openxmlformats.org/markup-compatibility/2006">
          <mc:Choice Requires="x14">
            <control shapeId="50182" r:id="rId9" name="Check Box 6">
              <controlPr defaultSize="0" autoFill="0" autoLine="0" autoPict="0">
                <anchor moveWithCells="1">
                  <from>
                    <xdr:col>4</xdr:col>
                    <xdr:colOff>22860</xdr:colOff>
                    <xdr:row>53</xdr:row>
                    <xdr:rowOff>68580</xdr:rowOff>
                  </from>
                  <to>
                    <xdr:col>4</xdr:col>
                    <xdr:colOff>327660</xdr:colOff>
                    <xdr:row>53</xdr:row>
                    <xdr:rowOff>289560</xdr:rowOff>
                  </to>
                </anchor>
              </controlPr>
            </control>
          </mc:Choice>
        </mc:AlternateContent>
        <mc:AlternateContent xmlns:mc="http://schemas.openxmlformats.org/markup-compatibility/2006">
          <mc:Choice Requires="x14">
            <control shapeId="50183" r:id="rId10" name="Check Box 7">
              <controlPr defaultSize="0" autoFill="0" autoLine="0" autoPict="0">
                <anchor moveWithCells="1">
                  <from>
                    <xdr:col>4</xdr:col>
                    <xdr:colOff>22860</xdr:colOff>
                    <xdr:row>54</xdr:row>
                    <xdr:rowOff>83820</xdr:rowOff>
                  </from>
                  <to>
                    <xdr:col>4</xdr:col>
                    <xdr:colOff>327660</xdr:colOff>
                    <xdr:row>54</xdr:row>
                    <xdr:rowOff>304800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WVP52"/>
  <sheetViews>
    <sheetView showGridLines="0" showRowColHeaders="0" zoomScale="85" zoomScaleNormal="85" zoomScaleSheetLayoutView="100" workbookViewId="0">
      <selection activeCell="F19" sqref="F19"/>
    </sheetView>
  </sheetViews>
  <sheetFormatPr defaultColWidth="0" defaultRowHeight="13.2" zeroHeight="1" x14ac:dyDescent="0.25"/>
  <cols>
    <col min="1" max="1" width="2.5546875" style="202" customWidth="1"/>
    <col min="2" max="2" width="24.88671875" style="202" customWidth="1"/>
    <col min="3" max="3" width="23.44140625" style="202" customWidth="1"/>
    <col min="4" max="4" width="12.5546875" style="202" customWidth="1"/>
    <col min="5" max="5" width="10.5546875" style="202" customWidth="1"/>
    <col min="6" max="6" width="12" style="202" customWidth="1"/>
    <col min="7" max="7" width="20.33203125" style="202" customWidth="1"/>
    <col min="8" max="8" width="2.5546875" style="202" customWidth="1"/>
    <col min="9" max="9" width="11.88671875" style="202" customWidth="1"/>
    <col min="10" max="17" width="9.109375" style="202" hidden="1" customWidth="1"/>
    <col min="18" max="257" width="9.109375" style="202" hidden="1"/>
    <col min="258" max="258" width="2.5546875" style="202" hidden="1"/>
    <col min="259" max="259" width="24.88671875" style="202" hidden="1"/>
    <col min="260" max="260" width="23.44140625" style="202" hidden="1"/>
    <col min="261" max="261" width="12.5546875" style="202" hidden="1"/>
    <col min="262" max="262" width="10.5546875" style="202" hidden="1"/>
    <col min="263" max="263" width="12" style="202" hidden="1"/>
    <col min="264" max="264" width="20.33203125" style="202" hidden="1"/>
    <col min="265" max="513" width="9.109375" style="202" hidden="1"/>
    <col min="514" max="514" width="2.5546875" style="202" hidden="1"/>
    <col min="515" max="515" width="24.88671875" style="202" hidden="1"/>
    <col min="516" max="516" width="23.44140625" style="202" hidden="1"/>
    <col min="517" max="517" width="12.5546875" style="202" hidden="1"/>
    <col min="518" max="518" width="10.5546875" style="202" hidden="1"/>
    <col min="519" max="519" width="12" style="202" hidden="1"/>
    <col min="520" max="520" width="20.33203125" style="202" hidden="1"/>
    <col min="521" max="769" width="9.109375" style="202" hidden="1"/>
    <col min="770" max="770" width="2.5546875" style="202" hidden="1"/>
    <col min="771" max="771" width="24.88671875" style="202" hidden="1"/>
    <col min="772" max="772" width="23.44140625" style="202" hidden="1"/>
    <col min="773" max="773" width="12.5546875" style="202" hidden="1"/>
    <col min="774" max="774" width="10.5546875" style="202" hidden="1"/>
    <col min="775" max="775" width="12" style="202" hidden="1"/>
    <col min="776" max="776" width="20.33203125" style="202" hidden="1"/>
    <col min="777" max="1025" width="9.109375" style="202" hidden="1"/>
    <col min="1026" max="1026" width="2.5546875" style="202" hidden="1"/>
    <col min="1027" max="1027" width="24.88671875" style="202" hidden="1"/>
    <col min="1028" max="1028" width="23.44140625" style="202" hidden="1"/>
    <col min="1029" max="1029" width="12.5546875" style="202" hidden="1"/>
    <col min="1030" max="1030" width="10.5546875" style="202" hidden="1"/>
    <col min="1031" max="1031" width="12" style="202" hidden="1"/>
    <col min="1032" max="1032" width="20.33203125" style="202" hidden="1"/>
    <col min="1033" max="1281" width="9.109375" style="202" hidden="1"/>
    <col min="1282" max="1282" width="2.5546875" style="202" hidden="1"/>
    <col min="1283" max="1283" width="24.88671875" style="202" hidden="1"/>
    <col min="1284" max="1284" width="23.44140625" style="202" hidden="1"/>
    <col min="1285" max="1285" width="12.5546875" style="202" hidden="1"/>
    <col min="1286" max="1286" width="10.5546875" style="202" hidden="1"/>
    <col min="1287" max="1287" width="12" style="202" hidden="1"/>
    <col min="1288" max="1288" width="20.33203125" style="202" hidden="1"/>
    <col min="1289" max="1537" width="9.109375" style="202" hidden="1"/>
    <col min="1538" max="1538" width="2.5546875" style="202" hidden="1"/>
    <col min="1539" max="1539" width="24.88671875" style="202" hidden="1"/>
    <col min="1540" max="1540" width="23.44140625" style="202" hidden="1"/>
    <col min="1541" max="1541" width="12.5546875" style="202" hidden="1"/>
    <col min="1542" max="1542" width="10.5546875" style="202" hidden="1"/>
    <col min="1543" max="1543" width="12" style="202" hidden="1"/>
    <col min="1544" max="1544" width="20.33203125" style="202" hidden="1"/>
    <col min="1545" max="1793" width="9.109375" style="202" hidden="1"/>
    <col min="1794" max="1794" width="2.5546875" style="202" hidden="1"/>
    <col min="1795" max="1795" width="24.88671875" style="202" hidden="1"/>
    <col min="1796" max="1796" width="23.44140625" style="202" hidden="1"/>
    <col min="1797" max="1797" width="12.5546875" style="202" hidden="1"/>
    <col min="1798" max="1798" width="10.5546875" style="202" hidden="1"/>
    <col min="1799" max="1799" width="12" style="202" hidden="1"/>
    <col min="1800" max="1800" width="20.33203125" style="202" hidden="1"/>
    <col min="1801" max="2049" width="9.109375" style="202" hidden="1"/>
    <col min="2050" max="2050" width="2.5546875" style="202" hidden="1"/>
    <col min="2051" max="2051" width="24.88671875" style="202" hidden="1"/>
    <col min="2052" max="2052" width="23.44140625" style="202" hidden="1"/>
    <col min="2053" max="2053" width="12.5546875" style="202" hidden="1"/>
    <col min="2054" max="2054" width="10.5546875" style="202" hidden="1"/>
    <col min="2055" max="2055" width="12" style="202" hidden="1"/>
    <col min="2056" max="2056" width="20.33203125" style="202" hidden="1"/>
    <col min="2057" max="2305" width="9.109375" style="202" hidden="1"/>
    <col min="2306" max="2306" width="2.5546875" style="202" hidden="1"/>
    <col min="2307" max="2307" width="24.88671875" style="202" hidden="1"/>
    <col min="2308" max="2308" width="23.44140625" style="202" hidden="1"/>
    <col min="2309" max="2309" width="12.5546875" style="202" hidden="1"/>
    <col min="2310" max="2310" width="10.5546875" style="202" hidden="1"/>
    <col min="2311" max="2311" width="12" style="202" hidden="1"/>
    <col min="2312" max="2312" width="20.33203125" style="202" hidden="1"/>
    <col min="2313" max="2561" width="9.109375" style="202" hidden="1"/>
    <col min="2562" max="2562" width="2.5546875" style="202" hidden="1"/>
    <col min="2563" max="2563" width="24.88671875" style="202" hidden="1"/>
    <col min="2564" max="2564" width="23.44140625" style="202" hidden="1"/>
    <col min="2565" max="2565" width="12.5546875" style="202" hidden="1"/>
    <col min="2566" max="2566" width="10.5546875" style="202" hidden="1"/>
    <col min="2567" max="2567" width="12" style="202" hidden="1"/>
    <col min="2568" max="2568" width="20.33203125" style="202" hidden="1"/>
    <col min="2569" max="2817" width="9.109375" style="202" hidden="1"/>
    <col min="2818" max="2818" width="2.5546875" style="202" hidden="1"/>
    <col min="2819" max="2819" width="24.88671875" style="202" hidden="1"/>
    <col min="2820" max="2820" width="23.44140625" style="202" hidden="1"/>
    <col min="2821" max="2821" width="12.5546875" style="202" hidden="1"/>
    <col min="2822" max="2822" width="10.5546875" style="202" hidden="1"/>
    <col min="2823" max="2823" width="12" style="202" hidden="1"/>
    <col min="2824" max="2824" width="20.33203125" style="202" hidden="1"/>
    <col min="2825" max="3073" width="9.109375" style="202" hidden="1"/>
    <col min="3074" max="3074" width="2.5546875" style="202" hidden="1"/>
    <col min="3075" max="3075" width="24.88671875" style="202" hidden="1"/>
    <col min="3076" max="3076" width="23.44140625" style="202" hidden="1"/>
    <col min="3077" max="3077" width="12.5546875" style="202" hidden="1"/>
    <col min="3078" max="3078" width="10.5546875" style="202" hidden="1"/>
    <col min="3079" max="3079" width="12" style="202" hidden="1"/>
    <col min="3080" max="3080" width="20.33203125" style="202" hidden="1"/>
    <col min="3081" max="3329" width="9.109375" style="202" hidden="1"/>
    <col min="3330" max="3330" width="2.5546875" style="202" hidden="1"/>
    <col min="3331" max="3331" width="24.88671875" style="202" hidden="1"/>
    <col min="3332" max="3332" width="23.44140625" style="202" hidden="1"/>
    <col min="3333" max="3333" width="12.5546875" style="202" hidden="1"/>
    <col min="3334" max="3334" width="10.5546875" style="202" hidden="1"/>
    <col min="3335" max="3335" width="12" style="202" hidden="1"/>
    <col min="3336" max="3336" width="20.33203125" style="202" hidden="1"/>
    <col min="3337" max="3585" width="9.109375" style="202" hidden="1"/>
    <col min="3586" max="3586" width="2.5546875" style="202" hidden="1"/>
    <col min="3587" max="3587" width="24.88671875" style="202" hidden="1"/>
    <col min="3588" max="3588" width="23.44140625" style="202" hidden="1"/>
    <col min="3589" max="3589" width="12.5546875" style="202" hidden="1"/>
    <col min="3590" max="3590" width="10.5546875" style="202" hidden="1"/>
    <col min="3591" max="3591" width="12" style="202" hidden="1"/>
    <col min="3592" max="3592" width="20.33203125" style="202" hidden="1"/>
    <col min="3593" max="3841" width="9.109375" style="202" hidden="1"/>
    <col min="3842" max="3842" width="2.5546875" style="202" hidden="1"/>
    <col min="3843" max="3843" width="24.88671875" style="202" hidden="1"/>
    <col min="3844" max="3844" width="23.44140625" style="202" hidden="1"/>
    <col min="3845" max="3845" width="12.5546875" style="202" hidden="1"/>
    <col min="3846" max="3846" width="10.5546875" style="202" hidden="1"/>
    <col min="3847" max="3847" width="12" style="202" hidden="1"/>
    <col min="3848" max="3848" width="20.33203125" style="202" hidden="1"/>
    <col min="3849" max="4097" width="9.109375" style="202" hidden="1"/>
    <col min="4098" max="4098" width="2.5546875" style="202" hidden="1"/>
    <col min="4099" max="4099" width="24.88671875" style="202" hidden="1"/>
    <col min="4100" max="4100" width="23.44140625" style="202" hidden="1"/>
    <col min="4101" max="4101" width="12.5546875" style="202" hidden="1"/>
    <col min="4102" max="4102" width="10.5546875" style="202" hidden="1"/>
    <col min="4103" max="4103" width="12" style="202" hidden="1"/>
    <col min="4104" max="4104" width="20.33203125" style="202" hidden="1"/>
    <col min="4105" max="4353" width="9.109375" style="202" hidden="1"/>
    <col min="4354" max="4354" width="2.5546875" style="202" hidden="1"/>
    <col min="4355" max="4355" width="24.88671875" style="202" hidden="1"/>
    <col min="4356" max="4356" width="23.44140625" style="202" hidden="1"/>
    <col min="4357" max="4357" width="12.5546875" style="202" hidden="1"/>
    <col min="4358" max="4358" width="10.5546875" style="202" hidden="1"/>
    <col min="4359" max="4359" width="12" style="202" hidden="1"/>
    <col min="4360" max="4360" width="20.33203125" style="202" hidden="1"/>
    <col min="4361" max="4609" width="9.109375" style="202" hidden="1"/>
    <col min="4610" max="4610" width="2.5546875" style="202" hidden="1"/>
    <col min="4611" max="4611" width="24.88671875" style="202" hidden="1"/>
    <col min="4612" max="4612" width="23.44140625" style="202" hidden="1"/>
    <col min="4613" max="4613" width="12.5546875" style="202" hidden="1"/>
    <col min="4614" max="4614" width="10.5546875" style="202" hidden="1"/>
    <col min="4615" max="4615" width="12" style="202" hidden="1"/>
    <col min="4616" max="4616" width="20.33203125" style="202" hidden="1"/>
    <col min="4617" max="4865" width="9.109375" style="202" hidden="1"/>
    <col min="4866" max="4866" width="2.5546875" style="202" hidden="1"/>
    <col min="4867" max="4867" width="24.88671875" style="202" hidden="1"/>
    <col min="4868" max="4868" width="23.44140625" style="202" hidden="1"/>
    <col min="4869" max="4869" width="12.5546875" style="202" hidden="1"/>
    <col min="4870" max="4870" width="10.5546875" style="202" hidden="1"/>
    <col min="4871" max="4871" width="12" style="202" hidden="1"/>
    <col min="4872" max="4872" width="20.33203125" style="202" hidden="1"/>
    <col min="4873" max="5121" width="9.109375" style="202" hidden="1"/>
    <col min="5122" max="5122" width="2.5546875" style="202" hidden="1"/>
    <col min="5123" max="5123" width="24.88671875" style="202" hidden="1"/>
    <col min="5124" max="5124" width="23.44140625" style="202" hidden="1"/>
    <col min="5125" max="5125" width="12.5546875" style="202" hidden="1"/>
    <col min="5126" max="5126" width="10.5546875" style="202" hidden="1"/>
    <col min="5127" max="5127" width="12" style="202" hidden="1"/>
    <col min="5128" max="5128" width="20.33203125" style="202" hidden="1"/>
    <col min="5129" max="5377" width="9.109375" style="202" hidden="1"/>
    <col min="5378" max="5378" width="2.5546875" style="202" hidden="1"/>
    <col min="5379" max="5379" width="24.88671875" style="202" hidden="1"/>
    <col min="5380" max="5380" width="23.44140625" style="202" hidden="1"/>
    <col min="5381" max="5381" width="12.5546875" style="202" hidden="1"/>
    <col min="5382" max="5382" width="10.5546875" style="202" hidden="1"/>
    <col min="5383" max="5383" width="12" style="202" hidden="1"/>
    <col min="5384" max="5384" width="20.33203125" style="202" hidden="1"/>
    <col min="5385" max="5633" width="9.109375" style="202" hidden="1"/>
    <col min="5634" max="5634" width="2.5546875" style="202" hidden="1"/>
    <col min="5635" max="5635" width="24.88671875" style="202" hidden="1"/>
    <col min="5636" max="5636" width="23.44140625" style="202" hidden="1"/>
    <col min="5637" max="5637" width="12.5546875" style="202" hidden="1"/>
    <col min="5638" max="5638" width="10.5546875" style="202" hidden="1"/>
    <col min="5639" max="5639" width="12" style="202" hidden="1"/>
    <col min="5640" max="5640" width="20.33203125" style="202" hidden="1"/>
    <col min="5641" max="5889" width="9.109375" style="202" hidden="1"/>
    <col min="5890" max="5890" width="2.5546875" style="202" hidden="1"/>
    <col min="5891" max="5891" width="24.88671875" style="202" hidden="1"/>
    <col min="5892" max="5892" width="23.44140625" style="202" hidden="1"/>
    <col min="5893" max="5893" width="12.5546875" style="202" hidden="1"/>
    <col min="5894" max="5894" width="10.5546875" style="202" hidden="1"/>
    <col min="5895" max="5895" width="12" style="202" hidden="1"/>
    <col min="5896" max="5896" width="20.33203125" style="202" hidden="1"/>
    <col min="5897" max="6145" width="9.109375" style="202" hidden="1"/>
    <col min="6146" max="6146" width="2.5546875" style="202" hidden="1"/>
    <col min="6147" max="6147" width="24.88671875" style="202" hidden="1"/>
    <col min="6148" max="6148" width="23.44140625" style="202" hidden="1"/>
    <col min="6149" max="6149" width="12.5546875" style="202" hidden="1"/>
    <col min="6150" max="6150" width="10.5546875" style="202" hidden="1"/>
    <col min="6151" max="6151" width="12" style="202" hidden="1"/>
    <col min="6152" max="6152" width="20.33203125" style="202" hidden="1"/>
    <col min="6153" max="6401" width="9.109375" style="202" hidden="1"/>
    <col min="6402" max="6402" width="2.5546875" style="202" hidden="1"/>
    <col min="6403" max="6403" width="24.88671875" style="202" hidden="1"/>
    <col min="6404" max="6404" width="23.44140625" style="202" hidden="1"/>
    <col min="6405" max="6405" width="12.5546875" style="202" hidden="1"/>
    <col min="6406" max="6406" width="10.5546875" style="202" hidden="1"/>
    <col min="6407" max="6407" width="12" style="202" hidden="1"/>
    <col min="6408" max="6408" width="20.33203125" style="202" hidden="1"/>
    <col min="6409" max="6657" width="9.109375" style="202" hidden="1"/>
    <col min="6658" max="6658" width="2.5546875" style="202" hidden="1"/>
    <col min="6659" max="6659" width="24.88671875" style="202" hidden="1"/>
    <col min="6660" max="6660" width="23.44140625" style="202" hidden="1"/>
    <col min="6661" max="6661" width="12.5546875" style="202" hidden="1"/>
    <col min="6662" max="6662" width="10.5546875" style="202" hidden="1"/>
    <col min="6663" max="6663" width="12" style="202" hidden="1"/>
    <col min="6664" max="6664" width="20.33203125" style="202" hidden="1"/>
    <col min="6665" max="6913" width="9.109375" style="202" hidden="1"/>
    <col min="6914" max="6914" width="2.5546875" style="202" hidden="1"/>
    <col min="6915" max="6915" width="24.88671875" style="202" hidden="1"/>
    <col min="6916" max="6916" width="23.44140625" style="202" hidden="1"/>
    <col min="6917" max="6917" width="12.5546875" style="202" hidden="1"/>
    <col min="6918" max="6918" width="10.5546875" style="202" hidden="1"/>
    <col min="6919" max="6919" width="12" style="202" hidden="1"/>
    <col min="6920" max="6920" width="20.33203125" style="202" hidden="1"/>
    <col min="6921" max="7169" width="9.109375" style="202" hidden="1"/>
    <col min="7170" max="7170" width="2.5546875" style="202" hidden="1"/>
    <col min="7171" max="7171" width="24.88671875" style="202" hidden="1"/>
    <col min="7172" max="7172" width="23.44140625" style="202" hidden="1"/>
    <col min="7173" max="7173" width="12.5546875" style="202" hidden="1"/>
    <col min="7174" max="7174" width="10.5546875" style="202" hidden="1"/>
    <col min="7175" max="7175" width="12" style="202" hidden="1"/>
    <col min="7176" max="7176" width="20.33203125" style="202" hidden="1"/>
    <col min="7177" max="7425" width="9.109375" style="202" hidden="1"/>
    <col min="7426" max="7426" width="2.5546875" style="202" hidden="1"/>
    <col min="7427" max="7427" width="24.88671875" style="202" hidden="1"/>
    <col min="7428" max="7428" width="23.44140625" style="202" hidden="1"/>
    <col min="7429" max="7429" width="12.5546875" style="202" hidden="1"/>
    <col min="7430" max="7430" width="10.5546875" style="202" hidden="1"/>
    <col min="7431" max="7431" width="12" style="202" hidden="1"/>
    <col min="7432" max="7432" width="20.33203125" style="202" hidden="1"/>
    <col min="7433" max="7681" width="9.109375" style="202" hidden="1"/>
    <col min="7682" max="7682" width="2.5546875" style="202" hidden="1"/>
    <col min="7683" max="7683" width="24.88671875" style="202" hidden="1"/>
    <col min="7684" max="7684" width="23.44140625" style="202" hidden="1"/>
    <col min="7685" max="7685" width="12.5546875" style="202" hidden="1"/>
    <col min="7686" max="7686" width="10.5546875" style="202" hidden="1"/>
    <col min="7687" max="7687" width="12" style="202" hidden="1"/>
    <col min="7688" max="7688" width="20.33203125" style="202" hidden="1"/>
    <col min="7689" max="7937" width="9.109375" style="202" hidden="1"/>
    <col min="7938" max="7938" width="2.5546875" style="202" hidden="1"/>
    <col min="7939" max="7939" width="24.88671875" style="202" hidden="1"/>
    <col min="7940" max="7940" width="23.44140625" style="202" hidden="1"/>
    <col min="7941" max="7941" width="12.5546875" style="202" hidden="1"/>
    <col min="7942" max="7942" width="10.5546875" style="202" hidden="1"/>
    <col min="7943" max="7943" width="12" style="202" hidden="1"/>
    <col min="7944" max="7944" width="20.33203125" style="202" hidden="1"/>
    <col min="7945" max="8193" width="9.109375" style="202" hidden="1"/>
    <col min="8194" max="8194" width="2.5546875" style="202" hidden="1"/>
    <col min="8195" max="8195" width="24.88671875" style="202" hidden="1"/>
    <col min="8196" max="8196" width="23.44140625" style="202" hidden="1"/>
    <col min="8197" max="8197" width="12.5546875" style="202" hidden="1"/>
    <col min="8198" max="8198" width="10.5546875" style="202" hidden="1"/>
    <col min="8199" max="8199" width="12" style="202" hidden="1"/>
    <col min="8200" max="8200" width="20.33203125" style="202" hidden="1"/>
    <col min="8201" max="8449" width="9.109375" style="202" hidden="1"/>
    <col min="8450" max="8450" width="2.5546875" style="202" hidden="1"/>
    <col min="8451" max="8451" width="24.88671875" style="202" hidden="1"/>
    <col min="8452" max="8452" width="23.44140625" style="202" hidden="1"/>
    <col min="8453" max="8453" width="12.5546875" style="202" hidden="1"/>
    <col min="8454" max="8454" width="10.5546875" style="202" hidden="1"/>
    <col min="8455" max="8455" width="12" style="202" hidden="1"/>
    <col min="8456" max="8456" width="20.33203125" style="202" hidden="1"/>
    <col min="8457" max="8705" width="9.109375" style="202" hidden="1"/>
    <col min="8706" max="8706" width="2.5546875" style="202" hidden="1"/>
    <col min="8707" max="8707" width="24.88671875" style="202" hidden="1"/>
    <col min="8708" max="8708" width="23.44140625" style="202" hidden="1"/>
    <col min="8709" max="8709" width="12.5546875" style="202" hidden="1"/>
    <col min="8710" max="8710" width="10.5546875" style="202" hidden="1"/>
    <col min="8711" max="8711" width="12" style="202" hidden="1"/>
    <col min="8712" max="8712" width="20.33203125" style="202" hidden="1"/>
    <col min="8713" max="8961" width="9.109375" style="202" hidden="1"/>
    <col min="8962" max="8962" width="2.5546875" style="202" hidden="1"/>
    <col min="8963" max="8963" width="24.88671875" style="202" hidden="1"/>
    <col min="8964" max="8964" width="23.44140625" style="202" hidden="1"/>
    <col min="8965" max="8965" width="12.5546875" style="202" hidden="1"/>
    <col min="8966" max="8966" width="10.5546875" style="202" hidden="1"/>
    <col min="8967" max="8967" width="12" style="202" hidden="1"/>
    <col min="8968" max="8968" width="20.33203125" style="202" hidden="1"/>
    <col min="8969" max="9217" width="9.109375" style="202" hidden="1"/>
    <col min="9218" max="9218" width="2.5546875" style="202" hidden="1"/>
    <col min="9219" max="9219" width="24.88671875" style="202" hidden="1"/>
    <col min="9220" max="9220" width="23.44140625" style="202" hidden="1"/>
    <col min="9221" max="9221" width="12.5546875" style="202" hidden="1"/>
    <col min="9222" max="9222" width="10.5546875" style="202" hidden="1"/>
    <col min="9223" max="9223" width="12" style="202" hidden="1"/>
    <col min="9224" max="9224" width="20.33203125" style="202" hidden="1"/>
    <col min="9225" max="9473" width="9.109375" style="202" hidden="1"/>
    <col min="9474" max="9474" width="2.5546875" style="202" hidden="1"/>
    <col min="9475" max="9475" width="24.88671875" style="202" hidden="1"/>
    <col min="9476" max="9476" width="23.44140625" style="202" hidden="1"/>
    <col min="9477" max="9477" width="12.5546875" style="202" hidden="1"/>
    <col min="9478" max="9478" width="10.5546875" style="202" hidden="1"/>
    <col min="9479" max="9479" width="12" style="202" hidden="1"/>
    <col min="9480" max="9480" width="20.33203125" style="202" hidden="1"/>
    <col min="9481" max="9729" width="9.109375" style="202" hidden="1"/>
    <col min="9730" max="9730" width="2.5546875" style="202" hidden="1"/>
    <col min="9731" max="9731" width="24.88671875" style="202" hidden="1"/>
    <col min="9732" max="9732" width="23.44140625" style="202" hidden="1"/>
    <col min="9733" max="9733" width="12.5546875" style="202" hidden="1"/>
    <col min="9734" max="9734" width="10.5546875" style="202" hidden="1"/>
    <col min="9735" max="9735" width="12" style="202" hidden="1"/>
    <col min="9736" max="9736" width="20.33203125" style="202" hidden="1"/>
    <col min="9737" max="9985" width="9.109375" style="202" hidden="1"/>
    <col min="9986" max="9986" width="2.5546875" style="202" hidden="1"/>
    <col min="9987" max="9987" width="24.88671875" style="202" hidden="1"/>
    <col min="9988" max="9988" width="23.44140625" style="202" hidden="1"/>
    <col min="9989" max="9989" width="12.5546875" style="202" hidden="1"/>
    <col min="9990" max="9990" width="10.5546875" style="202" hidden="1"/>
    <col min="9991" max="9991" width="12" style="202" hidden="1"/>
    <col min="9992" max="9992" width="20.33203125" style="202" hidden="1"/>
    <col min="9993" max="10241" width="9.109375" style="202" hidden="1"/>
    <col min="10242" max="10242" width="2.5546875" style="202" hidden="1"/>
    <col min="10243" max="10243" width="24.88671875" style="202" hidden="1"/>
    <col min="10244" max="10244" width="23.44140625" style="202" hidden="1"/>
    <col min="10245" max="10245" width="12.5546875" style="202" hidden="1"/>
    <col min="10246" max="10246" width="10.5546875" style="202" hidden="1"/>
    <col min="10247" max="10247" width="12" style="202" hidden="1"/>
    <col min="10248" max="10248" width="20.33203125" style="202" hidden="1"/>
    <col min="10249" max="10497" width="9.109375" style="202" hidden="1"/>
    <col min="10498" max="10498" width="2.5546875" style="202" hidden="1"/>
    <col min="10499" max="10499" width="24.88671875" style="202" hidden="1"/>
    <col min="10500" max="10500" width="23.44140625" style="202" hidden="1"/>
    <col min="10501" max="10501" width="12.5546875" style="202" hidden="1"/>
    <col min="10502" max="10502" width="10.5546875" style="202" hidden="1"/>
    <col min="10503" max="10503" width="12" style="202" hidden="1"/>
    <col min="10504" max="10504" width="20.33203125" style="202" hidden="1"/>
    <col min="10505" max="10753" width="9.109375" style="202" hidden="1"/>
    <col min="10754" max="10754" width="2.5546875" style="202" hidden="1"/>
    <col min="10755" max="10755" width="24.88671875" style="202" hidden="1"/>
    <col min="10756" max="10756" width="23.44140625" style="202" hidden="1"/>
    <col min="10757" max="10757" width="12.5546875" style="202" hidden="1"/>
    <col min="10758" max="10758" width="10.5546875" style="202" hidden="1"/>
    <col min="10759" max="10759" width="12" style="202" hidden="1"/>
    <col min="10760" max="10760" width="20.33203125" style="202" hidden="1"/>
    <col min="10761" max="11009" width="9.109375" style="202" hidden="1"/>
    <col min="11010" max="11010" width="2.5546875" style="202" hidden="1"/>
    <col min="11011" max="11011" width="24.88671875" style="202" hidden="1"/>
    <col min="11012" max="11012" width="23.44140625" style="202" hidden="1"/>
    <col min="11013" max="11013" width="12.5546875" style="202" hidden="1"/>
    <col min="11014" max="11014" width="10.5546875" style="202" hidden="1"/>
    <col min="11015" max="11015" width="12" style="202" hidden="1"/>
    <col min="11016" max="11016" width="20.33203125" style="202" hidden="1"/>
    <col min="11017" max="11265" width="9.109375" style="202" hidden="1"/>
    <col min="11266" max="11266" width="2.5546875" style="202" hidden="1"/>
    <col min="11267" max="11267" width="24.88671875" style="202" hidden="1"/>
    <col min="11268" max="11268" width="23.44140625" style="202" hidden="1"/>
    <col min="11269" max="11269" width="12.5546875" style="202" hidden="1"/>
    <col min="11270" max="11270" width="10.5546875" style="202" hidden="1"/>
    <col min="11271" max="11271" width="12" style="202" hidden="1"/>
    <col min="11272" max="11272" width="20.33203125" style="202" hidden="1"/>
    <col min="11273" max="11521" width="9.109375" style="202" hidden="1"/>
    <col min="11522" max="11522" width="2.5546875" style="202" hidden="1"/>
    <col min="11523" max="11523" width="24.88671875" style="202" hidden="1"/>
    <col min="11524" max="11524" width="23.44140625" style="202" hidden="1"/>
    <col min="11525" max="11525" width="12.5546875" style="202" hidden="1"/>
    <col min="11526" max="11526" width="10.5546875" style="202" hidden="1"/>
    <col min="11527" max="11527" width="12" style="202" hidden="1"/>
    <col min="11528" max="11528" width="20.33203125" style="202" hidden="1"/>
    <col min="11529" max="11777" width="9.109375" style="202" hidden="1"/>
    <col min="11778" max="11778" width="2.5546875" style="202" hidden="1"/>
    <col min="11779" max="11779" width="24.88671875" style="202" hidden="1"/>
    <col min="11780" max="11780" width="23.44140625" style="202" hidden="1"/>
    <col min="11781" max="11781" width="12.5546875" style="202" hidden="1"/>
    <col min="11782" max="11782" width="10.5546875" style="202" hidden="1"/>
    <col min="11783" max="11783" width="12" style="202" hidden="1"/>
    <col min="11784" max="11784" width="20.33203125" style="202" hidden="1"/>
    <col min="11785" max="12033" width="9.109375" style="202" hidden="1"/>
    <col min="12034" max="12034" width="2.5546875" style="202" hidden="1"/>
    <col min="12035" max="12035" width="24.88671875" style="202" hidden="1"/>
    <col min="12036" max="12036" width="23.44140625" style="202" hidden="1"/>
    <col min="12037" max="12037" width="12.5546875" style="202" hidden="1"/>
    <col min="12038" max="12038" width="10.5546875" style="202" hidden="1"/>
    <col min="12039" max="12039" width="12" style="202" hidden="1"/>
    <col min="12040" max="12040" width="20.33203125" style="202" hidden="1"/>
    <col min="12041" max="12289" width="9.109375" style="202" hidden="1"/>
    <col min="12290" max="12290" width="2.5546875" style="202" hidden="1"/>
    <col min="12291" max="12291" width="24.88671875" style="202" hidden="1"/>
    <col min="12292" max="12292" width="23.44140625" style="202" hidden="1"/>
    <col min="12293" max="12293" width="12.5546875" style="202" hidden="1"/>
    <col min="12294" max="12294" width="10.5546875" style="202" hidden="1"/>
    <col min="12295" max="12295" width="12" style="202" hidden="1"/>
    <col min="12296" max="12296" width="20.33203125" style="202" hidden="1"/>
    <col min="12297" max="12545" width="9.109375" style="202" hidden="1"/>
    <col min="12546" max="12546" width="2.5546875" style="202" hidden="1"/>
    <col min="12547" max="12547" width="24.88671875" style="202" hidden="1"/>
    <col min="12548" max="12548" width="23.44140625" style="202" hidden="1"/>
    <col min="12549" max="12549" width="12.5546875" style="202" hidden="1"/>
    <col min="12550" max="12550" width="10.5546875" style="202" hidden="1"/>
    <col min="12551" max="12551" width="12" style="202" hidden="1"/>
    <col min="12552" max="12552" width="20.33203125" style="202" hidden="1"/>
    <col min="12553" max="12801" width="9.109375" style="202" hidden="1"/>
    <col min="12802" max="12802" width="2.5546875" style="202" hidden="1"/>
    <col min="12803" max="12803" width="24.88671875" style="202" hidden="1"/>
    <col min="12804" max="12804" width="23.44140625" style="202" hidden="1"/>
    <col min="12805" max="12805" width="12.5546875" style="202" hidden="1"/>
    <col min="12806" max="12806" width="10.5546875" style="202" hidden="1"/>
    <col min="12807" max="12807" width="12" style="202" hidden="1"/>
    <col min="12808" max="12808" width="20.33203125" style="202" hidden="1"/>
    <col min="12809" max="13057" width="9.109375" style="202" hidden="1"/>
    <col min="13058" max="13058" width="2.5546875" style="202" hidden="1"/>
    <col min="13059" max="13059" width="24.88671875" style="202" hidden="1"/>
    <col min="13060" max="13060" width="23.44140625" style="202" hidden="1"/>
    <col min="13061" max="13061" width="12.5546875" style="202" hidden="1"/>
    <col min="13062" max="13062" width="10.5546875" style="202" hidden="1"/>
    <col min="13063" max="13063" width="12" style="202" hidden="1"/>
    <col min="13064" max="13064" width="20.33203125" style="202" hidden="1"/>
    <col min="13065" max="13313" width="9.109375" style="202" hidden="1"/>
    <col min="13314" max="13314" width="2.5546875" style="202" hidden="1"/>
    <col min="13315" max="13315" width="24.88671875" style="202" hidden="1"/>
    <col min="13316" max="13316" width="23.44140625" style="202" hidden="1"/>
    <col min="13317" max="13317" width="12.5546875" style="202" hidden="1"/>
    <col min="13318" max="13318" width="10.5546875" style="202" hidden="1"/>
    <col min="13319" max="13319" width="12" style="202" hidden="1"/>
    <col min="13320" max="13320" width="20.33203125" style="202" hidden="1"/>
    <col min="13321" max="13569" width="9.109375" style="202" hidden="1"/>
    <col min="13570" max="13570" width="2.5546875" style="202" hidden="1"/>
    <col min="13571" max="13571" width="24.88671875" style="202" hidden="1"/>
    <col min="13572" max="13572" width="23.44140625" style="202" hidden="1"/>
    <col min="13573" max="13573" width="12.5546875" style="202" hidden="1"/>
    <col min="13574" max="13574" width="10.5546875" style="202" hidden="1"/>
    <col min="13575" max="13575" width="12" style="202" hidden="1"/>
    <col min="13576" max="13576" width="20.33203125" style="202" hidden="1"/>
    <col min="13577" max="13825" width="9.109375" style="202" hidden="1"/>
    <col min="13826" max="13826" width="2.5546875" style="202" hidden="1"/>
    <col min="13827" max="13827" width="24.88671875" style="202" hidden="1"/>
    <col min="13828" max="13828" width="23.44140625" style="202" hidden="1"/>
    <col min="13829" max="13829" width="12.5546875" style="202" hidden="1"/>
    <col min="13830" max="13830" width="10.5546875" style="202" hidden="1"/>
    <col min="13831" max="13831" width="12" style="202" hidden="1"/>
    <col min="13832" max="13832" width="20.33203125" style="202" hidden="1"/>
    <col min="13833" max="14081" width="9.109375" style="202" hidden="1"/>
    <col min="14082" max="14082" width="2.5546875" style="202" hidden="1"/>
    <col min="14083" max="14083" width="24.88671875" style="202" hidden="1"/>
    <col min="14084" max="14084" width="23.44140625" style="202" hidden="1"/>
    <col min="14085" max="14085" width="12.5546875" style="202" hidden="1"/>
    <col min="14086" max="14086" width="10.5546875" style="202" hidden="1"/>
    <col min="14087" max="14087" width="12" style="202" hidden="1"/>
    <col min="14088" max="14088" width="20.33203125" style="202" hidden="1"/>
    <col min="14089" max="14337" width="9.109375" style="202" hidden="1"/>
    <col min="14338" max="14338" width="2.5546875" style="202" hidden="1"/>
    <col min="14339" max="14339" width="24.88671875" style="202" hidden="1"/>
    <col min="14340" max="14340" width="23.44140625" style="202" hidden="1"/>
    <col min="14341" max="14341" width="12.5546875" style="202" hidden="1"/>
    <col min="14342" max="14342" width="10.5546875" style="202" hidden="1"/>
    <col min="14343" max="14343" width="12" style="202" hidden="1"/>
    <col min="14344" max="14344" width="20.33203125" style="202" hidden="1"/>
    <col min="14345" max="14593" width="9.109375" style="202" hidden="1"/>
    <col min="14594" max="14594" width="2.5546875" style="202" hidden="1"/>
    <col min="14595" max="14595" width="24.88671875" style="202" hidden="1"/>
    <col min="14596" max="14596" width="23.44140625" style="202" hidden="1"/>
    <col min="14597" max="14597" width="12.5546875" style="202" hidden="1"/>
    <col min="14598" max="14598" width="10.5546875" style="202" hidden="1"/>
    <col min="14599" max="14599" width="12" style="202" hidden="1"/>
    <col min="14600" max="14600" width="20.33203125" style="202" hidden="1"/>
    <col min="14601" max="14849" width="9.109375" style="202" hidden="1"/>
    <col min="14850" max="14850" width="2.5546875" style="202" hidden="1"/>
    <col min="14851" max="14851" width="24.88671875" style="202" hidden="1"/>
    <col min="14852" max="14852" width="23.44140625" style="202" hidden="1"/>
    <col min="14853" max="14853" width="12.5546875" style="202" hidden="1"/>
    <col min="14854" max="14854" width="10.5546875" style="202" hidden="1"/>
    <col min="14855" max="14855" width="12" style="202" hidden="1"/>
    <col min="14856" max="14856" width="20.33203125" style="202" hidden="1"/>
    <col min="14857" max="15105" width="9.109375" style="202" hidden="1"/>
    <col min="15106" max="15106" width="2.5546875" style="202" hidden="1"/>
    <col min="15107" max="15107" width="24.88671875" style="202" hidden="1"/>
    <col min="15108" max="15108" width="23.44140625" style="202" hidden="1"/>
    <col min="15109" max="15109" width="12.5546875" style="202" hidden="1"/>
    <col min="15110" max="15110" width="10.5546875" style="202" hidden="1"/>
    <col min="15111" max="15111" width="12" style="202" hidden="1"/>
    <col min="15112" max="15112" width="20.33203125" style="202" hidden="1"/>
    <col min="15113" max="15361" width="9.109375" style="202" hidden="1"/>
    <col min="15362" max="15362" width="2.5546875" style="202" hidden="1"/>
    <col min="15363" max="15363" width="24.88671875" style="202" hidden="1"/>
    <col min="15364" max="15364" width="23.44140625" style="202" hidden="1"/>
    <col min="15365" max="15365" width="12.5546875" style="202" hidden="1"/>
    <col min="15366" max="15366" width="10.5546875" style="202" hidden="1"/>
    <col min="15367" max="15367" width="12" style="202" hidden="1"/>
    <col min="15368" max="15368" width="20.33203125" style="202" hidden="1"/>
    <col min="15369" max="15617" width="9.109375" style="202" hidden="1"/>
    <col min="15618" max="15618" width="2.5546875" style="202" hidden="1"/>
    <col min="15619" max="15619" width="24.88671875" style="202" hidden="1"/>
    <col min="15620" max="15620" width="23.44140625" style="202" hidden="1"/>
    <col min="15621" max="15621" width="12.5546875" style="202" hidden="1"/>
    <col min="15622" max="15622" width="10.5546875" style="202" hidden="1"/>
    <col min="15623" max="15623" width="12" style="202" hidden="1"/>
    <col min="15624" max="15624" width="20.33203125" style="202" hidden="1"/>
    <col min="15625" max="15873" width="9.109375" style="202" hidden="1"/>
    <col min="15874" max="15874" width="2.5546875" style="202" hidden="1"/>
    <col min="15875" max="15875" width="24.88671875" style="202" hidden="1"/>
    <col min="15876" max="15876" width="23.44140625" style="202" hidden="1"/>
    <col min="15877" max="15877" width="12.5546875" style="202" hidden="1"/>
    <col min="15878" max="15878" width="10.5546875" style="202" hidden="1"/>
    <col min="15879" max="15879" width="12" style="202" hidden="1"/>
    <col min="15880" max="15880" width="20.33203125" style="202" hidden="1"/>
    <col min="15881" max="16129" width="9.109375" style="202" hidden="1"/>
    <col min="16130" max="16130" width="2.5546875" style="202" hidden="1"/>
    <col min="16131" max="16131" width="24.88671875" style="202" hidden="1"/>
    <col min="16132" max="16132" width="23.44140625" style="202" hidden="1"/>
    <col min="16133" max="16133" width="12.5546875" style="202" hidden="1"/>
    <col min="16134" max="16134" width="10.5546875" style="202" hidden="1"/>
    <col min="16135" max="16135" width="12" style="202" hidden="1"/>
    <col min="16136" max="16136" width="20.33203125" style="202" hidden="1"/>
    <col min="16137" max="16384" width="0" style="202" hidden="1"/>
  </cols>
  <sheetData>
    <row r="1" spans="1:8" x14ac:dyDescent="0.25">
      <c r="C1" s="203"/>
      <c r="D1" s="204" t="s">
        <v>422</v>
      </c>
    </row>
    <row r="2" spans="1:8" x14ac:dyDescent="0.25">
      <c r="C2" s="205" t="s">
        <v>423</v>
      </c>
      <c r="D2" s="206"/>
    </row>
    <row r="3" spans="1:8" x14ac:dyDescent="0.25">
      <c r="C3" s="207"/>
      <c r="D3" s="205" t="s">
        <v>424</v>
      </c>
    </row>
    <row r="4" spans="1:8" x14ac:dyDescent="0.25"/>
    <row r="5" spans="1:8" ht="25.5" customHeight="1" x14ac:dyDescent="0.25">
      <c r="A5" s="208">
        <v>1</v>
      </c>
      <c r="B5" s="209" t="s">
        <v>425</v>
      </c>
      <c r="C5" s="210"/>
      <c r="D5" s="211" t="str">
        <f>UPPER(IF(E_Name=0," ",E_Name))</f>
        <v>GAURAV  SINGH</v>
      </c>
      <c r="E5" s="212"/>
      <c r="F5" s="212"/>
      <c r="G5" s="210"/>
      <c r="H5" s="524"/>
    </row>
    <row r="6" spans="1:8" ht="25.5" customHeight="1" x14ac:dyDescent="0.25">
      <c r="A6" s="208">
        <v>2</v>
      </c>
      <c r="B6" s="213" t="s">
        <v>426</v>
      </c>
      <c r="C6" s="214"/>
      <c r="D6" s="211" t="str">
        <f>UPPER(IF('Personal Information'!D16=0," ",'Personal Information'!D16))</f>
        <v>SIYARAM SINGH</v>
      </c>
      <c r="E6" s="212"/>
      <c r="F6" s="212"/>
      <c r="G6" s="210"/>
      <c r="H6" s="524"/>
    </row>
    <row r="7" spans="1:8" ht="18" customHeight="1" x14ac:dyDescent="0.25">
      <c r="A7" s="208">
        <v>3</v>
      </c>
      <c r="B7" s="213" t="s">
        <v>8</v>
      </c>
      <c r="C7" s="214"/>
      <c r="D7" s="241">
        <f>IF(DOB=0," ",DOB)</f>
        <v>34101</v>
      </c>
      <c r="G7" s="214"/>
      <c r="H7" s="525"/>
    </row>
    <row r="8" spans="1:8" ht="18" customHeight="1" x14ac:dyDescent="0.25">
      <c r="A8" s="208">
        <v>4</v>
      </c>
      <c r="B8" s="213" t="s">
        <v>335</v>
      </c>
      <c r="C8" s="214"/>
      <c r="D8" s="240" t="str">
        <f>IF(Sex=0," ",Sex)</f>
        <v>MALE</v>
      </c>
      <c r="E8" s="213"/>
      <c r="F8" s="213"/>
      <c r="G8" s="214"/>
      <c r="H8" s="525"/>
    </row>
    <row r="9" spans="1:8" ht="18" customHeight="1" x14ac:dyDescent="0.25">
      <c r="A9" s="208">
        <v>5</v>
      </c>
      <c r="B9" s="213" t="s">
        <v>427</v>
      </c>
      <c r="C9" s="214"/>
      <c r="D9" s="240" t="str">
        <f>IF(M_Status=0," ",M_Status)</f>
        <v>UNMARRIED</v>
      </c>
      <c r="E9" s="213"/>
      <c r="F9" s="213"/>
      <c r="G9" s="214"/>
      <c r="H9" s="525"/>
    </row>
    <row r="10" spans="1:8" ht="18" customHeight="1" x14ac:dyDescent="0.25">
      <c r="A10" s="208">
        <v>6</v>
      </c>
      <c r="B10" s="213" t="s">
        <v>338</v>
      </c>
      <c r="C10" s="214"/>
      <c r="D10" s="985" t="str">
        <f>IF(('Personal Information'!$H$43&amp;'Personal Information'!$H$44&amp;'Personal Information'!$H$45)=0,"",'Personal Information'!$H$43&amp;" "&amp;'Personal Information'!$H$44)</f>
        <v>FDH 133 ANNPURNAPARA KANKER</v>
      </c>
      <c r="E10" s="986"/>
      <c r="F10" s="986"/>
      <c r="G10" s="987"/>
      <c r="H10" s="526"/>
    </row>
    <row r="11" spans="1:8" ht="18" customHeight="1" x14ac:dyDescent="0.25">
      <c r="A11" s="208"/>
      <c r="B11" s="213"/>
      <c r="C11" s="214"/>
      <c r="D11" s="985" t="str">
        <f>IF('Personal Information'!$H$45=0,"",'Personal Information'!$H$45&amp;", "&amp;'Personal Information'!$H$46&amp;" - "&amp;'Personal Information'!$H$48&amp;", "&amp;'Personal Information'!$H$47)</f>
        <v/>
      </c>
      <c r="E11" s="986"/>
      <c r="F11" s="986"/>
      <c r="G11" s="987"/>
      <c r="H11" s="526"/>
    </row>
    <row r="12" spans="1:8" ht="18" customHeight="1" x14ac:dyDescent="0.25">
      <c r="A12" s="208">
        <v>7</v>
      </c>
      <c r="B12" s="213" t="s">
        <v>428</v>
      </c>
      <c r="C12" s="214"/>
      <c r="D12" s="985" t="str">
        <f>IF(('Personal Information'!$D$43&amp;'Personal Information'!$D$44&amp;'Personal Information'!$D$45)=0,"",'Personal Information'!$D$43&amp;" "&amp;'Personal Information'!$D$44)</f>
        <v>Flat 201 Sree Hanuma's Srivatsa Residency Serilinghampally</v>
      </c>
      <c r="E12" s="986"/>
      <c r="F12" s="986"/>
      <c r="G12" s="987"/>
      <c r="H12" s="526"/>
    </row>
    <row r="13" spans="1:8" ht="18" customHeight="1" x14ac:dyDescent="0.25">
      <c r="A13" s="208"/>
      <c r="B13" s="213"/>
      <c r="C13" s="214"/>
      <c r="D13" s="985" t="str">
        <f>IF('Personal Information'!$D$45=0,"",'Personal Information'!$D$45&amp;", "&amp;'Personal Information'!$D$46&amp;" - "&amp;'Personal Information'!$D$48&amp;", "&amp;'Personal Information'!$D$47)</f>
        <v/>
      </c>
      <c r="E13" s="986"/>
      <c r="F13" s="986"/>
      <c r="G13" s="987"/>
      <c r="H13" s="526"/>
    </row>
    <row r="14" spans="1:8" x14ac:dyDescent="0.25"/>
    <row r="15" spans="1:8" ht="30.75" customHeight="1" x14ac:dyDescent="0.25">
      <c r="A15" s="988" t="s">
        <v>429</v>
      </c>
      <c r="B15" s="988"/>
      <c r="C15" s="988"/>
      <c r="D15" s="988"/>
      <c r="E15" s="988"/>
      <c r="F15" s="988"/>
      <c r="G15" s="988"/>
      <c r="H15" s="523"/>
    </row>
    <row r="16" spans="1:8" x14ac:dyDescent="0.25"/>
    <row r="17" spans="1:15" ht="69" x14ac:dyDescent="0.25">
      <c r="B17" s="215" t="s">
        <v>430</v>
      </c>
      <c r="C17" s="216" t="s">
        <v>284</v>
      </c>
      <c r="D17" s="215" t="s">
        <v>431</v>
      </c>
      <c r="E17" s="216" t="s">
        <v>8</v>
      </c>
      <c r="F17" s="217" t="s">
        <v>432</v>
      </c>
      <c r="G17" s="218" t="s">
        <v>433</v>
      </c>
      <c r="H17" s="527"/>
    </row>
    <row r="18" spans="1:15" x14ac:dyDescent="0.25">
      <c r="B18" s="219" t="s">
        <v>434</v>
      </c>
      <c r="C18" s="219" t="s">
        <v>435</v>
      </c>
      <c r="D18" s="219" t="s">
        <v>436</v>
      </c>
      <c r="E18" s="219" t="s">
        <v>437</v>
      </c>
      <c r="F18" s="219" t="s">
        <v>438</v>
      </c>
      <c r="G18" s="219" t="s">
        <v>439</v>
      </c>
      <c r="H18" s="528"/>
    </row>
    <row r="19" spans="1:15" ht="80.099999999999994" customHeight="1" x14ac:dyDescent="0.25">
      <c r="B19" s="335" t="str">
        <f>IF('Personal Information'!$B$124=0,"",'Personal Information'!$B$124)</f>
        <v/>
      </c>
      <c r="C19" s="367" t="str">
        <f>IF(PF!C23=0,"",PF!C23)</f>
        <v/>
      </c>
      <c r="D19" s="335" t="str">
        <f>IF(PF!E23=0,"",PF!E23)</f>
        <v/>
      </c>
      <c r="E19" s="357" t="str">
        <f>IF(PF!F23=0,"",PF!F23)</f>
        <v/>
      </c>
      <c r="F19" s="365" t="str">
        <f>IF(PF!G23=0,"",PF!G23)</f>
        <v/>
      </c>
      <c r="G19" s="335" t="str">
        <f>IF(PF!$H$23=0,"",PF!$H23)</f>
        <v/>
      </c>
      <c r="H19" s="529"/>
      <c r="I19" s="984"/>
      <c r="J19" s="984"/>
      <c r="K19" s="984"/>
      <c r="L19" s="984"/>
      <c r="M19" s="984"/>
      <c r="N19" s="984"/>
      <c r="O19" s="984"/>
    </row>
    <row r="20" spans="1:15" ht="80.099999999999994" customHeight="1" x14ac:dyDescent="0.25">
      <c r="B20" s="335" t="str">
        <f>IF('Personal Information'!$B$125=0,"",'Personal Information'!$B$125)</f>
        <v/>
      </c>
      <c r="C20" s="367" t="str">
        <f>IF(PF!C24=0,"",PF!C24)</f>
        <v/>
      </c>
      <c r="D20" s="335" t="str">
        <f>IF(PF!E24=0,"",PF!E24)</f>
        <v/>
      </c>
      <c r="E20" s="357" t="str">
        <f>IF(PF!F24=0,"",PF!F24)</f>
        <v/>
      </c>
      <c r="F20" s="365" t="str">
        <f>IF(PF!G24=0,"",PF!G24)</f>
        <v/>
      </c>
      <c r="G20" s="366" t="str">
        <f>IF(PF!$H$24=0,"",PF!$H24)</f>
        <v/>
      </c>
      <c r="H20" s="530"/>
    </row>
    <row r="21" spans="1:15" ht="80.099999999999994" customHeight="1" x14ac:dyDescent="0.25">
      <c r="B21" s="335" t="str">
        <f>IF('Personal Information'!$B$126=0,"",'Personal Information'!$B$126)</f>
        <v/>
      </c>
      <c r="C21" s="367" t="str">
        <f>IF(PF!C25=0,"",PF!C25)</f>
        <v/>
      </c>
      <c r="D21" s="335" t="str">
        <f>IF(PF!E25=0,"",PF!E25)</f>
        <v/>
      </c>
      <c r="E21" s="357" t="str">
        <f>IF(PF!F25=0,"",PF!F25)</f>
        <v/>
      </c>
      <c r="F21" s="365" t="str">
        <f>IF(PF!G25=0,"",PF!G25)</f>
        <v/>
      </c>
      <c r="G21" s="366" t="str">
        <f>IF(PF!$H$25=0,"",PF!$H25)</f>
        <v/>
      </c>
      <c r="H21" s="530"/>
    </row>
    <row r="22" spans="1:15" ht="15" customHeight="1" x14ac:dyDescent="0.25">
      <c r="B22" s="335" t="str">
        <f>IF('Personal Information'!$B$127=0,"",'Personal Information'!$B$127)</f>
        <v/>
      </c>
      <c r="C22" s="367" t="str">
        <f>IF(PF!C26=0,"",PF!C26)</f>
        <v/>
      </c>
      <c r="D22" s="335" t="str">
        <f>IF(PF!E26=0,"",PF!E26)</f>
        <v/>
      </c>
      <c r="E22" s="357" t="str">
        <f>IF(PF!F26=0,"",PF!F26)</f>
        <v/>
      </c>
      <c r="F22" s="365" t="str">
        <f>IF(PF!G26=0,"",PF!G26)</f>
        <v/>
      </c>
      <c r="G22" s="366" t="str">
        <f>IF(PF!$H$26=0,"",PF!$H26)</f>
        <v/>
      </c>
      <c r="H22" s="530"/>
    </row>
    <row r="23" spans="1:15" ht="15" customHeight="1" x14ac:dyDescent="0.25">
      <c r="B23" s="335" t="str">
        <f>IF('Personal Information'!$B$128=0,"",'Personal Information'!$B$128)</f>
        <v/>
      </c>
      <c r="C23" s="367" t="str">
        <f>IF(PF!C27=0,"",PF!C27)</f>
        <v/>
      </c>
      <c r="D23" s="335" t="str">
        <f>IF(PF!E27=0,"",PF!E27)</f>
        <v/>
      </c>
      <c r="E23" s="357" t="str">
        <f>IF(PF!F27=0,"",PF!F27)</f>
        <v/>
      </c>
      <c r="F23" s="365" t="str">
        <f>IF(PF!G27=0,"",PF!G27)</f>
        <v/>
      </c>
      <c r="G23" s="366" t="str">
        <f>IF(PF!$H$28=0,"",PF!$H28)</f>
        <v/>
      </c>
      <c r="H23" s="530"/>
    </row>
    <row r="24" spans="1:15" ht="15" customHeight="1" x14ac:dyDescent="0.25">
      <c r="B24" s="353" t="str">
        <f>IF('Personal Information'!$B$129=0,"",'Personal Information'!$B$129)</f>
        <v/>
      </c>
      <c r="C24" s="367" t="str">
        <f>IF(PF!C28=0,"",PF!C28)</f>
        <v/>
      </c>
      <c r="D24" s="353" t="str">
        <f>IF(PF!E28=0,"",PF!E28)</f>
        <v/>
      </c>
      <c r="E24" s="354" t="str">
        <f>IF(PF!F28=0,"",PF!F28)</f>
        <v/>
      </c>
      <c r="F24" s="355" t="str">
        <f>IF(PF!G28=0,"",PF!G28)</f>
        <v/>
      </c>
      <c r="G24" s="358"/>
      <c r="H24" s="531"/>
    </row>
    <row r="25" spans="1:15" x14ac:dyDescent="0.25"/>
    <row r="26" spans="1:15" x14ac:dyDescent="0.25">
      <c r="A26" s="202">
        <v>1</v>
      </c>
      <c r="B26" s="202" t="s">
        <v>440</v>
      </c>
    </row>
    <row r="27" spans="1:15" x14ac:dyDescent="0.25"/>
    <row r="28" spans="1:15" x14ac:dyDescent="0.25">
      <c r="A28" s="202">
        <v>2</v>
      </c>
      <c r="B28" s="202" t="s">
        <v>441</v>
      </c>
    </row>
    <row r="29" spans="1:15" x14ac:dyDescent="0.25"/>
    <row r="30" spans="1:15" x14ac:dyDescent="0.25">
      <c r="A30" s="202">
        <v>3</v>
      </c>
      <c r="B30" s="202" t="s">
        <v>352</v>
      </c>
    </row>
    <row r="31" spans="1:15" x14ac:dyDescent="0.25"/>
    <row r="32" spans="1:15" x14ac:dyDescent="0.25">
      <c r="E32" s="258" t="str">
        <f>IF(E_Name=0," ",E_Name)</f>
        <v>Gaurav  Singh</v>
      </c>
    </row>
    <row r="33" spans="2:4" x14ac:dyDescent="0.25">
      <c r="D33" s="206" t="s">
        <v>442</v>
      </c>
    </row>
    <row r="34" spans="2:4" x14ac:dyDescent="0.25"/>
    <row r="35" spans="2:4" x14ac:dyDescent="0.25">
      <c r="C35" s="220" t="s">
        <v>443</v>
      </c>
      <c r="D35" s="220"/>
    </row>
    <row r="36" spans="2:4" x14ac:dyDescent="0.25"/>
    <row r="37" spans="2:4" x14ac:dyDescent="0.25">
      <c r="B37" s="202" t="s">
        <v>444</v>
      </c>
    </row>
    <row r="38" spans="2:4" x14ac:dyDescent="0.25">
      <c r="B38" s="202" t="s">
        <v>445</v>
      </c>
      <c r="C38" s="259" t="str">
        <f>E32</f>
        <v>Gaurav  Singh</v>
      </c>
      <c r="D38" s="202" t="s">
        <v>446</v>
      </c>
    </row>
    <row r="39" spans="2:4" x14ac:dyDescent="0.25">
      <c r="B39" s="202" t="s">
        <v>447</v>
      </c>
    </row>
    <row r="40" spans="2:4" x14ac:dyDescent="0.25"/>
    <row r="41" spans="2:4" x14ac:dyDescent="0.25"/>
    <row r="42" spans="2:4" x14ac:dyDescent="0.25">
      <c r="D42" s="202" t="s">
        <v>448</v>
      </c>
    </row>
    <row r="43" spans="2:4" x14ac:dyDescent="0.25"/>
    <row r="44" spans="2:4" x14ac:dyDescent="0.25"/>
    <row r="45" spans="2:4" x14ac:dyDescent="0.25"/>
    <row r="46" spans="2:4" x14ac:dyDescent="0.25">
      <c r="D46" s="202" t="s">
        <v>376</v>
      </c>
    </row>
    <row r="47" spans="2:4" x14ac:dyDescent="0.25">
      <c r="D47" s="202" t="s">
        <v>449</v>
      </c>
    </row>
    <row r="48" spans="2:4" x14ac:dyDescent="0.25">
      <c r="D48" s="202" t="s">
        <v>450</v>
      </c>
    </row>
    <row r="49" spans="4:4" x14ac:dyDescent="0.25">
      <c r="D49" s="202" t="s">
        <v>451</v>
      </c>
    </row>
    <row r="50" spans="4:4" x14ac:dyDescent="0.25"/>
    <row r="51" spans="4:4" hidden="1" x14ac:dyDescent="0.25"/>
    <row r="52" spans="4:4" hidden="1" x14ac:dyDescent="0.25"/>
  </sheetData>
  <sheetProtection password="CA99" sheet="1" objects="1" scenarios="1"/>
  <mergeCells count="6">
    <mergeCell ref="I19:O19"/>
    <mergeCell ref="D10:G10"/>
    <mergeCell ref="D11:G11"/>
    <mergeCell ref="D12:G12"/>
    <mergeCell ref="D13:G13"/>
    <mergeCell ref="A15:G15"/>
  </mergeCells>
  <pageMargins left="0.7" right="0.7" top="0.75" bottom="0.75" header="0.3" footer="0.3"/>
  <pageSetup scale="73" orientation="portrait" r:id="rId1"/>
  <headerFooter>
    <oddHeader xml:space="preserve">&amp;L -   </oddHeader>
    <oddFooter>&amp;CPage &amp;P - &amp;N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WVN50"/>
  <sheetViews>
    <sheetView showGridLines="0" showRowColHeaders="0" zoomScaleNormal="100" zoomScaleSheetLayoutView="85" workbookViewId="0">
      <selection activeCell="J14" sqref="J14"/>
    </sheetView>
  </sheetViews>
  <sheetFormatPr defaultColWidth="0" defaultRowHeight="13.2" zeroHeight="1" x14ac:dyDescent="0.25"/>
  <cols>
    <col min="1" max="1" width="4" style="202" customWidth="1"/>
    <col min="2" max="2" width="2.6640625" style="202" customWidth="1"/>
    <col min="3" max="3" width="35.33203125" style="202" bestFit="1" customWidth="1"/>
    <col min="4" max="4" width="0.5546875" style="202" customWidth="1"/>
    <col min="5" max="5" width="41.88671875" style="202" customWidth="1"/>
    <col min="6" max="6" width="2.44140625" style="202" customWidth="1"/>
    <col min="7" max="7" width="10.44140625" style="202" customWidth="1"/>
    <col min="8" max="256" width="9.109375" style="202" hidden="1"/>
    <col min="257" max="257" width="4" style="202" hidden="1"/>
    <col min="258" max="258" width="2.6640625" style="202" hidden="1"/>
    <col min="259" max="259" width="35.33203125" style="202" hidden="1"/>
    <col min="260" max="260" width="0.5546875" style="202" hidden="1"/>
    <col min="261" max="261" width="41.88671875" style="202" hidden="1"/>
    <col min="262" max="262" width="2.44140625" style="202" hidden="1"/>
    <col min="263" max="512" width="9.109375" style="202" hidden="1"/>
    <col min="513" max="513" width="4" style="202" hidden="1"/>
    <col min="514" max="514" width="2.6640625" style="202" hidden="1"/>
    <col min="515" max="515" width="35.33203125" style="202" hidden="1"/>
    <col min="516" max="516" width="0.5546875" style="202" hidden="1"/>
    <col min="517" max="517" width="41.88671875" style="202" hidden="1"/>
    <col min="518" max="518" width="2.44140625" style="202" hidden="1"/>
    <col min="519" max="768" width="9.109375" style="202" hidden="1"/>
    <col min="769" max="769" width="4" style="202" hidden="1"/>
    <col min="770" max="770" width="2.6640625" style="202" hidden="1"/>
    <col min="771" max="771" width="35.33203125" style="202" hidden="1"/>
    <col min="772" max="772" width="0.5546875" style="202" hidden="1"/>
    <col min="773" max="773" width="41.88671875" style="202" hidden="1"/>
    <col min="774" max="774" width="2.44140625" style="202" hidden="1"/>
    <col min="775" max="1024" width="9.109375" style="202" hidden="1"/>
    <col min="1025" max="1025" width="4" style="202" hidden="1"/>
    <col min="1026" max="1026" width="2.6640625" style="202" hidden="1"/>
    <col min="1027" max="1027" width="35.33203125" style="202" hidden="1"/>
    <col min="1028" max="1028" width="0.5546875" style="202" hidden="1"/>
    <col min="1029" max="1029" width="41.88671875" style="202" hidden="1"/>
    <col min="1030" max="1030" width="2.44140625" style="202" hidden="1"/>
    <col min="1031" max="1280" width="9.109375" style="202" hidden="1"/>
    <col min="1281" max="1281" width="4" style="202" hidden="1"/>
    <col min="1282" max="1282" width="2.6640625" style="202" hidden="1"/>
    <col min="1283" max="1283" width="35.33203125" style="202" hidden="1"/>
    <col min="1284" max="1284" width="0.5546875" style="202" hidden="1"/>
    <col min="1285" max="1285" width="41.88671875" style="202" hidden="1"/>
    <col min="1286" max="1286" width="2.44140625" style="202" hidden="1"/>
    <col min="1287" max="1536" width="9.109375" style="202" hidden="1"/>
    <col min="1537" max="1537" width="4" style="202" hidden="1"/>
    <col min="1538" max="1538" width="2.6640625" style="202" hidden="1"/>
    <col min="1539" max="1539" width="35.33203125" style="202" hidden="1"/>
    <col min="1540" max="1540" width="0.5546875" style="202" hidden="1"/>
    <col min="1541" max="1541" width="41.88671875" style="202" hidden="1"/>
    <col min="1542" max="1542" width="2.44140625" style="202" hidden="1"/>
    <col min="1543" max="1792" width="9.109375" style="202" hidden="1"/>
    <col min="1793" max="1793" width="4" style="202" hidden="1"/>
    <col min="1794" max="1794" width="2.6640625" style="202" hidden="1"/>
    <col min="1795" max="1795" width="35.33203125" style="202" hidden="1"/>
    <col min="1796" max="1796" width="0.5546875" style="202" hidden="1"/>
    <col min="1797" max="1797" width="41.88671875" style="202" hidden="1"/>
    <col min="1798" max="1798" width="2.44140625" style="202" hidden="1"/>
    <col min="1799" max="2048" width="9.109375" style="202" hidden="1"/>
    <col min="2049" max="2049" width="4" style="202" hidden="1"/>
    <col min="2050" max="2050" width="2.6640625" style="202" hidden="1"/>
    <col min="2051" max="2051" width="35.33203125" style="202" hidden="1"/>
    <col min="2052" max="2052" width="0.5546875" style="202" hidden="1"/>
    <col min="2053" max="2053" width="41.88671875" style="202" hidden="1"/>
    <col min="2054" max="2054" width="2.44140625" style="202" hidden="1"/>
    <col min="2055" max="2304" width="9.109375" style="202" hidden="1"/>
    <col min="2305" max="2305" width="4" style="202" hidden="1"/>
    <col min="2306" max="2306" width="2.6640625" style="202" hidden="1"/>
    <col min="2307" max="2307" width="35.33203125" style="202" hidden="1"/>
    <col min="2308" max="2308" width="0.5546875" style="202" hidden="1"/>
    <col min="2309" max="2309" width="41.88671875" style="202" hidden="1"/>
    <col min="2310" max="2310" width="2.44140625" style="202" hidden="1"/>
    <col min="2311" max="2560" width="9.109375" style="202" hidden="1"/>
    <col min="2561" max="2561" width="4" style="202" hidden="1"/>
    <col min="2562" max="2562" width="2.6640625" style="202" hidden="1"/>
    <col min="2563" max="2563" width="35.33203125" style="202" hidden="1"/>
    <col min="2564" max="2564" width="0.5546875" style="202" hidden="1"/>
    <col min="2565" max="2565" width="41.88671875" style="202" hidden="1"/>
    <col min="2566" max="2566" width="2.44140625" style="202" hidden="1"/>
    <col min="2567" max="2816" width="9.109375" style="202" hidden="1"/>
    <col min="2817" max="2817" width="4" style="202" hidden="1"/>
    <col min="2818" max="2818" width="2.6640625" style="202" hidden="1"/>
    <col min="2819" max="2819" width="35.33203125" style="202" hidden="1"/>
    <col min="2820" max="2820" width="0.5546875" style="202" hidden="1"/>
    <col min="2821" max="2821" width="41.88671875" style="202" hidden="1"/>
    <col min="2822" max="2822" width="2.44140625" style="202" hidden="1"/>
    <col min="2823" max="3072" width="9.109375" style="202" hidden="1"/>
    <col min="3073" max="3073" width="4" style="202" hidden="1"/>
    <col min="3074" max="3074" width="2.6640625" style="202" hidden="1"/>
    <col min="3075" max="3075" width="35.33203125" style="202" hidden="1"/>
    <col min="3076" max="3076" width="0.5546875" style="202" hidden="1"/>
    <col min="3077" max="3077" width="41.88671875" style="202" hidden="1"/>
    <col min="3078" max="3078" width="2.44140625" style="202" hidden="1"/>
    <col min="3079" max="3328" width="9.109375" style="202" hidden="1"/>
    <col min="3329" max="3329" width="4" style="202" hidden="1"/>
    <col min="3330" max="3330" width="2.6640625" style="202" hidden="1"/>
    <col min="3331" max="3331" width="35.33203125" style="202" hidden="1"/>
    <col min="3332" max="3332" width="0.5546875" style="202" hidden="1"/>
    <col min="3333" max="3333" width="41.88671875" style="202" hidden="1"/>
    <col min="3334" max="3334" width="2.44140625" style="202" hidden="1"/>
    <col min="3335" max="3584" width="9.109375" style="202" hidden="1"/>
    <col min="3585" max="3585" width="4" style="202" hidden="1"/>
    <col min="3586" max="3586" width="2.6640625" style="202" hidden="1"/>
    <col min="3587" max="3587" width="35.33203125" style="202" hidden="1"/>
    <col min="3588" max="3588" width="0.5546875" style="202" hidden="1"/>
    <col min="3589" max="3589" width="41.88671875" style="202" hidden="1"/>
    <col min="3590" max="3590" width="2.44140625" style="202" hidden="1"/>
    <col min="3591" max="3840" width="9.109375" style="202" hidden="1"/>
    <col min="3841" max="3841" width="4" style="202" hidden="1"/>
    <col min="3842" max="3842" width="2.6640625" style="202" hidden="1"/>
    <col min="3843" max="3843" width="35.33203125" style="202" hidden="1"/>
    <col min="3844" max="3844" width="0.5546875" style="202" hidden="1"/>
    <col min="3845" max="3845" width="41.88671875" style="202" hidden="1"/>
    <col min="3846" max="3846" width="2.44140625" style="202" hidden="1"/>
    <col min="3847" max="4096" width="9.109375" style="202" hidden="1"/>
    <col min="4097" max="4097" width="4" style="202" hidden="1"/>
    <col min="4098" max="4098" width="2.6640625" style="202" hidden="1"/>
    <col min="4099" max="4099" width="35.33203125" style="202" hidden="1"/>
    <col min="4100" max="4100" width="0.5546875" style="202" hidden="1"/>
    <col min="4101" max="4101" width="41.88671875" style="202" hidden="1"/>
    <col min="4102" max="4102" width="2.44140625" style="202" hidden="1"/>
    <col min="4103" max="4352" width="9.109375" style="202" hidden="1"/>
    <col min="4353" max="4353" width="4" style="202" hidden="1"/>
    <col min="4354" max="4354" width="2.6640625" style="202" hidden="1"/>
    <col min="4355" max="4355" width="35.33203125" style="202" hidden="1"/>
    <col min="4356" max="4356" width="0.5546875" style="202" hidden="1"/>
    <col min="4357" max="4357" width="41.88671875" style="202" hidden="1"/>
    <col min="4358" max="4358" width="2.44140625" style="202" hidden="1"/>
    <col min="4359" max="4608" width="9.109375" style="202" hidden="1"/>
    <col min="4609" max="4609" width="4" style="202" hidden="1"/>
    <col min="4610" max="4610" width="2.6640625" style="202" hidden="1"/>
    <col min="4611" max="4611" width="35.33203125" style="202" hidden="1"/>
    <col min="4612" max="4612" width="0.5546875" style="202" hidden="1"/>
    <col min="4613" max="4613" width="41.88671875" style="202" hidden="1"/>
    <col min="4614" max="4614" width="2.44140625" style="202" hidden="1"/>
    <col min="4615" max="4864" width="9.109375" style="202" hidden="1"/>
    <col min="4865" max="4865" width="4" style="202" hidden="1"/>
    <col min="4866" max="4866" width="2.6640625" style="202" hidden="1"/>
    <col min="4867" max="4867" width="35.33203125" style="202" hidden="1"/>
    <col min="4868" max="4868" width="0.5546875" style="202" hidden="1"/>
    <col min="4869" max="4869" width="41.88671875" style="202" hidden="1"/>
    <col min="4870" max="4870" width="2.44140625" style="202" hidden="1"/>
    <col min="4871" max="5120" width="9.109375" style="202" hidden="1"/>
    <col min="5121" max="5121" width="4" style="202" hidden="1"/>
    <col min="5122" max="5122" width="2.6640625" style="202" hidden="1"/>
    <col min="5123" max="5123" width="35.33203125" style="202" hidden="1"/>
    <col min="5124" max="5124" width="0.5546875" style="202" hidden="1"/>
    <col min="5125" max="5125" width="41.88671875" style="202" hidden="1"/>
    <col min="5126" max="5126" width="2.44140625" style="202" hidden="1"/>
    <col min="5127" max="5376" width="9.109375" style="202" hidden="1"/>
    <col min="5377" max="5377" width="4" style="202" hidden="1"/>
    <col min="5378" max="5378" width="2.6640625" style="202" hidden="1"/>
    <col min="5379" max="5379" width="35.33203125" style="202" hidden="1"/>
    <col min="5380" max="5380" width="0.5546875" style="202" hidden="1"/>
    <col min="5381" max="5381" width="41.88671875" style="202" hidden="1"/>
    <col min="5382" max="5382" width="2.44140625" style="202" hidden="1"/>
    <col min="5383" max="5632" width="9.109375" style="202" hidden="1"/>
    <col min="5633" max="5633" width="4" style="202" hidden="1"/>
    <col min="5634" max="5634" width="2.6640625" style="202" hidden="1"/>
    <col min="5635" max="5635" width="35.33203125" style="202" hidden="1"/>
    <col min="5636" max="5636" width="0.5546875" style="202" hidden="1"/>
    <col min="5637" max="5637" width="41.88671875" style="202" hidden="1"/>
    <col min="5638" max="5638" width="2.44140625" style="202" hidden="1"/>
    <col min="5639" max="5888" width="9.109375" style="202" hidden="1"/>
    <col min="5889" max="5889" width="4" style="202" hidden="1"/>
    <col min="5890" max="5890" width="2.6640625" style="202" hidden="1"/>
    <col min="5891" max="5891" width="35.33203125" style="202" hidden="1"/>
    <col min="5892" max="5892" width="0.5546875" style="202" hidden="1"/>
    <col min="5893" max="5893" width="41.88671875" style="202" hidden="1"/>
    <col min="5894" max="5894" width="2.44140625" style="202" hidden="1"/>
    <col min="5895" max="6144" width="9.109375" style="202" hidden="1"/>
    <col min="6145" max="6145" width="4" style="202" hidden="1"/>
    <col min="6146" max="6146" width="2.6640625" style="202" hidden="1"/>
    <col min="6147" max="6147" width="35.33203125" style="202" hidden="1"/>
    <col min="6148" max="6148" width="0.5546875" style="202" hidden="1"/>
    <col min="6149" max="6149" width="41.88671875" style="202" hidden="1"/>
    <col min="6150" max="6150" width="2.44140625" style="202" hidden="1"/>
    <col min="6151" max="6400" width="9.109375" style="202" hidden="1"/>
    <col min="6401" max="6401" width="4" style="202" hidden="1"/>
    <col min="6402" max="6402" width="2.6640625" style="202" hidden="1"/>
    <col min="6403" max="6403" width="35.33203125" style="202" hidden="1"/>
    <col min="6404" max="6404" width="0.5546875" style="202" hidden="1"/>
    <col min="6405" max="6405" width="41.88671875" style="202" hidden="1"/>
    <col min="6406" max="6406" width="2.44140625" style="202" hidden="1"/>
    <col min="6407" max="6656" width="9.109375" style="202" hidden="1"/>
    <col min="6657" max="6657" width="4" style="202" hidden="1"/>
    <col min="6658" max="6658" width="2.6640625" style="202" hidden="1"/>
    <col min="6659" max="6659" width="35.33203125" style="202" hidden="1"/>
    <col min="6660" max="6660" width="0.5546875" style="202" hidden="1"/>
    <col min="6661" max="6661" width="41.88671875" style="202" hidden="1"/>
    <col min="6662" max="6662" width="2.44140625" style="202" hidden="1"/>
    <col min="6663" max="6912" width="9.109375" style="202" hidden="1"/>
    <col min="6913" max="6913" width="4" style="202" hidden="1"/>
    <col min="6914" max="6914" width="2.6640625" style="202" hidden="1"/>
    <col min="6915" max="6915" width="35.33203125" style="202" hidden="1"/>
    <col min="6916" max="6916" width="0.5546875" style="202" hidden="1"/>
    <col min="6917" max="6917" width="41.88671875" style="202" hidden="1"/>
    <col min="6918" max="6918" width="2.44140625" style="202" hidden="1"/>
    <col min="6919" max="7168" width="9.109375" style="202" hidden="1"/>
    <col min="7169" max="7169" width="4" style="202" hidden="1"/>
    <col min="7170" max="7170" width="2.6640625" style="202" hidden="1"/>
    <col min="7171" max="7171" width="35.33203125" style="202" hidden="1"/>
    <col min="7172" max="7172" width="0.5546875" style="202" hidden="1"/>
    <col min="7173" max="7173" width="41.88671875" style="202" hidden="1"/>
    <col min="7174" max="7174" width="2.44140625" style="202" hidden="1"/>
    <col min="7175" max="7424" width="9.109375" style="202" hidden="1"/>
    <col min="7425" max="7425" width="4" style="202" hidden="1"/>
    <col min="7426" max="7426" width="2.6640625" style="202" hidden="1"/>
    <col min="7427" max="7427" width="35.33203125" style="202" hidden="1"/>
    <col min="7428" max="7428" width="0.5546875" style="202" hidden="1"/>
    <col min="7429" max="7429" width="41.88671875" style="202" hidden="1"/>
    <col min="7430" max="7430" width="2.44140625" style="202" hidden="1"/>
    <col min="7431" max="7680" width="9.109375" style="202" hidden="1"/>
    <col min="7681" max="7681" width="4" style="202" hidden="1"/>
    <col min="7682" max="7682" width="2.6640625" style="202" hidden="1"/>
    <col min="7683" max="7683" width="35.33203125" style="202" hidden="1"/>
    <col min="7684" max="7684" width="0.5546875" style="202" hidden="1"/>
    <col min="7685" max="7685" width="41.88671875" style="202" hidden="1"/>
    <col min="7686" max="7686" width="2.44140625" style="202" hidden="1"/>
    <col min="7687" max="7936" width="9.109375" style="202" hidden="1"/>
    <col min="7937" max="7937" width="4" style="202" hidden="1"/>
    <col min="7938" max="7938" width="2.6640625" style="202" hidden="1"/>
    <col min="7939" max="7939" width="35.33203125" style="202" hidden="1"/>
    <col min="7940" max="7940" width="0.5546875" style="202" hidden="1"/>
    <col min="7941" max="7941" width="41.88671875" style="202" hidden="1"/>
    <col min="7942" max="7942" width="2.44140625" style="202" hidden="1"/>
    <col min="7943" max="8192" width="9.109375" style="202" hidden="1"/>
    <col min="8193" max="8193" width="4" style="202" hidden="1"/>
    <col min="8194" max="8194" width="2.6640625" style="202" hidden="1"/>
    <col min="8195" max="8195" width="35.33203125" style="202" hidden="1"/>
    <col min="8196" max="8196" width="0.5546875" style="202" hidden="1"/>
    <col min="8197" max="8197" width="41.88671875" style="202" hidden="1"/>
    <col min="8198" max="8198" width="2.44140625" style="202" hidden="1"/>
    <col min="8199" max="8448" width="9.109375" style="202" hidden="1"/>
    <col min="8449" max="8449" width="4" style="202" hidden="1"/>
    <col min="8450" max="8450" width="2.6640625" style="202" hidden="1"/>
    <col min="8451" max="8451" width="35.33203125" style="202" hidden="1"/>
    <col min="8452" max="8452" width="0.5546875" style="202" hidden="1"/>
    <col min="8453" max="8453" width="41.88671875" style="202" hidden="1"/>
    <col min="8454" max="8454" width="2.44140625" style="202" hidden="1"/>
    <col min="8455" max="8704" width="9.109375" style="202" hidden="1"/>
    <col min="8705" max="8705" width="4" style="202" hidden="1"/>
    <col min="8706" max="8706" width="2.6640625" style="202" hidden="1"/>
    <col min="8707" max="8707" width="35.33203125" style="202" hidden="1"/>
    <col min="8708" max="8708" width="0.5546875" style="202" hidden="1"/>
    <col min="8709" max="8709" width="41.88671875" style="202" hidden="1"/>
    <col min="8710" max="8710" width="2.44140625" style="202" hidden="1"/>
    <col min="8711" max="8960" width="9.109375" style="202" hidden="1"/>
    <col min="8961" max="8961" width="4" style="202" hidden="1"/>
    <col min="8962" max="8962" width="2.6640625" style="202" hidden="1"/>
    <col min="8963" max="8963" width="35.33203125" style="202" hidden="1"/>
    <col min="8964" max="8964" width="0.5546875" style="202" hidden="1"/>
    <col min="8965" max="8965" width="41.88671875" style="202" hidden="1"/>
    <col min="8966" max="8966" width="2.44140625" style="202" hidden="1"/>
    <col min="8967" max="9216" width="9.109375" style="202" hidden="1"/>
    <col min="9217" max="9217" width="4" style="202" hidden="1"/>
    <col min="9218" max="9218" width="2.6640625" style="202" hidden="1"/>
    <col min="9219" max="9219" width="35.33203125" style="202" hidden="1"/>
    <col min="9220" max="9220" width="0.5546875" style="202" hidden="1"/>
    <col min="9221" max="9221" width="41.88671875" style="202" hidden="1"/>
    <col min="9222" max="9222" width="2.44140625" style="202" hidden="1"/>
    <col min="9223" max="9472" width="9.109375" style="202" hidden="1"/>
    <col min="9473" max="9473" width="4" style="202" hidden="1"/>
    <col min="9474" max="9474" width="2.6640625" style="202" hidden="1"/>
    <col min="9475" max="9475" width="35.33203125" style="202" hidden="1"/>
    <col min="9476" max="9476" width="0.5546875" style="202" hidden="1"/>
    <col min="9477" max="9477" width="41.88671875" style="202" hidden="1"/>
    <col min="9478" max="9478" width="2.44140625" style="202" hidden="1"/>
    <col min="9479" max="9728" width="9.109375" style="202" hidden="1"/>
    <col min="9729" max="9729" width="4" style="202" hidden="1"/>
    <col min="9730" max="9730" width="2.6640625" style="202" hidden="1"/>
    <col min="9731" max="9731" width="35.33203125" style="202" hidden="1"/>
    <col min="9732" max="9732" width="0.5546875" style="202" hidden="1"/>
    <col min="9733" max="9733" width="41.88671875" style="202" hidden="1"/>
    <col min="9734" max="9734" width="2.44140625" style="202" hidden="1"/>
    <col min="9735" max="9984" width="9.109375" style="202" hidden="1"/>
    <col min="9985" max="9985" width="4" style="202" hidden="1"/>
    <col min="9986" max="9986" width="2.6640625" style="202" hidden="1"/>
    <col min="9987" max="9987" width="35.33203125" style="202" hidden="1"/>
    <col min="9988" max="9988" width="0.5546875" style="202" hidden="1"/>
    <col min="9989" max="9989" width="41.88671875" style="202" hidden="1"/>
    <col min="9990" max="9990" width="2.44140625" style="202" hidden="1"/>
    <col min="9991" max="10240" width="9.109375" style="202" hidden="1"/>
    <col min="10241" max="10241" width="4" style="202" hidden="1"/>
    <col min="10242" max="10242" width="2.6640625" style="202" hidden="1"/>
    <col min="10243" max="10243" width="35.33203125" style="202" hidden="1"/>
    <col min="10244" max="10244" width="0.5546875" style="202" hidden="1"/>
    <col min="10245" max="10245" width="41.88671875" style="202" hidden="1"/>
    <col min="10246" max="10246" width="2.44140625" style="202" hidden="1"/>
    <col min="10247" max="10496" width="9.109375" style="202" hidden="1"/>
    <col min="10497" max="10497" width="4" style="202" hidden="1"/>
    <col min="10498" max="10498" width="2.6640625" style="202" hidden="1"/>
    <col min="10499" max="10499" width="35.33203125" style="202" hidden="1"/>
    <col min="10500" max="10500" width="0.5546875" style="202" hidden="1"/>
    <col min="10501" max="10501" width="41.88671875" style="202" hidden="1"/>
    <col min="10502" max="10502" width="2.44140625" style="202" hidden="1"/>
    <col min="10503" max="10752" width="9.109375" style="202" hidden="1"/>
    <col min="10753" max="10753" width="4" style="202" hidden="1"/>
    <col min="10754" max="10754" width="2.6640625" style="202" hidden="1"/>
    <col min="10755" max="10755" width="35.33203125" style="202" hidden="1"/>
    <col min="10756" max="10756" width="0.5546875" style="202" hidden="1"/>
    <col min="10757" max="10757" width="41.88671875" style="202" hidden="1"/>
    <col min="10758" max="10758" width="2.44140625" style="202" hidden="1"/>
    <col min="10759" max="11008" width="9.109375" style="202" hidden="1"/>
    <col min="11009" max="11009" width="4" style="202" hidden="1"/>
    <col min="11010" max="11010" width="2.6640625" style="202" hidden="1"/>
    <col min="11011" max="11011" width="35.33203125" style="202" hidden="1"/>
    <col min="11012" max="11012" width="0.5546875" style="202" hidden="1"/>
    <col min="11013" max="11013" width="41.88671875" style="202" hidden="1"/>
    <col min="11014" max="11014" width="2.44140625" style="202" hidden="1"/>
    <col min="11015" max="11264" width="9.109375" style="202" hidden="1"/>
    <col min="11265" max="11265" width="4" style="202" hidden="1"/>
    <col min="11266" max="11266" width="2.6640625" style="202" hidden="1"/>
    <col min="11267" max="11267" width="35.33203125" style="202" hidden="1"/>
    <col min="11268" max="11268" width="0.5546875" style="202" hidden="1"/>
    <col min="11269" max="11269" width="41.88671875" style="202" hidden="1"/>
    <col min="11270" max="11270" width="2.44140625" style="202" hidden="1"/>
    <col min="11271" max="11520" width="9.109375" style="202" hidden="1"/>
    <col min="11521" max="11521" width="4" style="202" hidden="1"/>
    <col min="11522" max="11522" width="2.6640625" style="202" hidden="1"/>
    <col min="11523" max="11523" width="35.33203125" style="202" hidden="1"/>
    <col min="11524" max="11524" width="0.5546875" style="202" hidden="1"/>
    <col min="11525" max="11525" width="41.88671875" style="202" hidden="1"/>
    <col min="11526" max="11526" width="2.44140625" style="202" hidden="1"/>
    <col min="11527" max="11776" width="9.109375" style="202" hidden="1"/>
    <col min="11777" max="11777" width="4" style="202" hidden="1"/>
    <col min="11778" max="11778" width="2.6640625" style="202" hidden="1"/>
    <col min="11779" max="11779" width="35.33203125" style="202" hidden="1"/>
    <col min="11780" max="11780" width="0.5546875" style="202" hidden="1"/>
    <col min="11781" max="11781" width="41.88671875" style="202" hidden="1"/>
    <col min="11782" max="11782" width="2.44140625" style="202" hidden="1"/>
    <col min="11783" max="12032" width="9.109375" style="202" hidden="1"/>
    <col min="12033" max="12033" width="4" style="202" hidden="1"/>
    <col min="12034" max="12034" width="2.6640625" style="202" hidden="1"/>
    <col min="12035" max="12035" width="35.33203125" style="202" hidden="1"/>
    <col min="12036" max="12036" width="0.5546875" style="202" hidden="1"/>
    <col min="12037" max="12037" width="41.88671875" style="202" hidden="1"/>
    <col min="12038" max="12038" width="2.44140625" style="202" hidden="1"/>
    <col min="12039" max="12288" width="9.109375" style="202" hidden="1"/>
    <col min="12289" max="12289" width="4" style="202" hidden="1"/>
    <col min="12290" max="12290" width="2.6640625" style="202" hidden="1"/>
    <col min="12291" max="12291" width="35.33203125" style="202" hidden="1"/>
    <col min="12292" max="12292" width="0.5546875" style="202" hidden="1"/>
    <col min="12293" max="12293" width="41.88671875" style="202" hidden="1"/>
    <col min="12294" max="12294" width="2.44140625" style="202" hidden="1"/>
    <col min="12295" max="12544" width="9.109375" style="202" hidden="1"/>
    <col min="12545" max="12545" width="4" style="202" hidden="1"/>
    <col min="12546" max="12546" width="2.6640625" style="202" hidden="1"/>
    <col min="12547" max="12547" width="35.33203125" style="202" hidden="1"/>
    <col min="12548" max="12548" width="0.5546875" style="202" hidden="1"/>
    <col min="12549" max="12549" width="41.88671875" style="202" hidden="1"/>
    <col min="12550" max="12550" width="2.44140625" style="202" hidden="1"/>
    <col min="12551" max="12800" width="9.109375" style="202" hidden="1"/>
    <col min="12801" max="12801" width="4" style="202" hidden="1"/>
    <col min="12802" max="12802" width="2.6640625" style="202" hidden="1"/>
    <col min="12803" max="12803" width="35.33203125" style="202" hidden="1"/>
    <col min="12804" max="12804" width="0.5546875" style="202" hidden="1"/>
    <col min="12805" max="12805" width="41.88671875" style="202" hidden="1"/>
    <col min="12806" max="12806" width="2.44140625" style="202" hidden="1"/>
    <col min="12807" max="13056" width="9.109375" style="202" hidden="1"/>
    <col min="13057" max="13057" width="4" style="202" hidden="1"/>
    <col min="13058" max="13058" width="2.6640625" style="202" hidden="1"/>
    <col min="13059" max="13059" width="35.33203125" style="202" hidden="1"/>
    <col min="13060" max="13060" width="0.5546875" style="202" hidden="1"/>
    <col min="13061" max="13061" width="41.88671875" style="202" hidden="1"/>
    <col min="13062" max="13062" width="2.44140625" style="202" hidden="1"/>
    <col min="13063" max="13312" width="9.109375" style="202" hidden="1"/>
    <col min="13313" max="13313" width="4" style="202" hidden="1"/>
    <col min="13314" max="13314" width="2.6640625" style="202" hidden="1"/>
    <col min="13315" max="13315" width="35.33203125" style="202" hidden="1"/>
    <col min="13316" max="13316" width="0.5546875" style="202" hidden="1"/>
    <col min="13317" max="13317" width="41.88671875" style="202" hidden="1"/>
    <col min="13318" max="13318" width="2.44140625" style="202" hidden="1"/>
    <col min="13319" max="13568" width="9.109375" style="202" hidden="1"/>
    <col min="13569" max="13569" width="4" style="202" hidden="1"/>
    <col min="13570" max="13570" width="2.6640625" style="202" hidden="1"/>
    <col min="13571" max="13571" width="35.33203125" style="202" hidden="1"/>
    <col min="13572" max="13572" width="0.5546875" style="202" hidden="1"/>
    <col min="13573" max="13573" width="41.88671875" style="202" hidden="1"/>
    <col min="13574" max="13574" width="2.44140625" style="202" hidden="1"/>
    <col min="13575" max="13824" width="9.109375" style="202" hidden="1"/>
    <col min="13825" max="13825" width="4" style="202" hidden="1"/>
    <col min="13826" max="13826" width="2.6640625" style="202" hidden="1"/>
    <col min="13827" max="13827" width="35.33203125" style="202" hidden="1"/>
    <col min="13828" max="13828" width="0.5546875" style="202" hidden="1"/>
    <col min="13829" max="13829" width="41.88671875" style="202" hidden="1"/>
    <col min="13830" max="13830" width="2.44140625" style="202" hidden="1"/>
    <col min="13831" max="14080" width="9.109375" style="202" hidden="1"/>
    <col min="14081" max="14081" width="4" style="202" hidden="1"/>
    <col min="14082" max="14082" width="2.6640625" style="202" hidden="1"/>
    <col min="14083" max="14083" width="35.33203125" style="202" hidden="1"/>
    <col min="14084" max="14084" width="0.5546875" style="202" hidden="1"/>
    <col min="14085" max="14085" width="41.88671875" style="202" hidden="1"/>
    <col min="14086" max="14086" width="2.44140625" style="202" hidden="1"/>
    <col min="14087" max="14336" width="9.109375" style="202" hidden="1"/>
    <col min="14337" max="14337" width="4" style="202" hidden="1"/>
    <col min="14338" max="14338" width="2.6640625" style="202" hidden="1"/>
    <col min="14339" max="14339" width="35.33203125" style="202" hidden="1"/>
    <col min="14340" max="14340" width="0.5546875" style="202" hidden="1"/>
    <col min="14341" max="14341" width="41.88671875" style="202" hidden="1"/>
    <col min="14342" max="14342" width="2.44140625" style="202" hidden="1"/>
    <col min="14343" max="14592" width="9.109375" style="202" hidden="1"/>
    <col min="14593" max="14593" width="4" style="202" hidden="1"/>
    <col min="14594" max="14594" width="2.6640625" style="202" hidden="1"/>
    <col min="14595" max="14595" width="35.33203125" style="202" hidden="1"/>
    <col min="14596" max="14596" width="0.5546875" style="202" hidden="1"/>
    <col min="14597" max="14597" width="41.88671875" style="202" hidden="1"/>
    <col min="14598" max="14598" width="2.44140625" style="202" hidden="1"/>
    <col min="14599" max="14848" width="9.109375" style="202" hidden="1"/>
    <col min="14849" max="14849" width="4" style="202" hidden="1"/>
    <col min="14850" max="14850" width="2.6640625" style="202" hidden="1"/>
    <col min="14851" max="14851" width="35.33203125" style="202" hidden="1"/>
    <col min="14852" max="14852" width="0.5546875" style="202" hidden="1"/>
    <col min="14853" max="14853" width="41.88671875" style="202" hidden="1"/>
    <col min="14854" max="14854" width="2.44140625" style="202" hidden="1"/>
    <col min="14855" max="15104" width="9.109375" style="202" hidden="1"/>
    <col min="15105" max="15105" width="4" style="202" hidden="1"/>
    <col min="15106" max="15106" width="2.6640625" style="202" hidden="1"/>
    <col min="15107" max="15107" width="35.33203125" style="202" hidden="1"/>
    <col min="15108" max="15108" width="0.5546875" style="202" hidden="1"/>
    <col min="15109" max="15109" width="41.88671875" style="202" hidden="1"/>
    <col min="15110" max="15110" width="2.44140625" style="202" hidden="1"/>
    <col min="15111" max="15360" width="9.109375" style="202" hidden="1"/>
    <col min="15361" max="15361" width="4" style="202" hidden="1"/>
    <col min="15362" max="15362" width="2.6640625" style="202" hidden="1"/>
    <col min="15363" max="15363" width="35.33203125" style="202" hidden="1"/>
    <col min="15364" max="15364" width="0.5546875" style="202" hidden="1"/>
    <col min="15365" max="15365" width="41.88671875" style="202" hidden="1"/>
    <col min="15366" max="15366" width="2.44140625" style="202" hidden="1"/>
    <col min="15367" max="15616" width="9.109375" style="202" hidden="1"/>
    <col min="15617" max="15617" width="4" style="202" hidden="1"/>
    <col min="15618" max="15618" width="2.6640625" style="202" hidden="1"/>
    <col min="15619" max="15619" width="35.33203125" style="202" hidden="1"/>
    <col min="15620" max="15620" width="0.5546875" style="202" hidden="1"/>
    <col min="15621" max="15621" width="41.88671875" style="202" hidden="1"/>
    <col min="15622" max="15622" width="2.44140625" style="202" hidden="1"/>
    <col min="15623" max="15872" width="9.109375" style="202" hidden="1"/>
    <col min="15873" max="15873" width="4" style="202" hidden="1"/>
    <col min="15874" max="15874" width="2.6640625" style="202" hidden="1"/>
    <col min="15875" max="15875" width="35.33203125" style="202" hidden="1"/>
    <col min="15876" max="15876" width="0.5546875" style="202" hidden="1"/>
    <col min="15877" max="15877" width="41.88671875" style="202" hidden="1"/>
    <col min="15878" max="15878" width="2.44140625" style="202" hidden="1"/>
    <col min="15879" max="16128" width="9.109375" style="202" hidden="1"/>
    <col min="16129" max="16129" width="4" style="202" hidden="1"/>
    <col min="16130" max="16130" width="2.6640625" style="202" hidden="1"/>
    <col min="16131" max="16131" width="35.33203125" style="202" hidden="1"/>
    <col min="16132" max="16132" width="0.5546875" style="202" hidden="1"/>
    <col min="16133" max="16133" width="41.88671875" style="202" hidden="1"/>
    <col min="16134" max="16134" width="2.44140625" style="202" hidden="1"/>
    <col min="16135" max="16384" width="9.109375" style="202" hidden="1"/>
  </cols>
  <sheetData>
    <row r="1" spans="1:6" x14ac:dyDescent="0.25">
      <c r="A1" s="228"/>
      <c r="B1" s="229"/>
      <c r="C1" s="229"/>
      <c r="D1" s="229"/>
      <c r="E1" s="230" t="s">
        <v>452</v>
      </c>
      <c r="F1" s="231"/>
    </row>
    <row r="2" spans="1:6" x14ac:dyDescent="0.25">
      <c r="A2" s="232"/>
      <c r="B2" s="222"/>
      <c r="C2" s="222"/>
      <c r="D2" s="233" t="s">
        <v>453</v>
      </c>
      <c r="E2" s="222"/>
      <c r="F2" s="221"/>
    </row>
    <row r="3" spans="1:6" x14ac:dyDescent="0.25">
      <c r="A3" s="232"/>
      <c r="B3" s="222"/>
      <c r="C3" s="222"/>
      <c r="D3" s="233" t="s">
        <v>454</v>
      </c>
      <c r="E3" s="222"/>
      <c r="F3" s="221"/>
    </row>
    <row r="4" spans="1:6" ht="9.9" customHeight="1" x14ac:dyDescent="0.25">
      <c r="A4" s="232"/>
      <c r="B4" s="222"/>
      <c r="C4" s="222"/>
      <c r="D4" s="222"/>
      <c r="E4" s="222"/>
      <c r="F4" s="221"/>
    </row>
    <row r="5" spans="1:6" x14ac:dyDescent="0.25">
      <c r="A5" s="232"/>
      <c r="B5" s="222"/>
      <c r="C5" s="222"/>
      <c r="D5" s="233" t="s">
        <v>455</v>
      </c>
      <c r="E5" s="222"/>
      <c r="F5" s="221"/>
    </row>
    <row r="6" spans="1:6" ht="9.9" customHeight="1" x14ac:dyDescent="0.25">
      <c r="A6" s="232"/>
      <c r="B6" s="222"/>
      <c r="C6" s="222"/>
      <c r="D6" s="222"/>
      <c r="E6" s="222"/>
      <c r="F6" s="221"/>
    </row>
    <row r="7" spans="1:6" x14ac:dyDescent="0.25">
      <c r="A7" s="232">
        <v>1</v>
      </c>
      <c r="B7" s="222"/>
      <c r="C7" s="221" t="s">
        <v>456</v>
      </c>
      <c r="D7" s="222"/>
      <c r="E7" s="222"/>
      <c r="F7" s="221"/>
    </row>
    <row r="8" spans="1:6" x14ac:dyDescent="0.25">
      <c r="A8" s="232"/>
      <c r="B8" s="222"/>
      <c r="C8" s="221"/>
      <c r="D8" s="222"/>
      <c r="E8" s="222"/>
      <c r="F8" s="221"/>
    </row>
    <row r="9" spans="1:6" x14ac:dyDescent="0.25">
      <c r="A9" s="232"/>
      <c r="B9" s="222"/>
      <c r="C9" s="221"/>
      <c r="D9" s="222"/>
      <c r="E9" s="222"/>
      <c r="F9" s="221"/>
    </row>
    <row r="10" spans="1:6" x14ac:dyDescent="0.25">
      <c r="A10" s="232"/>
      <c r="B10" s="222"/>
      <c r="C10" s="221"/>
      <c r="D10" s="222"/>
      <c r="E10" s="222"/>
      <c r="F10" s="221"/>
    </row>
    <row r="11" spans="1:6" ht="9.9" customHeight="1" x14ac:dyDescent="0.25">
      <c r="A11" s="234"/>
      <c r="B11" s="223"/>
      <c r="C11" s="224"/>
      <c r="D11" s="223"/>
      <c r="E11" s="223"/>
      <c r="F11" s="221"/>
    </row>
    <row r="12" spans="1:6" ht="9.9" customHeight="1" x14ac:dyDescent="0.25">
      <c r="A12" s="232"/>
      <c r="B12" s="222"/>
      <c r="C12" s="221"/>
      <c r="D12" s="222"/>
      <c r="E12" s="229"/>
      <c r="F12" s="221"/>
    </row>
    <row r="13" spans="1:6" ht="63.75" customHeight="1" x14ac:dyDescent="0.25">
      <c r="A13" s="242">
        <v>2</v>
      </c>
      <c r="B13" s="243"/>
      <c r="C13" s="244" t="s">
        <v>457</v>
      </c>
      <c r="D13" s="243"/>
      <c r="E13" s="245" t="s">
        <v>458</v>
      </c>
      <c r="F13" s="221"/>
    </row>
    <row r="14" spans="1:6" ht="9.9" customHeight="1" x14ac:dyDescent="0.25">
      <c r="A14" s="234"/>
      <c r="B14" s="223"/>
      <c r="C14" s="224"/>
      <c r="D14" s="223"/>
      <c r="E14" s="223"/>
      <c r="F14" s="221"/>
    </row>
    <row r="15" spans="1:6" x14ac:dyDescent="0.25">
      <c r="A15" s="232">
        <v>3</v>
      </c>
      <c r="B15" s="222"/>
      <c r="C15" s="221" t="s">
        <v>459</v>
      </c>
      <c r="D15" s="222"/>
      <c r="E15" s="235" t="str">
        <f>IF(E_Name=0," ",E_Name)</f>
        <v>Gaurav  Singh</v>
      </c>
      <c r="F15" s="221"/>
    </row>
    <row r="16" spans="1:6" ht="9.9" customHeight="1" x14ac:dyDescent="0.25">
      <c r="A16" s="234"/>
      <c r="B16" s="223"/>
      <c r="C16" s="224"/>
      <c r="D16" s="223"/>
      <c r="E16" s="222"/>
      <c r="F16" s="221"/>
    </row>
    <row r="17" spans="1:6" ht="24" customHeight="1" x14ac:dyDescent="0.25">
      <c r="A17" s="232">
        <v>4</v>
      </c>
      <c r="B17" s="222"/>
      <c r="C17" s="221" t="s">
        <v>460</v>
      </c>
      <c r="D17" s="222"/>
      <c r="E17" s="256" t="str">
        <f>IF(('Personal Information'!$D$43&amp;'Personal Information'!$D$44&amp;'Personal Information'!$D$45)=0,"",'Personal Information'!$D$43&amp;" "&amp;'Personal Information'!$D$44)</f>
        <v>Flat 201 Sree Hanuma's Srivatsa Residency Serilinghampally</v>
      </c>
      <c r="F17" s="221"/>
    </row>
    <row r="18" spans="1:6" ht="24" customHeight="1" x14ac:dyDescent="0.25">
      <c r="A18" s="232"/>
      <c r="B18" s="222"/>
      <c r="C18" s="221"/>
      <c r="D18" s="222"/>
      <c r="E18" s="257" t="str">
        <f>IF('Personal Information'!$D$45=0,"",'Personal Information'!$D$45)</f>
        <v/>
      </c>
      <c r="F18" s="221"/>
    </row>
    <row r="19" spans="1:6" ht="24" customHeight="1" x14ac:dyDescent="0.25">
      <c r="A19" s="232"/>
      <c r="B19" s="222"/>
      <c r="C19" s="221"/>
      <c r="D19" s="222"/>
      <c r="E19" s="257" t="str">
        <f>IF('Personal Information'!$D$46=0,"",'Personal Information'!$D$46&amp;" - "&amp;'Personal Information'!$D$48)</f>
        <v>Hyderabad - 500019</v>
      </c>
      <c r="F19" s="221"/>
    </row>
    <row r="20" spans="1:6" ht="21.9" customHeight="1" x14ac:dyDescent="0.25">
      <c r="A20" s="232"/>
      <c r="B20" s="222"/>
      <c r="C20" s="221"/>
      <c r="D20" s="222"/>
      <c r="E20" s="257" t="str">
        <f>IF('Personal Information'!$D$47=0,"",'Personal Information'!$D$47)</f>
        <v>Telangana</v>
      </c>
      <c r="F20" s="221"/>
    </row>
    <row r="21" spans="1:6" ht="9.9" customHeight="1" x14ac:dyDescent="0.25">
      <c r="A21" s="234"/>
      <c r="B21" s="223"/>
      <c r="C21" s="224"/>
      <c r="D21" s="223"/>
      <c r="E21" s="239"/>
      <c r="F21" s="221"/>
    </row>
    <row r="22" spans="1:6" ht="24" customHeight="1" x14ac:dyDescent="0.25">
      <c r="A22" s="232">
        <v>5</v>
      </c>
      <c r="B22" s="222"/>
      <c r="C22" s="221" t="s">
        <v>461</v>
      </c>
      <c r="D22" s="222"/>
      <c r="E22" s="257" t="str">
        <f>IF(('Personal Information'!$H$43&amp;'Personal Information'!$H$44&amp;'Personal Information'!$H$45)=0,"",'Personal Information'!$H$43&amp;" "&amp;'Personal Information'!$H$44)</f>
        <v>FDH 133 ANNPURNAPARA KANKER</v>
      </c>
      <c r="F22" s="221"/>
    </row>
    <row r="23" spans="1:6" ht="24" customHeight="1" x14ac:dyDescent="0.25">
      <c r="A23" s="232"/>
      <c r="B23" s="222"/>
      <c r="C23" s="221"/>
      <c r="D23" s="222"/>
      <c r="E23" s="257" t="str">
        <f>IF('Personal Information'!$H$45=0,"",'Personal Information'!$H$45)</f>
        <v/>
      </c>
      <c r="F23" s="221"/>
    </row>
    <row r="24" spans="1:6" ht="24" customHeight="1" x14ac:dyDescent="0.25">
      <c r="A24" s="232"/>
      <c r="B24" s="222"/>
      <c r="C24" s="221"/>
      <c r="D24" s="222"/>
      <c r="E24" s="257" t="str">
        <f>IF('Personal Information'!$H$46=0,"",'Personal Information'!$H$46&amp;" - "&amp;'Personal Information'!$H$48)</f>
        <v>KANKER - 494334</v>
      </c>
      <c r="F24" s="221"/>
    </row>
    <row r="25" spans="1:6" ht="21.9" customHeight="1" x14ac:dyDescent="0.25">
      <c r="A25" s="232"/>
      <c r="B25" s="222"/>
      <c r="C25" s="221"/>
      <c r="D25" s="222"/>
      <c r="E25" s="257" t="str">
        <f>IF('Personal Information'!$H$47=0,"",'Personal Information'!$H$47)</f>
        <v>CHHATTISGARH</v>
      </c>
      <c r="F25" s="221"/>
    </row>
    <row r="26" spans="1:6" ht="9.9" customHeight="1" x14ac:dyDescent="0.25">
      <c r="A26" s="234"/>
      <c r="B26" s="223"/>
      <c r="C26" s="224"/>
      <c r="D26" s="223"/>
      <c r="E26" s="239"/>
      <c r="F26" s="221"/>
    </row>
    <row r="27" spans="1:6" s="247" customFormat="1" ht="18" customHeight="1" x14ac:dyDescent="0.3">
      <c r="A27" s="248">
        <v>6</v>
      </c>
      <c r="B27" s="249"/>
      <c r="C27" s="250" t="s">
        <v>462</v>
      </c>
      <c r="D27" s="249"/>
      <c r="E27" s="251" t="str">
        <f>IF('Personal Information'!D16=0," ",'Personal Information'!D16)</f>
        <v>Siyaram Singh</v>
      </c>
      <c r="F27" s="246"/>
    </row>
    <row r="28" spans="1:6" s="247" customFormat="1" ht="18" customHeight="1" x14ac:dyDescent="0.3">
      <c r="A28" s="248">
        <v>7</v>
      </c>
      <c r="B28" s="249"/>
      <c r="C28" s="250" t="s">
        <v>8</v>
      </c>
      <c r="D28" s="249"/>
      <c r="E28" s="252">
        <f>IF(DOB=0,"",DOB)</f>
        <v>34101</v>
      </c>
      <c r="F28" s="246"/>
    </row>
    <row r="29" spans="1:6" s="247" customFormat="1" ht="18" customHeight="1" x14ac:dyDescent="0.3">
      <c r="A29" s="248">
        <v>8</v>
      </c>
      <c r="B29" s="249"/>
      <c r="C29" s="250" t="s">
        <v>463</v>
      </c>
      <c r="D29" s="249"/>
      <c r="E29" s="253" t="str">
        <f>IF(DOJ=0,"",DOJ)</f>
        <v/>
      </c>
      <c r="F29" s="246"/>
    </row>
    <row r="30" spans="1:6" s="247" customFormat="1" ht="18" customHeight="1" x14ac:dyDescent="0.3">
      <c r="A30" s="248">
        <v>9</v>
      </c>
      <c r="B30" s="249"/>
      <c r="C30" s="250" t="s">
        <v>23</v>
      </c>
      <c r="D30" s="249"/>
      <c r="E30" s="253" t="str">
        <f>IF('Personal Information'!D22=0,"",'Personal Information'!D22)</f>
        <v/>
      </c>
      <c r="F30" s="246"/>
    </row>
    <row r="31" spans="1:6" s="247" customFormat="1" ht="18" customHeight="1" x14ac:dyDescent="0.3">
      <c r="A31" s="248">
        <v>10</v>
      </c>
      <c r="B31" s="249"/>
      <c r="C31" s="250" t="s">
        <v>464</v>
      </c>
      <c r="D31" s="249"/>
      <c r="E31" s="254" t="str">
        <f>IF('Admin Form'!D14=0,"",'Admin Form'!D14)</f>
        <v/>
      </c>
      <c r="F31" s="246"/>
    </row>
    <row r="32" spans="1:6" ht="32.25" customHeight="1" x14ac:dyDescent="0.25">
      <c r="A32" s="248">
        <v>11</v>
      </c>
      <c r="B32" s="249"/>
      <c r="C32" s="255" t="s">
        <v>465</v>
      </c>
      <c r="D32" s="249"/>
      <c r="E32" s="260" t="str">
        <f>IF(Empl_No=0,"",Empl_No)</f>
        <v/>
      </c>
      <c r="F32" s="221"/>
    </row>
    <row r="33" spans="1:6" x14ac:dyDescent="0.25">
      <c r="A33" s="232">
        <v>13</v>
      </c>
      <c r="B33" s="222"/>
      <c r="C33" s="221" t="s">
        <v>466</v>
      </c>
      <c r="D33" s="222"/>
      <c r="E33" s="222"/>
      <c r="F33" s="221"/>
    </row>
    <row r="34" spans="1:6" x14ac:dyDescent="0.25">
      <c r="A34" s="232"/>
      <c r="B34" s="222" t="s">
        <v>467</v>
      </c>
      <c r="C34" s="225" t="s">
        <v>468</v>
      </c>
      <c r="D34" s="222"/>
      <c r="E34" s="236"/>
      <c r="F34" s="221"/>
    </row>
    <row r="35" spans="1:6" x14ac:dyDescent="0.25">
      <c r="A35" s="232"/>
      <c r="B35" s="222" t="s">
        <v>469</v>
      </c>
      <c r="C35" s="225" t="s">
        <v>470</v>
      </c>
      <c r="D35" s="222"/>
      <c r="E35" s="236" t="s">
        <v>471</v>
      </c>
      <c r="F35" s="221"/>
    </row>
    <row r="36" spans="1:6" x14ac:dyDescent="0.25">
      <c r="A36" s="232"/>
      <c r="B36" s="222" t="s">
        <v>472</v>
      </c>
      <c r="C36" s="225" t="s">
        <v>473</v>
      </c>
      <c r="D36" s="222"/>
      <c r="E36" s="236"/>
      <c r="F36" s="221"/>
    </row>
    <row r="37" spans="1:6" x14ac:dyDescent="0.25">
      <c r="A37" s="234"/>
      <c r="B37" s="223"/>
      <c r="C37" s="226" t="s">
        <v>474</v>
      </c>
      <c r="D37" s="223"/>
      <c r="E37" s="227"/>
      <c r="F37" s="221"/>
    </row>
    <row r="38" spans="1:6" x14ac:dyDescent="0.25">
      <c r="A38" s="232"/>
      <c r="B38" s="222"/>
      <c r="C38" s="222"/>
      <c r="D38" s="222"/>
      <c r="E38" s="222"/>
      <c r="F38" s="221"/>
    </row>
    <row r="39" spans="1:6" x14ac:dyDescent="0.25">
      <c r="A39" s="232" t="s">
        <v>475</v>
      </c>
      <c r="B39" s="222"/>
      <c r="C39" s="222" t="s">
        <v>101</v>
      </c>
      <c r="D39" s="222"/>
      <c r="E39" s="222"/>
      <c r="F39" s="221"/>
    </row>
    <row r="40" spans="1:6" ht="21.75" customHeight="1" x14ac:dyDescent="0.25">
      <c r="A40" s="232" t="s">
        <v>405</v>
      </c>
      <c r="B40" s="222"/>
      <c r="C40" s="237" t="str">
        <f>E29</f>
        <v/>
      </c>
      <c r="D40" s="222"/>
      <c r="E40" s="222"/>
      <c r="F40" s="221"/>
    </row>
    <row r="41" spans="1:6" x14ac:dyDescent="0.25">
      <c r="A41" s="232"/>
      <c r="B41" s="222"/>
      <c r="C41" s="222"/>
      <c r="D41" s="222"/>
      <c r="E41" s="222"/>
      <c r="F41" s="221"/>
    </row>
    <row r="42" spans="1:6" x14ac:dyDescent="0.25">
      <c r="A42" s="232"/>
      <c r="B42" s="222"/>
      <c r="C42" s="222"/>
      <c r="D42" s="222"/>
      <c r="E42" s="222" t="s">
        <v>448</v>
      </c>
      <c r="F42" s="221"/>
    </row>
    <row r="43" spans="1:6" x14ac:dyDescent="0.25">
      <c r="A43" s="232"/>
      <c r="B43" s="222"/>
      <c r="C43" s="222"/>
      <c r="D43" s="222"/>
      <c r="E43" s="238"/>
      <c r="F43" s="221"/>
    </row>
    <row r="44" spans="1:6" x14ac:dyDescent="0.25">
      <c r="A44" s="232"/>
      <c r="B44" s="222"/>
      <c r="C44" s="222"/>
      <c r="D44" s="222"/>
      <c r="E44" s="222"/>
      <c r="F44" s="221"/>
    </row>
    <row r="45" spans="1:6" x14ac:dyDescent="0.25">
      <c r="A45" s="232"/>
      <c r="B45" s="222"/>
      <c r="C45" s="222"/>
      <c r="D45" s="222"/>
      <c r="E45" s="222"/>
      <c r="F45" s="221"/>
    </row>
    <row r="46" spans="1:6" x14ac:dyDescent="0.25">
      <c r="A46" s="232"/>
      <c r="B46" s="222"/>
      <c r="C46" s="222"/>
      <c r="D46" s="222"/>
      <c r="E46" s="222" t="s">
        <v>376</v>
      </c>
      <c r="F46" s="221"/>
    </row>
    <row r="47" spans="1:6" x14ac:dyDescent="0.25">
      <c r="A47" s="232"/>
      <c r="B47" s="222"/>
      <c r="C47" s="222"/>
      <c r="D47" s="222"/>
      <c r="E47" s="222" t="s">
        <v>449</v>
      </c>
      <c r="F47" s="221"/>
    </row>
    <row r="48" spans="1:6" x14ac:dyDescent="0.25">
      <c r="A48" s="232"/>
      <c r="B48" s="222"/>
      <c r="C48" s="222"/>
      <c r="D48" s="222"/>
      <c r="E48" s="261" t="s">
        <v>450</v>
      </c>
      <c r="F48" s="221"/>
    </row>
    <row r="49" spans="1:6" ht="26.4" x14ac:dyDescent="0.25">
      <c r="A49" s="234"/>
      <c r="B49" s="223"/>
      <c r="C49" s="239" t="s">
        <v>476</v>
      </c>
      <c r="D49" s="223"/>
      <c r="E49" s="532" t="s">
        <v>477</v>
      </c>
      <c r="F49" s="224"/>
    </row>
    <row r="50" spans="1:6" x14ac:dyDescent="0.25"/>
  </sheetData>
  <pageMargins left="0.7" right="0.7" top="0.75" bottom="0.75" header="0.3" footer="0.3"/>
  <pageSetup scale="88" orientation="portrait" r:id="rId1"/>
  <headerFooter>
    <oddHeader xml:space="preserve">&amp;L -   </oddHeader>
    <oddFooter>&amp;CPage &amp;P - &amp;N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L63"/>
  <sheetViews>
    <sheetView showGridLines="0" zoomScaleNormal="100" zoomScaleSheetLayoutView="100" workbookViewId="0">
      <selection activeCell="F56" sqref="F56"/>
    </sheetView>
  </sheetViews>
  <sheetFormatPr defaultColWidth="0" defaultRowHeight="13.8" zeroHeight="1" x14ac:dyDescent="0.25"/>
  <cols>
    <col min="1" max="1" width="0.5546875" style="694" customWidth="1"/>
    <col min="2" max="2" width="5.88671875" style="694" customWidth="1"/>
    <col min="3" max="3" width="25.33203125" style="694" customWidth="1"/>
    <col min="4" max="4" width="8.44140625" style="694" customWidth="1"/>
    <col min="5" max="5" width="20" style="694" customWidth="1"/>
    <col min="6" max="6" width="22.33203125" style="694" bestFit="1" customWidth="1"/>
    <col min="7" max="7" width="13.44140625" style="694" customWidth="1"/>
    <col min="8" max="8" width="17.109375" style="694" customWidth="1"/>
    <col min="9" max="9" width="25.109375" style="694" customWidth="1"/>
    <col min="10" max="10" width="2.5546875" style="704" customWidth="1"/>
    <col min="11" max="11" width="2.33203125" style="694" customWidth="1"/>
    <col min="12" max="12" width="2.33203125" style="694" hidden="1" customWidth="1"/>
    <col min="13" max="16384" width="9.109375" style="694" hidden="1"/>
  </cols>
  <sheetData>
    <row r="1" spans="1:12" ht="38.25" customHeight="1" x14ac:dyDescent="0.25">
      <c r="A1" s="711"/>
      <c r="B1" s="693"/>
      <c r="C1" s="677"/>
      <c r="D1" s="677"/>
      <c r="E1" s="677"/>
      <c r="F1" s="677"/>
      <c r="G1" s="989" t="s">
        <v>652</v>
      </c>
      <c r="H1" s="989"/>
      <c r="I1" s="989"/>
      <c r="J1" s="678"/>
      <c r="K1" s="647"/>
      <c r="L1" s="647"/>
    </row>
    <row r="2" spans="1:12" ht="9.75" customHeight="1" x14ac:dyDescent="0.25">
      <c r="B2" s="681"/>
      <c r="C2" s="657"/>
      <c r="D2" s="657"/>
      <c r="E2" s="657"/>
      <c r="F2" s="657"/>
      <c r="G2" s="658"/>
      <c r="H2" s="658"/>
      <c r="I2" s="658"/>
      <c r="J2" s="679"/>
      <c r="K2" s="647"/>
      <c r="L2" s="647"/>
    </row>
    <row r="3" spans="1:12" ht="24.6" x14ac:dyDescent="0.35">
      <c r="B3" s="680"/>
      <c r="C3" s="650" t="s">
        <v>326</v>
      </c>
      <c r="D3" s="651"/>
      <c r="E3" s="652"/>
      <c r="F3" s="653"/>
      <c r="G3" s="654"/>
      <c r="H3" s="654"/>
      <c r="I3" s="716"/>
      <c r="J3" s="679"/>
      <c r="K3" s="647"/>
      <c r="L3" s="647"/>
    </row>
    <row r="4" spans="1:12" ht="9.75" customHeight="1" x14ac:dyDescent="0.25">
      <c r="B4" s="681"/>
      <c r="C4" s="657"/>
      <c r="D4" s="657"/>
      <c r="E4" s="657"/>
      <c r="F4" s="657"/>
      <c r="G4" s="658"/>
      <c r="H4" s="658"/>
      <c r="I4" s="658"/>
      <c r="J4" s="679"/>
      <c r="K4" s="647"/>
      <c r="L4" s="647"/>
    </row>
    <row r="5" spans="1:12" ht="15" x14ac:dyDescent="0.25">
      <c r="B5" s="681"/>
      <c r="C5" s="655" t="s">
        <v>647</v>
      </c>
      <c r="D5" s="655"/>
      <c r="E5" s="652"/>
      <c r="F5" s="656"/>
      <c r="G5" s="654"/>
      <c r="H5" s="656"/>
      <c r="I5" s="656"/>
      <c r="J5" s="682"/>
      <c r="K5" s="648"/>
      <c r="L5" s="648"/>
    </row>
    <row r="6" spans="1:12" ht="15" x14ac:dyDescent="0.25">
      <c r="B6" s="681"/>
      <c r="C6" s="655" t="s">
        <v>649</v>
      </c>
      <c r="D6" s="655"/>
      <c r="E6" s="652"/>
      <c r="F6" s="656"/>
      <c r="G6" s="654"/>
      <c r="H6" s="656"/>
      <c r="I6" s="656"/>
      <c r="J6" s="682"/>
      <c r="K6" s="648"/>
      <c r="L6" s="648"/>
    </row>
    <row r="7" spans="1:12" ht="15" x14ac:dyDescent="0.25">
      <c r="B7" s="681"/>
      <c r="C7" s="655" t="s">
        <v>650</v>
      </c>
      <c r="D7" s="655"/>
      <c r="E7" s="652"/>
      <c r="F7" s="656"/>
      <c r="G7" s="654"/>
      <c r="H7" s="656"/>
      <c r="I7" s="656"/>
      <c r="J7" s="682"/>
      <c r="K7" s="648"/>
      <c r="L7" s="648"/>
    </row>
    <row r="8" spans="1:12" ht="9.75" customHeight="1" x14ac:dyDescent="0.25">
      <c r="B8" s="681"/>
      <c r="C8" s="657"/>
      <c r="D8" s="657"/>
      <c r="E8" s="657"/>
      <c r="F8" s="657"/>
      <c r="G8" s="658"/>
      <c r="H8" s="658"/>
      <c r="I8" s="658"/>
      <c r="J8" s="679"/>
      <c r="K8" s="647"/>
      <c r="L8" s="647"/>
    </row>
    <row r="9" spans="1:12" ht="24" x14ac:dyDescent="0.25">
      <c r="B9" s="683"/>
      <c r="C9" s="655" t="s">
        <v>651</v>
      </c>
      <c r="D9" s="655"/>
      <c r="E9" s="652"/>
      <c r="F9" s="656"/>
      <c r="G9" s="654"/>
      <c r="H9" s="656"/>
      <c r="I9" s="656"/>
      <c r="J9" s="682"/>
      <c r="K9" s="648"/>
      <c r="L9" s="648"/>
    </row>
    <row r="10" spans="1:12" x14ac:dyDescent="0.25">
      <c r="B10" s="684"/>
      <c r="C10" s="659" t="s">
        <v>653</v>
      </c>
      <c r="D10" s="659"/>
      <c r="E10" s="660"/>
      <c r="F10" s="661"/>
      <c r="G10" s="660"/>
      <c r="H10" s="661"/>
      <c r="I10" s="661"/>
      <c r="J10" s="685"/>
      <c r="K10" s="662"/>
      <c r="L10" s="662"/>
    </row>
    <row r="11" spans="1:12" ht="15" x14ac:dyDescent="0.25">
      <c r="B11" s="681"/>
      <c r="C11" s="655"/>
      <c r="D11" s="655"/>
      <c r="E11" s="652"/>
      <c r="F11" s="656"/>
      <c r="G11" s="654"/>
      <c r="H11" s="656"/>
      <c r="I11" s="656"/>
      <c r="J11" s="686"/>
      <c r="K11" s="649"/>
      <c r="L11" s="649"/>
    </row>
    <row r="12" spans="1:12" s="695" customFormat="1" ht="12.6" x14ac:dyDescent="0.2">
      <c r="B12" s="687" t="s">
        <v>654</v>
      </c>
      <c r="C12" s="990" t="s">
        <v>655</v>
      </c>
      <c r="D12" s="991"/>
      <c r="E12" s="992"/>
      <c r="F12" s="993" t="str">
        <f>IF(Sex="Male","Mr. "&amp;IF(E_Name=0,"",E_Name),"Ms. "&amp;IF(E_Name=0,"",E_Name))</f>
        <v>Mr. Gaurav  Singh</v>
      </c>
      <c r="G12" s="994"/>
      <c r="H12" s="995"/>
      <c r="I12" s="651"/>
      <c r="J12" s="688"/>
      <c r="K12" s="670"/>
      <c r="L12" s="670"/>
    </row>
    <row r="13" spans="1:12" s="695" customFormat="1" ht="9.75" customHeight="1" x14ac:dyDescent="0.2">
      <c r="B13" s="681"/>
      <c r="C13" s="671"/>
      <c r="D13" s="671"/>
      <c r="E13" s="671"/>
      <c r="F13" s="671"/>
      <c r="G13" s="672"/>
      <c r="H13" s="672"/>
      <c r="I13" s="672"/>
      <c r="J13" s="689"/>
      <c r="K13" s="670"/>
      <c r="L13" s="670"/>
    </row>
    <row r="14" spans="1:12" s="695" customFormat="1" ht="12.6" x14ac:dyDescent="0.2">
      <c r="B14" s="687" t="s">
        <v>656</v>
      </c>
      <c r="C14" s="990" t="s">
        <v>657</v>
      </c>
      <c r="D14" s="991"/>
      <c r="E14" s="992"/>
      <c r="F14" s="996">
        <f>IF(DOB=0,"",DOB)</f>
        <v>34101</v>
      </c>
      <c r="G14" s="997"/>
      <c r="H14" s="998"/>
      <c r="I14" s="651"/>
      <c r="J14" s="688"/>
      <c r="K14" s="670"/>
      <c r="L14" s="670"/>
    </row>
    <row r="15" spans="1:12" s="695" customFormat="1" ht="9.75" customHeight="1" x14ac:dyDescent="0.2">
      <c r="B15" s="681"/>
      <c r="C15" s="671"/>
      <c r="D15" s="671"/>
      <c r="E15" s="671"/>
      <c r="F15" s="671"/>
      <c r="G15" s="672"/>
      <c r="H15" s="672"/>
      <c r="I15" s="672"/>
      <c r="J15" s="689"/>
      <c r="K15" s="670"/>
      <c r="L15" s="670"/>
    </row>
    <row r="16" spans="1:12" s="695" customFormat="1" ht="12.6" x14ac:dyDescent="0.2">
      <c r="B16" s="687" t="s">
        <v>658</v>
      </c>
      <c r="C16" s="990" t="s">
        <v>659</v>
      </c>
      <c r="D16" s="991"/>
      <c r="E16" s="992"/>
      <c r="F16" s="993" t="str">
        <f>"Mr." &amp;IF(PF!$E$8=0,"",PF!$E$8)</f>
        <v>Mr.SIYARAM SINGH</v>
      </c>
      <c r="G16" s="994"/>
      <c r="H16" s="995"/>
      <c r="I16" s="651"/>
      <c r="J16" s="689"/>
      <c r="K16" s="670"/>
      <c r="L16" s="670"/>
    </row>
    <row r="17" spans="2:12" s="695" customFormat="1" ht="9.75" customHeight="1" x14ac:dyDescent="0.2">
      <c r="B17" s="681"/>
      <c r="C17" s="671"/>
      <c r="D17" s="671"/>
      <c r="E17" s="671"/>
      <c r="F17" s="671"/>
      <c r="G17" s="672"/>
      <c r="H17" s="672"/>
      <c r="I17" s="672"/>
      <c r="J17" s="689"/>
      <c r="K17" s="670"/>
      <c r="L17" s="670"/>
    </row>
    <row r="18" spans="2:12" s="695" customFormat="1" ht="12.6" x14ac:dyDescent="0.2">
      <c r="B18" s="687" t="s">
        <v>660</v>
      </c>
      <c r="C18" s="990" t="s">
        <v>661</v>
      </c>
      <c r="D18" s="991"/>
      <c r="E18" s="992"/>
      <c r="F18" s="999" t="s">
        <v>87</v>
      </c>
      <c r="G18" s="1000"/>
      <c r="H18" s="1001"/>
      <c r="I18" s="651"/>
      <c r="J18" s="688"/>
      <c r="K18" s="670"/>
      <c r="L18" s="670"/>
    </row>
    <row r="19" spans="2:12" s="695" customFormat="1" ht="9.75" customHeight="1" x14ac:dyDescent="0.2">
      <c r="B19" s="681"/>
      <c r="C19" s="671"/>
      <c r="D19" s="671"/>
      <c r="E19" s="671"/>
      <c r="F19" s="671"/>
      <c r="G19" s="672"/>
      <c r="H19" s="672"/>
      <c r="I19" s="672"/>
      <c r="J19" s="689"/>
      <c r="K19" s="670"/>
      <c r="L19" s="670"/>
    </row>
    <row r="20" spans="2:12" s="695" customFormat="1" ht="15.75" customHeight="1" x14ac:dyDescent="0.2">
      <c r="B20" s="687" t="s">
        <v>662</v>
      </c>
      <c r="C20" s="990" t="s">
        <v>663</v>
      </c>
      <c r="D20" s="991"/>
      <c r="E20" s="992"/>
      <c r="F20" s="993" t="str">
        <f>IF(Sex=0,"",Sex)</f>
        <v>MALE</v>
      </c>
      <c r="G20" s="994"/>
      <c r="H20" s="995"/>
      <c r="I20" s="651"/>
      <c r="J20" s="688"/>
      <c r="K20" s="670"/>
      <c r="L20" s="670"/>
    </row>
    <row r="21" spans="2:12" s="695" customFormat="1" ht="9.75" customHeight="1" x14ac:dyDescent="0.2">
      <c r="B21" s="681"/>
      <c r="C21" s="671"/>
      <c r="D21" s="671"/>
      <c r="E21" s="671"/>
      <c r="F21" s="671"/>
      <c r="G21" s="672"/>
      <c r="H21" s="672"/>
      <c r="I21" s="672"/>
      <c r="J21" s="689"/>
      <c r="K21" s="670"/>
      <c r="L21" s="670"/>
    </row>
    <row r="22" spans="2:12" s="695" customFormat="1" ht="15.75" customHeight="1" x14ac:dyDescent="0.2">
      <c r="B22" s="687" t="s">
        <v>664</v>
      </c>
      <c r="C22" s="990" t="s">
        <v>665</v>
      </c>
      <c r="D22" s="991"/>
      <c r="E22" s="992"/>
      <c r="F22" s="993">
        <f>IF('Personal Information'!$D$50=0,"",'Personal Information'!$D$50)</f>
        <v>9407669172</v>
      </c>
      <c r="G22" s="994"/>
      <c r="H22" s="995"/>
      <c r="I22" s="651"/>
      <c r="J22" s="688"/>
      <c r="K22" s="670"/>
      <c r="L22" s="670"/>
    </row>
    <row r="23" spans="2:12" s="695" customFormat="1" ht="9.75" customHeight="1" x14ac:dyDescent="0.2">
      <c r="B23" s="681"/>
      <c r="C23" s="671"/>
      <c r="D23" s="671"/>
      <c r="E23" s="671"/>
      <c r="F23" s="671"/>
      <c r="G23" s="672"/>
      <c r="H23" s="672"/>
      <c r="I23" s="672"/>
      <c r="J23" s="689"/>
      <c r="K23" s="670"/>
      <c r="L23" s="670"/>
    </row>
    <row r="24" spans="2:12" s="695" customFormat="1" ht="15.75" customHeight="1" x14ac:dyDescent="0.2">
      <c r="B24" s="687" t="s">
        <v>667</v>
      </c>
      <c r="C24" s="990" t="s">
        <v>666</v>
      </c>
      <c r="D24" s="991"/>
      <c r="E24" s="992"/>
      <c r="F24" s="993" t="str">
        <f>IF('Personal Information'!$D$51=0,"",'Personal Information'!$D$51)</f>
        <v>gaurav.mail125@gmail.com</v>
      </c>
      <c r="G24" s="994"/>
      <c r="H24" s="995"/>
      <c r="I24" s="651"/>
      <c r="J24" s="688"/>
      <c r="K24" s="670"/>
      <c r="L24" s="670"/>
    </row>
    <row r="25" spans="2:12" s="695" customFormat="1" ht="9.75" customHeight="1" x14ac:dyDescent="0.2">
      <c r="B25" s="681"/>
      <c r="C25" s="671"/>
      <c r="D25" s="671"/>
      <c r="E25" s="671"/>
      <c r="F25" s="671"/>
      <c r="G25" s="672"/>
      <c r="H25" s="672"/>
      <c r="I25" s="672"/>
      <c r="J25" s="688"/>
      <c r="K25" s="670"/>
      <c r="L25" s="670"/>
    </row>
    <row r="26" spans="2:12" s="695" customFormat="1" ht="15.75" customHeight="1" x14ac:dyDescent="0.2">
      <c r="B26" s="687" t="s">
        <v>668</v>
      </c>
      <c r="C26" s="663" t="s">
        <v>669</v>
      </c>
      <c r="D26" s="664"/>
      <c r="E26" s="664"/>
      <c r="F26" s="664"/>
      <c r="G26" s="664"/>
      <c r="H26" s="665"/>
      <c r="I26" s="712" t="s">
        <v>798</v>
      </c>
      <c r="J26" s="688"/>
      <c r="K26" s="670"/>
      <c r="L26" s="670"/>
    </row>
    <row r="27" spans="2:12" s="695" customFormat="1" ht="9.75" customHeight="1" x14ac:dyDescent="0.2">
      <c r="B27" s="681"/>
      <c r="C27" s="671"/>
      <c r="D27" s="671"/>
      <c r="E27" s="671"/>
      <c r="F27" s="671"/>
      <c r="G27" s="672"/>
      <c r="H27" s="672"/>
      <c r="I27" s="672"/>
      <c r="J27" s="688"/>
      <c r="K27" s="670"/>
      <c r="L27" s="670"/>
    </row>
    <row r="28" spans="2:12" s="695" customFormat="1" ht="15.75" customHeight="1" x14ac:dyDescent="0.2">
      <c r="B28" s="687" t="s">
        <v>670</v>
      </c>
      <c r="C28" s="663" t="s">
        <v>671</v>
      </c>
      <c r="D28" s="664"/>
      <c r="E28" s="664"/>
      <c r="F28" s="664"/>
      <c r="G28" s="664"/>
      <c r="H28" s="665"/>
      <c r="I28" s="712" t="s">
        <v>798</v>
      </c>
      <c r="J28" s="688"/>
      <c r="K28" s="670"/>
      <c r="L28" s="670"/>
    </row>
    <row r="29" spans="2:12" s="695" customFormat="1" ht="12" x14ac:dyDescent="0.2">
      <c r="B29" s="681"/>
      <c r="C29" s="655"/>
      <c r="D29" s="655"/>
      <c r="E29" s="673"/>
      <c r="F29" s="651"/>
      <c r="G29" s="673"/>
      <c r="H29" s="651"/>
      <c r="I29" s="651"/>
      <c r="J29" s="688"/>
      <c r="K29" s="670"/>
    </row>
    <row r="30" spans="2:12" s="695" customFormat="1" ht="12" x14ac:dyDescent="0.2">
      <c r="B30" s="690" t="s">
        <v>672</v>
      </c>
      <c r="C30" s="655"/>
      <c r="D30" s="655"/>
      <c r="E30" s="673"/>
      <c r="F30" s="651"/>
      <c r="G30" s="673"/>
      <c r="H30" s="651"/>
      <c r="I30" s="651"/>
      <c r="J30" s="688"/>
      <c r="K30" s="670"/>
    </row>
    <row r="31" spans="2:12" s="695" customFormat="1" ht="12" x14ac:dyDescent="0.2">
      <c r="B31" s="681"/>
      <c r="C31" s="655"/>
      <c r="D31" s="655"/>
      <c r="E31" s="673"/>
      <c r="F31" s="651"/>
      <c r="G31" s="673"/>
      <c r="H31" s="651"/>
      <c r="I31" s="651"/>
      <c r="J31" s="697"/>
    </row>
    <row r="32" spans="2:12" s="695" customFormat="1" ht="12" x14ac:dyDescent="0.2">
      <c r="B32" s="691" t="s">
        <v>673</v>
      </c>
      <c r="C32" s="666"/>
      <c r="D32" s="666"/>
      <c r="E32" s="674"/>
      <c r="F32" s="674"/>
      <c r="G32" s="674"/>
      <c r="H32" s="674"/>
      <c r="I32" s="674"/>
      <c r="J32" s="698"/>
    </row>
    <row r="33" spans="2:12" s="695" customFormat="1" ht="12" x14ac:dyDescent="0.2">
      <c r="B33" s="681"/>
      <c r="C33" s="655"/>
      <c r="D33" s="655"/>
      <c r="E33" s="673"/>
      <c r="F33" s="651"/>
      <c r="G33" s="673"/>
      <c r="H33" s="651"/>
      <c r="I33" s="651"/>
      <c r="J33" s="697"/>
    </row>
    <row r="34" spans="2:12" s="695" customFormat="1" ht="15.75" customHeight="1" x14ac:dyDescent="0.2">
      <c r="B34" s="687" t="s">
        <v>674</v>
      </c>
      <c r="C34" s="663" t="s">
        <v>675</v>
      </c>
      <c r="D34" s="664"/>
      <c r="E34" s="664"/>
      <c r="F34" s="663"/>
      <c r="G34" s="664"/>
      <c r="H34" s="665"/>
      <c r="I34" s="651"/>
      <c r="J34" s="697"/>
    </row>
    <row r="35" spans="2:12" s="695" customFormat="1" ht="10.5" customHeight="1" x14ac:dyDescent="0.2">
      <c r="B35" s="681"/>
      <c r="C35" s="655"/>
      <c r="D35" s="655"/>
      <c r="E35" s="673"/>
      <c r="F35" s="651"/>
      <c r="G35" s="673"/>
      <c r="H35" s="651"/>
      <c r="I35" s="651"/>
      <c r="J35" s="697"/>
    </row>
    <row r="36" spans="2:12" s="695" customFormat="1" ht="15.75" customHeight="1" x14ac:dyDescent="0.2">
      <c r="B36" s="681"/>
      <c r="C36" s="667" t="s">
        <v>676</v>
      </c>
      <c r="D36" s="1002" t="str">
        <f>IF('Personal Information'!$D$117=0,"",'Personal Information'!$D$117)</f>
        <v>101014131776</v>
      </c>
      <c r="E36" s="1003"/>
      <c r="F36" s="1004"/>
      <c r="G36" s="1005" t="s">
        <v>648</v>
      </c>
      <c r="H36" s="651"/>
      <c r="I36" s="651"/>
      <c r="J36" s="697"/>
    </row>
    <row r="37" spans="2:12" s="695" customFormat="1" ht="9.75" customHeight="1" x14ac:dyDescent="0.2">
      <c r="B37" s="681"/>
      <c r="C37" s="671"/>
      <c r="D37" s="671"/>
      <c r="E37" s="671"/>
      <c r="F37" s="675"/>
      <c r="G37" s="1006"/>
      <c r="H37" s="672"/>
      <c r="I37" s="672"/>
      <c r="J37" s="688"/>
      <c r="K37" s="670"/>
      <c r="L37" s="670"/>
    </row>
    <row r="38" spans="2:12" s="695" customFormat="1" ht="12" x14ac:dyDescent="0.2">
      <c r="B38" s="681"/>
      <c r="C38" s="667" t="s">
        <v>677</v>
      </c>
      <c r="D38" s="1002" t="str">
        <f>IF('Personal Information'!$D$115=0,"",'Personal Information'!$D$115)</f>
        <v/>
      </c>
      <c r="E38" s="1003"/>
      <c r="F38" s="1004"/>
      <c r="G38" s="1005"/>
      <c r="H38" s="651"/>
      <c r="I38" s="651"/>
      <c r="J38" s="697"/>
    </row>
    <row r="39" spans="2:12" s="695" customFormat="1" ht="12" x14ac:dyDescent="0.2">
      <c r="B39" s="681"/>
      <c r="C39" s="655"/>
      <c r="D39" s="655"/>
      <c r="E39" s="673"/>
      <c r="F39" s="651"/>
      <c r="G39" s="673"/>
      <c r="H39" s="651"/>
      <c r="I39" s="651"/>
      <c r="J39" s="697"/>
    </row>
    <row r="40" spans="2:12" s="695" customFormat="1" ht="15.75" customHeight="1" x14ac:dyDescent="0.2">
      <c r="B40" s="687" t="s">
        <v>679</v>
      </c>
      <c r="C40" s="663" t="s">
        <v>678</v>
      </c>
      <c r="D40" s="664"/>
      <c r="E40" s="664"/>
      <c r="F40" s="996" t="str">
        <f>IF('Personal Information'!F96=0,"",'Personal Information'!F96)</f>
        <v/>
      </c>
      <c r="G40" s="997"/>
      <c r="H40" s="998"/>
      <c r="I40" s="651"/>
      <c r="J40" s="697"/>
    </row>
    <row r="41" spans="2:12" s="695" customFormat="1" ht="10.5" customHeight="1" x14ac:dyDescent="0.2">
      <c r="B41" s="681"/>
      <c r="C41" s="655"/>
      <c r="D41" s="655"/>
      <c r="E41" s="673"/>
      <c r="F41" s="651"/>
      <c r="G41" s="673"/>
      <c r="H41" s="651"/>
      <c r="I41" s="651"/>
      <c r="J41" s="697"/>
    </row>
    <row r="42" spans="2:12" s="695" customFormat="1" ht="15.75" customHeight="1" x14ac:dyDescent="0.2">
      <c r="B42" s="687" t="s">
        <v>680</v>
      </c>
      <c r="C42" s="668" t="s">
        <v>681</v>
      </c>
      <c r="D42" s="669"/>
      <c r="E42" s="669"/>
      <c r="F42" s="669"/>
      <c r="G42" s="669"/>
      <c r="H42" s="669"/>
      <c r="I42" s="713" t="s">
        <v>830</v>
      </c>
      <c r="J42" s="697"/>
    </row>
    <row r="43" spans="2:12" s="695" customFormat="1" ht="15.75" customHeight="1" x14ac:dyDescent="0.2">
      <c r="B43" s="687" t="s">
        <v>680</v>
      </c>
      <c r="C43" s="668" t="s">
        <v>682</v>
      </c>
      <c r="D43" s="669"/>
      <c r="E43" s="669"/>
      <c r="F43" s="669"/>
      <c r="G43" s="669"/>
      <c r="H43" s="669"/>
      <c r="I43" s="713" t="s">
        <v>830</v>
      </c>
      <c r="J43" s="697"/>
    </row>
    <row r="44" spans="2:12" s="695" customFormat="1" ht="10.5" customHeight="1" x14ac:dyDescent="0.2">
      <c r="B44" s="681"/>
      <c r="C44" s="655"/>
      <c r="D44" s="655"/>
      <c r="E44" s="673"/>
      <c r="F44" s="651"/>
      <c r="G44" s="673"/>
      <c r="H44" s="651"/>
      <c r="I44" s="651"/>
      <c r="J44" s="697"/>
    </row>
    <row r="45" spans="2:12" s="695" customFormat="1" ht="12" x14ac:dyDescent="0.2">
      <c r="B45" s="691" t="s">
        <v>683</v>
      </c>
      <c r="C45" s="666"/>
      <c r="D45" s="666"/>
      <c r="E45" s="674"/>
      <c r="F45" s="674"/>
      <c r="G45" s="674"/>
      <c r="H45" s="674"/>
      <c r="I45" s="674"/>
      <c r="J45" s="698"/>
    </row>
    <row r="46" spans="2:12" s="695" customFormat="1" ht="12" x14ac:dyDescent="0.2">
      <c r="B46" s="681"/>
      <c r="C46" s="655"/>
      <c r="D46" s="655"/>
      <c r="E46" s="673"/>
      <c r="F46" s="651"/>
      <c r="G46" s="673"/>
      <c r="H46" s="651"/>
      <c r="I46" s="651"/>
      <c r="J46" s="697"/>
    </row>
    <row r="47" spans="2:12" s="695" customFormat="1" ht="15.75" customHeight="1" x14ac:dyDescent="0.2">
      <c r="B47" s="687" t="s">
        <v>684</v>
      </c>
      <c r="C47" s="663" t="s">
        <v>685</v>
      </c>
      <c r="D47" s="664"/>
      <c r="E47" s="664"/>
      <c r="F47" s="696" t="str">
        <f>IF(TOE_PI="Expat","Yes","No")</f>
        <v>No</v>
      </c>
      <c r="G47" s="673"/>
      <c r="H47" s="651"/>
      <c r="I47" s="651"/>
      <c r="J47" s="697"/>
    </row>
    <row r="48" spans="2:12" s="695" customFormat="1" ht="10.5" customHeight="1" x14ac:dyDescent="0.2">
      <c r="B48" s="681"/>
      <c r="C48" s="655"/>
      <c r="D48" s="655"/>
      <c r="E48" s="673"/>
      <c r="F48" s="651"/>
      <c r="G48" s="673"/>
      <c r="H48" s="651"/>
      <c r="I48" s="651"/>
      <c r="J48" s="697"/>
    </row>
    <row r="49" spans="2:10" s="695" customFormat="1" ht="12" x14ac:dyDescent="0.2">
      <c r="B49" s="700" t="s">
        <v>686</v>
      </c>
      <c r="C49" s="701"/>
      <c r="D49" s="702"/>
      <c r="E49" s="702"/>
      <c r="F49" s="702"/>
      <c r="G49" s="673"/>
      <c r="H49" s="651"/>
      <c r="I49" s="702"/>
      <c r="J49" s="703"/>
    </row>
    <row r="50" spans="2:10" s="695" customFormat="1" ht="10.5" customHeight="1" x14ac:dyDescent="0.2">
      <c r="B50" s="692"/>
      <c r="C50" s="655"/>
      <c r="D50" s="655"/>
      <c r="E50" s="673"/>
      <c r="F50" s="651"/>
      <c r="G50" s="673"/>
      <c r="H50" s="651"/>
      <c r="I50" s="651"/>
      <c r="J50" s="697"/>
    </row>
    <row r="51" spans="2:10" s="695" customFormat="1" ht="15.75" customHeight="1" x14ac:dyDescent="0.2">
      <c r="B51" s="687" t="s">
        <v>684</v>
      </c>
      <c r="C51" s="668" t="s">
        <v>687</v>
      </c>
      <c r="D51" s="669"/>
      <c r="E51" s="669"/>
      <c r="F51" s="669"/>
      <c r="G51" s="669"/>
      <c r="H51" s="669"/>
      <c r="I51" s="699" t="str">
        <f>IF(F47="Yes",IF('Personal Information'!$D$28=0,"",'Personal Information'!$D$28),"")</f>
        <v/>
      </c>
      <c r="J51" s="697"/>
    </row>
    <row r="52" spans="2:10" s="695" customFormat="1" ht="15.75" customHeight="1" x14ac:dyDescent="0.2">
      <c r="B52" s="687" t="s">
        <v>684</v>
      </c>
      <c r="C52" s="668" t="s">
        <v>688</v>
      </c>
      <c r="D52" s="669"/>
      <c r="E52" s="669"/>
      <c r="F52" s="669"/>
      <c r="G52" s="669"/>
      <c r="H52" s="669"/>
      <c r="I52" s="699" t="str">
        <f>IF(F47="Yes",IF('Personal Information'!$D$55=0,"",'Personal Information'!$D$55),"")</f>
        <v/>
      </c>
      <c r="J52" s="697"/>
    </row>
    <row r="53" spans="2:10" s="695" customFormat="1" ht="15.75" customHeight="1" x14ac:dyDescent="0.25">
      <c r="B53" s="687" t="s">
        <v>684</v>
      </c>
      <c r="C53" s="668" t="s">
        <v>689</v>
      </c>
      <c r="D53" s="669"/>
      <c r="E53" s="996" t="str">
        <f>IF(F47="Yes",IF('Personal Information'!$D$56=0,"",'Personal Information'!$D$56),"")</f>
        <v/>
      </c>
      <c r="F53" s="997"/>
      <c r="G53" s="998"/>
      <c r="H53" s="704"/>
      <c r="I53" s="705"/>
      <c r="J53" s="697"/>
    </row>
    <row r="54" spans="2:10" x14ac:dyDescent="0.25">
      <c r="B54" s="687"/>
      <c r="C54" s="668" t="s">
        <v>690</v>
      </c>
      <c r="D54" s="669"/>
      <c r="E54" s="996" t="str">
        <f>IF(F47="Yes",IF('Personal Information'!$D$57=0,"",'Personal Information'!$D$57),"")</f>
        <v/>
      </c>
      <c r="F54" s="997"/>
      <c r="G54" s="998"/>
      <c r="H54" s="704"/>
      <c r="I54" s="704"/>
      <c r="J54" s="706"/>
    </row>
    <row r="55" spans="2:10" x14ac:dyDescent="0.25">
      <c r="B55" s="707"/>
      <c r="C55" s="704"/>
      <c r="D55" s="704"/>
      <c r="E55" s="704"/>
      <c r="F55" s="704"/>
      <c r="G55" s="704"/>
      <c r="H55" s="704"/>
      <c r="I55" s="704"/>
      <c r="J55" s="706"/>
    </row>
    <row r="56" spans="2:10" s="695" customFormat="1" ht="15.75" customHeight="1" x14ac:dyDescent="0.2">
      <c r="B56" s="687" t="s">
        <v>691</v>
      </c>
      <c r="C56" s="663" t="s">
        <v>692</v>
      </c>
      <c r="D56" s="664"/>
      <c r="E56" s="664"/>
      <c r="F56" s="712" t="s">
        <v>835</v>
      </c>
      <c r="G56" s="673"/>
      <c r="H56" s="651"/>
      <c r="I56" s="651"/>
      <c r="J56" s="697"/>
    </row>
    <row r="57" spans="2:10" x14ac:dyDescent="0.25">
      <c r="B57" s="707"/>
      <c r="C57" s="704"/>
      <c r="D57" s="704"/>
      <c r="E57" s="704"/>
      <c r="F57" s="704"/>
      <c r="G57" s="704"/>
      <c r="H57" s="704"/>
      <c r="I57" s="704"/>
      <c r="J57" s="706"/>
    </row>
    <row r="58" spans="2:10" s="695" customFormat="1" ht="15.75" customHeight="1" x14ac:dyDescent="0.25">
      <c r="B58" s="687" t="s">
        <v>693</v>
      </c>
      <c r="C58" s="663" t="s">
        <v>694</v>
      </c>
      <c r="D58" s="664"/>
      <c r="E58" s="664"/>
      <c r="F58" s="714" t="str">
        <f>IF(M_Status=0,"",M_Status)</f>
        <v>UNMARRIED</v>
      </c>
      <c r="G58" s="704"/>
      <c r="H58" s="704"/>
      <c r="I58" s="704"/>
      <c r="J58" s="697"/>
    </row>
    <row r="59" spans="2:10" x14ac:dyDescent="0.25">
      <c r="B59" s="707"/>
      <c r="C59" s="704"/>
      <c r="D59" s="704"/>
      <c r="E59" s="704"/>
      <c r="F59" s="704"/>
      <c r="G59" s="704"/>
      <c r="H59" s="704"/>
      <c r="I59" s="704"/>
      <c r="J59" s="706"/>
    </row>
    <row r="60" spans="2:10" s="695" customFormat="1" ht="15.75" customHeight="1" x14ac:dyDescent="0.25">
      <c r="B60" s="687" t="s">
        <v>695</v>
      </c>
      <c r="C60" s="663" t="s">
        <v>696</v>
      </c>
      <c r="D60" s="664"/>
      <c r="E60" s="664"/>
      <c r="F60" s="714" t="str">
        <f>IF('Personal Information'!D33=0,"",'Personal Information'!D33)</f>
        <v>No</v>
      </c>
      <c r="G60" s="704"/>
      <c r="H60" s="704"/>
      <c r="I60" s="704"/>
      <c r="J60" s="697"/>
    </row>
    <row r="61" spans="2:10" s="695" customFormat="1" ht="15.75" customHeight="1" x14ac:dyDescent="0.25">
      <c r="B61" s="687"/>
      <c r="C61" s="676" t="s">
        <v>697</v>
      </c>
      <c r="D61" s="664"/>
      <c r="E61" s="664"/>
      <c r="F61" s="715" t="str">
        <f>IF('Personal Information'!$D$34=0,"",'Personal Information'!$D$34)</f>
        <v/>
      </c>
      <c r="G61" s="704"/>
      <c r="H61" s="704"/>
      <c r="I61" s="704"/>
      <c r="J61" s="697"/>
    </row>
    <row r="62" spans="2:10" ht="14.4" thickBot="1" x14ac:dyDescent="0.3">
      <c r="B62" s="708"/>
      <c r="C62" s="709"/>
      <c r="D62" s="709"/>
      <c r="E62" s="709"/>
      <c r="F62" s="709"/>
      <c r="G62" s="709"/>
      <c r="H62" s="709"/>
      <c r="I62" s="709"/>
      <c r="J62" s="710"/>
    </row>
    <row r="63" spans="2:10" x14ac:dyDescent="0.25"/>
  </sheetData>
  <sheetProtection password="CA99" sheet="1" objects="1" scenarios="1" selectLockedCells="1"/>
  <mergeCells count="21">
    <mergeCell ref="E53:G53"/>
    <mergeCell ref="E54:G54"/>
    <mergeCell ref="D36:F36"/>
    <mergeCell ref="D38:F38"/>
    <mergeCell ref="G36:G38"/>
    <mergeCell ref="F40:H40"/>
    <mergeCell ref="C22:E22"/>
    <mergeCell ref="C24:E24"/>
    <mergeCell ref="F24:H24"/>
    <mergeCell ref="C16:E16"/>
    <mergeCell ref="F16:H16"/>
    <mergeCell ref="C18:E18"/>
    <mergeCell ref="F18:H18"/>
    <mergeCell ref="C20:E20"/>
    <mergeCell ref="F20:H20"/>
    <mergeCell ref="F22:H22"/>
    <mergeCell ref="G1:I1"/>
    <mergeCell ref="C12:E12"/>
    <mergeCell ref="F12:H12"/>
    <mergeCell ref="C14:E14"/>
    <mergeCell ref="F14:H14"/>
  </mergeCells>
  <conditionalFormatting sqref="F12 F14 F16 F20 F22 F24">
    <cfRule type="cellIs" dxfId="17" priority="26" stopIfTrue="1" operator="equal">
      <formula>0</formula>
    </cfRule>
  </conditionalFormatting>
  <conditionalFormatting sqref="I26">
    <cfRule type="cellIs" dxfId="16" priority="20" stopIfTrue="1" operator="equal">
      <formula>0</formula>
    </cfRule>
  </conditionalFormatting>
  <conditionalFormatting sqref="I28">
    <cfRule type="cellIs" dxfId="15" priority="19" stopIfTrue="1" operator="equal">
      <formula>0</formula>
    </cfRule>
  </conditionalFormatting>
  <conditionalFormatting sqref="I51:I52">
    <cfRule type="cellIs" dxfId="14" priority="9" stopIfTrue="1" operator="equal">
      <formula>0</formula>
    </cfRule>
  </conditionalFormatting>
  <conditionalFormatting sqref="F40">
    <cfRule type="cellIs" dxfId="13" priority="16" stopIfTrue="1" operator="equal">
      <formula>0</formula>
    </cfRule>
  </conditionalFormatting>
  <conditionalFormatting sqref="F40">
    <cfRule type="cellIs" dxfId="12" priority="15" stopIfTrue="1" operator="equal">
      <formula>0</formula>
    </cfRule>
  </conditionalFormatting>
  <conditionalFormatting sqref="I51:I52">
    <cfRule type="cellIs" dxfId="11" priority="8" stopIfTrue="1" operator="equal">
      <formula>0</formula>
    </cfRule>
  </conditionalFormatting>
  <conditionalFormatting sqref="I42">
    <cfRule type="cellIs" dxfId="10" priority="14" stopIfTrue="1" operator="equal">
      <formula>0</formula>
    </cfRule>
  </conditionalFormatting>
  <conditionalFormatting sqref="I42">
    <cfRule type="cellIs" dxfId="9" priority="13" stopIfTrue="1" operator="equal">
      <formula>0</formula>
    </cfRule>
  </conditionalFormatting>
  <conditionalFormatting sqref="I43">
    <cfRule type="cellIs" dxfId="8" priority="12" stopIfTrue="1" operator="equal">
      <formula>0</formula>
    </cfRule>
  </conditionalFormatting>
  <conditionalFormatting sqref="I43">
    <cfRule type="cellIs" dxfId="7" priority="11" stopIfTrue="1" operator="equal">
      <formula>0</formula>
    </cfRule>
  </conditionalFormatting>
  <conditionalFormatting sqref="F47">
    <cfRule type="cellIs" dxfId="6" priority="10" stopIfTrue="1" operator="equal">
      <formula>0</formula>
    </cfRule>
  </conditionalFormatting>
  <conditionalFormatting sqref="E53">
    <cfRule type="cellIs" dxfId="5" priority="7" stopIfTrue="1" operator="equal">
      <formula>0</formula>
    </cfRule>
  </conditionalFormatting>
  <conditionalFormatting sqref="E53">
    <cfRule type="cellIs" dxfId="4" priority="6" stopIfTrue="1" operator="equal">
      <formula>0</formula>
    </cfRule>
  </conditionalFormatting>
  <conditionalFormatting sqref="E54">
    <cfRule type="cellIs" dxfId="3" priority="5" stopIfTrue="1" operator="equal">
      <formula>0</formula>
    </cfRule>
  </conditionalFormatting>
  <conditionalFormatting sqref="E54">
    <cfRule type="cellIs" dxfId="2" priority="4" stopIfTrue="1" operator="equal">
      <formula>0</formula>
    </cfRule>
  </conditionalFormatting>
  <conditionalFormatting sqref="F56">
    <cfRule type="cellIs" dxfId="1" priority="3" stopIfTrue="1" operator="equal">
      <formula>0</formula>
    </cfRule>
  </conditionalFormatting>
  <conditionalFormatting sqref="F61 F18">
    <cfRule type="cellIs" dxfId="0" priority="1" stopIfTrue="1" operator="equal">
      <formula>0</formula>
    </cfRule>
  </conditionalFormatting>
  <dataValidations count="3">
    <dataValidation type="list" allowBlank="1" showInputMessage="1" showErrorMessage="1" sqref="I26 I28">
      <formula1>"Yes,No"</formula1>
    </dataValidation>
    <dataValidation type="list" allowBlank="1" showInputMessage="1" showErrorMessage="1" sqref="F56">
      <formula1>"ILLITERATE,NON-MATRIC,MATRIC,SENIOR SECONDARY,GRADUATE,POST GRADUATE,TECHNICAL/ PROFESSIONAL"</formula1>
    </dataValidation>
    <dataValidation type="list" allowBlank="1" showInputMessage="1" showErrorMessage="1" sqref="F18:H18">
      <formula1>"Father,Husband"</formula1>
    </dataValidation>
  </dataValidations>
  <pageMargins left="0.7" right="0.7" top="0.75" bottom="0.75" header="0.3" footer="0.3"/>
  <pageSetup scale="65" orientation="portrait" r:id="rId1"/>
  <headerFooter>
    <oddHeader xml:space="preserve">&amp;L -   </oddHeader>
    <oddFooter>&amp;CPage &amp;P -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65</vt:i4>
      </vt:variant>
    </vt:vector>
  </HeadingPairs>
  <TitlesOfParts>
    <vt:vector size="66" baseType="lpstr">
      <vt:lpstr>START</vt:lpstr>
      <vt:lpstr>Address</vt:lpstr>
      <vt:lpstr>Adh_no</vt:lpstr>
      <vt:lpstr>Bangalore</vt:lpstr>
      <vt:lpstr>Blood_Group</vt:lpstr>
      <vt:lpstr>Chennai</vt:lpstr>
      <vt:lpstr>Children_Check</vt:lpstr>
      <vt:lpstr>Cur_Add</vt:lpstr>
      <vt:lpstr>DOB</vt:lpstr>
      <vt:lpstr>DOE</vt:lpstr>
      <vt:lpstr>DOI</vt:lpstr>
      <vt:lpstr>DOJ</vt:lpstr>
      <vt:lpstr>DOJ_In</vt:lpstr>
      <vt:lpstr>Domcile</vt:lpstr>
      <vt:lpstr>E_Name</vt:lpstr>
      <vt:lpstr>Email_I</vt:lpstr>
      <vt:lpstr>Empl_No</vt:lpstr>
      <vt:lpstr>F_Name</vt:lpstr>
      <vt:lpstr>Four_Wheeler</vt:lpstr>
      <vt:lpstr>Gender</vt:lpstr>
      <vt:lpstr>Insurance_D</vt:lpstr>
      <vt:lpstr>L_Name</vt:lpstr>
      <vt:lpstr>Level</vt:lpstr>
      <vt:lpstr>Loc_Det</vt:lpstr>
      <vt:lpstr>Location</vt:lpstr>
      <vt:lpstr>LWD</vt:lpstr>
      <vt:lpstr>M_Name</vt:lpstr>
      <vt:lpstr>M_Status</vt:lpstr>
      <vt:lpstr>Martial_Status</vt:lpstr>
      <vt:lpstr>Misc_Details</vt:lpstr>
      <vt:lpstr>Mobile_N</vt:lpstr>
      <vt:lpstr>N_D</vt:lpstr>
      <vt:lpstr>N_IN_Law</vt:lpstr>
      <vt:lpstr>N_InLaw</vt:lpstr>
      <vt:lpstr>N_S</vt:lpstr>
      <vt:lpstr>P_F_Name</vt:lpstr>
      <vt:lpstr>P_L_Name</vt:lpstr>
      <vt:lpstr>Pan_no</vt:lpstr>
      <vt:lpstr>Pass_No</vt:lpstr>
      <vt:lpstr>PER_ADD</vt:lpstr>
      <vt:lpstr>PF_N</vt:lpstr>
      <vt:lpstr>'Form-1 (PW)'!Print_Area</vt:lpstr>
      <vt:lpstr>'Form-Q'!Print_Area</vt:lpstr>
      <vt:lpstr>Gratuity!Print_Area</vt:lpstr>
      <vt:lpstr>Instructions!Print_Area</vt:lpstr>
      <vt:lpstr>Insurance!Print_Area</vt:lpstr>
      <vt:lpstr>'Personal Information'!Print_Area</vt:lpstr>
      <vt:lpstr>PF!Print_Area</vt:lpstr>
      <vt:lpstr>'PF - Declaration Form'!Print_Area</vt:lpstr>
      <vt:lpstr>'Personal Information'!Print_Titles</vt:lpstr>
      <vt:lpstr>Qualification</vt:lpstr>
      <vt:lpstr>Recruit_Details</vt:lpstr>
      <vt:lpstr>Relationship</vt:lpstr>
      <vt:lpstr>Sex</vt:lpstr>
      <vt:lpstr>Stat_Details</vt:lpstr>
      <vt:lpstr>JF!T_OPT</vt:lpstr>
      <vt:lpstr>T_OPT</vt:lpstr>
      <vt:lpstr>TOE</vt:lpstr>
      <vt:lpstr>TOE_PI</vt:lpstr>
      <vt:lpstr>Two_Wheeler</vt:lpstr>
      <vt:lpstr>UAN_N</vt:lpstr>
      <vt:lpstr>Validate_Admin</vt:lpstr>
      <vt:lpstr>Validate_Gratuity</vt:lpstr>
      <vt:lpstr>Validate_Insurance</vt:lpstr>
      <vt:lpstr>Validate_PF</vt:lpstr>
      <vt:lpstr>Validate_PI</vt:lpstr>
    </vt:vector>
  </TitlesOfParts>
  <Company>SOCIETE GENERALE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Nagaraj TAMILMANI (blritn)</dc:creator>
  <cp:lastModifiedBy>Gaurav Singh</cp:lastModifiedBy>
  <cp:lastPrinted>2018-09-28T08:46:07Z</cp:lastPrinted>
  <dcterms:created xsi:type="dcterms:W3CDTF">2014-10-29T16:52:58Z</dcterms:created>
  <dcterms:modified xsi:type="dcterms:W3CDTF">2021-03-10T10:32:30Z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401b303-ecb1-4a9d-936a-70858c2d9a3e_Enabled">
    <vt:lpwstr>True</vt:lpwstr>
  </property>
  <property fmtid="{D5CDD505-2E9C-101B-9397-08002B2CF9AE}" pid="3" name="MSIP_Label_a401b303-ecb1-4a9d-936a-70858c2d9a3e_SiteId">
    <vt:lpwstr>c9a7d621-4bc4-4407-b730-f428e656aa9e</vt:lpwstr>
  </property>
  <property fmtid="{D5CDD505-2E9C-101B-9397-08002B2CF9AE}" pid="4" name="MSIP_Label_a401b303-ecb1-4a9d-936a-70858c2d9a3e_Owner">
    <vt:lpwstr>satheeshkumar.sj@socgen.com</vt:lpwstr>
  </property>
  <property fmtid="{D5CDD505-2E9C-101B-9397-08002B2CF9AE}" pid="5" name="MSIP_Label_a401b303-ecb1-4a9d-936a-70858c2d9a3e_SetDate">
    <vt:lpwstr>2020-08-25T06:43:32.7258174Z</vt:lpwstr>
  </property>
  <property fmtid="{D5CDD505-2E9C-101B-9397-08002B2CF9AE}" pid="6" name="MSIP_Label_a401b303-ecb1-4a9d-936a-70858c2d9a3e_Name">
    <vt:lpwstr>C1 - Restricted</vt:lpwstr>
  </property>
  <property fmtid="{D5CDD505-2E9C-101B-9397-08002B2CF9AE}" pid="7" name="MSIP_Label_a401b303-ecb1-4a9d-936a-70858c2d9a3e_Application">
    <vt:lpwstr>Microsoft Azure Information Protection</vt:lpwstr>
  </property>
  <property fmtid="{D5CDD505-2E9C-101B-9397-08002B2CF9AE}" pid="8" name="MSIP_Label_a401b303-ecb1-4a9d-936a-70858c2d9a3e_ActionId">
    <vt:lpwstr>553f7018-33b1-4cc1-9a66-395418f285a0</vt:lpwstr>
  </property>
  <property fmtid="{D5CDD505-2E9C-101B-9397-08002B2CF9AE}" pid="9" name="MSIP_Label_a401b303-ecb1-4a9d-936a-70858c2d9a3e_Extended_MSFT_Method">
    <vt:lpwstr>Manual</vt:lpwstr>
  </property>
  <property fmtid="{D5CDD505-2E9C-101B-9397-08002B2CF9AE}" pid="10" name="Sensitivity">
    <vt:lpwstr>C1 - Restricted</vt:lpwstr>
  </property>
</Properties>
</file>